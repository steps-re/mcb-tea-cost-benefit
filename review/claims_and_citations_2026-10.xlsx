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eview findings" sheetId="2" state="visible" r:id="rId2"/>
    <sheet name="Parameter summary" sheetId="3" state="visible" r:id="rId3"/>
    <sheet name="Claims &amp; citations" sheetId="4" state="visible" r:id="rId4"/>
    <sheet name="Reference audit" sheetId="5" state="visible" r:id="rId5"/>
    <sheet name="Sources" sheetId="6" state="visible" r:id="rId6"/>
  </sheets>
  <definedNames>
    <definedName name="_xlnm._FilterDatabase" localSheetId="1" hidden="1">'Review findings'!$A$1:$I$31</definedName>
    <definedName name="_xlnm._FilterDatabase" localSheetId="2" hidden="1">'Parameter summary'!$A$1:$N$174</definedName>
    <definedName name="_xlnm._FilterDatabase" localSheetId="3" hidden="1">'Claims &amp; citations'!$A$1:$Y$259</definedName>
    <definedName name="_xlnm._FilterDatabase" localSheetId="4" hidden="1">'Reference audit'!$A$1:$Y$18</definedName>
    <definedName name="_xlnm._FilterDatabase" localSheetId="5" hidden="1">'Sources'!$A$1:$H$98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color rgb="000563C1"/>
      <u val="single"/>
    </font>
  </fonts>
  <fills count="6">
    <fill>
      <patternFill/>
    </fill>
    <fill>
      <patternFill patternType="gray125"/>
    </fill>
    <fill>
      <patternFill patternType="solid">
        <fgColor rgb="001F3A5F"/>
      </patternFill>
    </fill>
    <fill>
      <patternFill patternType="solid">
        <fgColor rgb="00F8D7DA"/>
      </patternFill>
    </fill>
    <fill>
      <patternFill patternType="solid">
        <fgColor rgb="00FFF3CD"/>
      </patternFill>
    </fill>
    <fill>
      <patternFill patternType="solid">
        <fgColor rgb="00D4ED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0"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doi.org/10.1039/d5ea00073d" TargetMode="External" Id="rId1" /><Relationship Type="http://schemas.openxmlformats.org/officeDocument/2006/relationships/hyperlink" Target="https://gbrrestoration.org/wp-content/uploads/2026/06/RRAP-CS-06_FINAL-REPORT-2025.pdf" TargetMode="External" Id="rId2" /><Relationship Type="http://schemas.openxmlformats.org/officeDocument/2006/relationships/hyperlink" Target="https://gbrrestoration.org/wp-content/uploads/2026/06/RRAP-CS-06_FINAL-REPORT-2025.pdf" TargetMode="External" Id="rId3" /><Relationship Type="http://schemas.openxmlformats.org/officeDocument/2006/relationships/hyperlink" Target="https://doi.org/10.1088/1748-9326/adccd7" TargetMode="External" Id="rId4" /><Relationship Type="http://schemas.openxmlformats.org/officeDocument/2006/relationships/hyperlink" Target="https://doi.org/10.1039/d5ea00073d" TargetMode="External" Id="rId5" /><Relationship Type="http://schemas.openxmlformats.org/officeDocument/2006/relationships/hyperlink" Target="https://gbrrestoration.org/wp-content/uploads/2026/06/RRAP-CS-06_FINAL-REPORT-2025.pdf" TargetMode="External" Id="rId6" /><Relationship Type="http://schemas.openxmlformats.org/officeDocument/2006/relationships/hyperlink" Target="https://gbrrestoration.org/wp-content/uploads/2026/06/RRAP-CS-06_FINAL-REPORT-2025.pdf" TargetMode="External" Id="rId7" /><Relationship Type="http://schemas.openxmlformats.org/officeDocument/2006/relationships/hyperlink" Target="https://gbrrestoration.org/wp-content/uploads/2026/06/RRAP-CS-06_FINAL-REPORT-2025.pdf" TargetMode="External" Id="rId8" /><Relationship Type="http://schemas.openxmlformats.org/officeDocument/2006/relationships/hyperlink" Target="https://gbrrestoration.org/wp-content/uploads/2026/06/RRAP-CS-06_FINAL-REPORT-2025.pdf" TargetMode="External" Id="rId9" /><Relationship Type="http://schemas.openxmlformats.org/officeDocument/2006/relationships/hyperlink" Target="https://gbrrestoration.org/wp-content/uploads/2026/06/RRAP-CS-06_FINAL-REPORT-2025.pdf" TargetMode="External" Id="rId10" /><Relationship Type="http://schemas.openxmlformats.org/officeDocument/2006/relationships/hyperlink" Target="https://doi.org/10.1088/1748-9326/adccd7" TargetMode="External" Id="rId11" /><Relationship Type="http://schemas.openxmlformats.org/officeDocument/2006/relationships/hyperlink" Target="https://doi.org/10.1039/d5ea00073d" TargetMode="External" Id="rId12" /><Relationship Type="http://schemas.openxmlformats.org/officeDocument/2006/relationships/hyperlink" Target="https://www.sec.gov/Archives/edgar/data/98222/000143774925005487/tdw20241231_10k.htm" TargetMode="External" Id="rId13" /><Relationship Type="http://schemas.openxmlformats.org/officeDocument/2006/relationships/hyperlink" Target="https://www.sec.gov/Archives/edgar/data/98222/000143774925005487/tdw20241231_10k.htm" TargetMode="External" Id="rId14" /><Relationship Type="http://schemas.openxmlformats.org/officeDocument/2006/relationships/hyperlink" Target="https://pages.stern.nyu.edu/~adamodar/New_Home_Page/datafile/wacc.html" TargetMode="External" Id="rId15" /><Relationship Type="http://schemas.openxmlformats.org/officeDocument/2006/relationships/hyperlink" Target="https://bidenwhitehouse.archives.gov/wp-content/uploads/2023/11/CircularA-4.pdf" TargetMode="External" Id="rId16" /><Relationship Type="http://schemas.openxmlformats.org/officeDocument/2006/relationships/hyperlink" Target="https://api.frankfurter.dev/v1/2016-01-01..2026-10-23?base=AUD&amp;symbols=USD" TargetMode="External" Id="rId17" /><Relationship Type="http://schemas.openxmlformats.org/officeDocument/2006/relationships/hyperlink" Target="https://gbrrestoration.org/wp-content/uploads/2026/06/RRAP-CS-06_FINAL-REPORT-2025.pdf" TargetMode="External" Id="rId18" /><Relationship Type="http://schemas.openxmlformats.org/officeDocument/2006/relationships/hyperlink" Target="https://ghgsmart.imo.org/wp-content/uploads/2023/05/Fourth-IMO-GHG-Study-2020-Full-report-and-annexes_compressed.pdf" TargetMode="External" Id="rId19" /><Relationship Type="http://schemas.openxmlformats.org/officeDocument/2006/relationships/hyperlink" Target="https://horizonoffshoreservices.com/wp-content/uploads/2024/07/HOS269.pdf" TargetMode="External" Id="rId20" /><Relationship Type="http://schemas.openxmlformats.org/officeDocument/2006/relationships/hyperlink" Target="https://www.shipuniverse.com/news/bunker-prices-pull-back-from-last-weeks-spike-but-mgo-remains-a-major-cost-risk/" TargetMode="External" Id="rId21" /><Relationship Type="http://schemas.openxmlformats.org/officeDocument/2006/relationships/hyperlink" Target="https://horizonoffshoreservices.com/wp-content/uploads/2024/07/HOS269.pdf" TargetMode="External" Id="rId22" /><Relationship Type="http://schemas.openxmlformats.org/officeDocument/2006/relationships/hyperlink" Target="https://horizonoffshoreservices.com/wp-content/uploads/2024/07/HOS269.pdf" TargetMode="External" Id="rId23" /><Relationship Type="http://schemas.openxmlformats.org/officeDocument/2006/relationships/hyperlink" Target="https://www.sec.gov/Archives/edgar/data/98222/000143774925005487/tdw20241231_10k.htm" TargetMode="External" Id="rId24" /><Relationship Type="http://schemas.openxmlformats.org/officeDocument/2006/relationships/hyperlink" Target="https://www.sec.gov/Archives/edgar/data/98222/000143774925005487/tdw20241231_10k.htm" TargetMode="External" Id="rId25" /><Relationship Type="http://schemas.openxmlformats.org/officeDocument/2006/relationships/hyperlink" Target="https://inventory.freeoilfieldquote.com/product/ariel-jgq-2-3-200-hp-vfd-electric-drive-3-stage-cng-com" TargetMode="External" Id="rId26" /><Relationship Type="http://schemas.openxmlformats.org/officeDocument/2006/relationships/hyperlink" Target="https://gbrrestoration.org/wp-content/uploads/2026/06/RRAP-CS-07_FINAL-REPORT-2025.pdf" TargetMode="External" Id="rId27" /><Relationship Type="http://schemas.openxmlformats.org/officeDocument/2006/relationships/hyperlink" Target="https://gbrrestoration.org/wp-content/uploads/2026/06/RRAP-CS-07_FINAL-REPORT-2025.pdf" TargetMode="External" Id="rId28" /><Relationship Type="http://schemas.openxmlformats.org/officeDocument/2006/relationships/hyperlink" Target="https://gbrrestoration.org/wp-content/uploads/2026/06/RRAP-CS-07_FINAL-REPORT-2025.pdf" TargetMode="External" Id="rId29" /><Relationship Type="http://schemas.openxmlformats.org/officeDocument/2006/relationships/hyperlink" Target="https://www.tc.canada.ca/sites/default/files/migrated/transactions_for_bwts_on_the_great_lakes___transport_canada.pdf" TargetMode="External" Id="rId30" /><Relationship Type="http://schemas.openxmlformats.org/officeDocument/2006/relationships/hyperlink" Target="https://www.rivieramm.com/news-content-hub/sticker-shock-price-of-psv-newbuildings-up-68-since-2016-79964" TargetMode="External" Id="rId31" /><Relationship Type="http://schemas.openxmlformats.org/officeDocument/2006/relationships/hyperlink" Target="https://www.rivieramm.com/news-content-hub/sticker-shock-price-of-psv-newbuildings-up-68-since-2016-79964" TargetMode="External" Id="rId32" /><Relationship Type="http://schemas.openxmlformats.org/officeDocument/2006/relationships/hyperlink" Target="https://netl.doe.gov/projects/files/QGESSCostEstMethodforNETLAssessmentsofPowerPlantPerformance_022621.pdf" TargetMode="External" Id="rId33" /><Relationship Type="http://schemas.openxmlformats.org/officeDocument/2006/relationships/hyperlink" Target="https://netl.doe.gov/projects/files/QGESSCostEstMethodforNETLAssessmentsofPowerPlantPerformance_022621.pdf" TargetMode="External" Id="rId34" /><Relationship Type="http://schemas.openxmlformats.org/officeDocument/2006/relationships/hyperlink" Target="https://gbrrestoration.org/wp-content/uploads/2026/06/RRAP-CS-07_FINAL-REPORT-2025.pdf" TargetMode="External" Id="rId35" /><Relationship Type="http://schemas.openxmlformats.org/officeDocument/2006/relationships/hyperlink" Target="https://netl.doe.gov/projects/files/QGESSCostEstMethodforNETLAssessmentsofPowerPlantPerformance_022621.pdf" TargetMode="External" Id="rId36" /><Relationship Type="http://schemas.openxmlformats.org/officeDocument/2006/relationships/hyperlink" Target="https://www.sec.gov/Archives/edgar/data/98222/000143774925005487/tdw20241231_10k.htm" TargetMode="External" Id="rId37" /><Relationship Type="http://schemas.openxmlformats.org/officeDocument/2006/relationships/hyperlink" Target="https://wwwcdn.imo.org/localresources/en/OurWork/Environment/Documents/Fourth%20IMO%20GHG%20Study%202020%20-%20Full%20report%20and%20annexes.pdf" TargetMode="External" Id="rId38" /><Relationship Type="http://schemas.openxmlformats.org/officeDocument/2006/relationships/hyperlink" Target="https://wwwcdn.imo.org/localresources/en/OurWork/Environment/Documents/Fourth%20IMO%20GHG%20Study%202020%20-%20Full%20report%20and%20annexes.pdf" TargetMode="External" Id="rId39" /><Relationship Type="http://schemas.openxmlformats.org/officeDocument/2006/relationships/hyperlink" Target="https://mdpi-res.com/d_attachment/jmse/jmse-11-00849/article_deploy/jmse-11-00849.pdf" TargetMode="External" Id="rId40" /><Relationship Type="http://schemas.openxmlformats.org/officeDocument/2006/relationships/hyperlink" Target="https://www.bls.gov/ooh/installation-maintenance-and-repair/wind-turbine-technicians.htm" TargetMode="External" Id="rId41" /><Relationship Type="http://schemas.openxmlformats.org/officeDocument/2006/relationships/hyperlink" Target="https://www.bls.gov/ooh/installation-maintenance-and-repair/wind-turbine-technicians.htm" TargetMode="External" Id="rId42" /><Relationship Type="http://schemas.openxmlformats.org/officeDocument/2006/relationships/hyperlink" Target="https://unctad.org/system/files/official-document/rmt2024_en.pdf" TargetMode="External" Id="rId43" /><Relationship Type="http://schemas.openxmlformats.org/officeDocument/2006/relationships/hyperlink" Target="https://wwwcdn.imo.org/localresources/en/OurWork/Environment/Documents/Fourth%20IMO%20GHG%20Study%202020%20-%20Full%20report%20and%20annexes.pdf" TargetMode="External" Id="rId44" /><Relationship Type="http://schemas.openxmlformats.org/officeDocument/2006/relationships/hyperlink" Target="https://globalmaritimehub.com/container-shipping-hits-new-fleet-and-capacity-milestones/" TargetMode="External" Id="rId45" /><Relationship Type="http://schemas.openxmlformats.org/officeDocument/2006/relationships/hyperlink" Target="https://unctad.org/system/files/official-document/rmt2025_en.pdf" TargetMode="External" Id="rId46" /><Relationship Type="http://schemas.openxmlformats.org/officeDocument/2006/relationships/hyperlink" Target="https://public.axsmarine.com/wp-content/uploads/2025/01/Alphaliner_Monthly_Monitor_Sample.pdf" TargetMode="External" Id="rId47" /><Relationship Type="http://schemas.openxmlformats.org/officeDocument/2006/relationships/hyperlink" Target="https://public.axsmarine.com/wp-content/uploads/2025/01/Alphaliner_Monthly_Monitor_Sample.pdf" TargetMode="External" Id="rId48" /><Relationship Type="http://schemas.openxmlformats.org/officeDocument/2006/relationships/hyperlink" Target="https://tethys.pnnl.gov/sites/default/files/publications/BVG_2023.pdf" TargetMode="External" Id="rId49" /><Relationship Type="http://schemas.openxmlformats.org/officeDocument/2006/relationships/hyperlink" Target="https://tethys.pnnl.gov/sites/default/files/publications/BVG_2023.pdf" TargetMode="External" Id="rId50" /><Relationship Type="http://schemas.openxmlformats.org/officeDocument/2006/relationships/hyperlink" Target="https://tethys.pnnl.gov/sites/default/files/publications/BVG_2023.pdf" TargetMode="External" Id="rId51" /><Relationship Type="http://schemas.openxmlformats.org/officeDocument/2006/relationships/hyperlink" Target="https://www.ncedc.org/ftp/outgoing/barbara/,ion/o2001024.pdf" TargetMode="External" Id="rId52" /><Relationship Type="http://schemas.openxmlformats.org/officeDocument/2006/relationships/hyperlink" Target="https://www.eia.gov/electricity/monthly/epm_table_grapher.php?t=epmt_5_6_a" TargetMode="External" Id="rId53" /><Relationship Type="http://schemas.openxmlformats.org/officeDocument/2006/relationships/hyperlink" Target="https://github.com/WISDEM/ORBIT/tree/main/library/cables" TargetMode="External" Id="rId54" /><Relationship Type="http://schemas.openxmlformats.org/officeDocument/2006/relationships/hyperlink" Target="https://tethys.pnnl.gov/sites/default/files/publications/BVG_2023.pdf" TargetMode="External" Id="rId55" /><Relationship Type="http://schemas.openxmlformats.org/officeDocument/2006/relationships/hyperlink" Target="https://tethys.pnnl.gov/sites/default/files/publications/BVG_2023.pdf" TargetMode="External" Id="rId56" /><Relationship Type="http://schemas.openxmlformats.org/officeDocument/2006/relationships/hyperlink" Target="https://tethys.pnnl.gov/sites/default/files/publications/BVG_2023.pdf" TargetMode="External" Id="rId57" /><Relationship Type="http://schemas.openxmlformats.org/officeDocument/2006/relationships/hyperlink" Target="https://doi.org/10.1016/j.apenergy.2023.120912" TargetMode="External" Id="rId58" /><Relationship Type="http://schemas.openxmlformats.org/officeDocument/2006/relationships/hyperlink" Target="https://github.com/WISDEM/ORBIT/tree/main/library/cables" TargetMode="External" Id="rId59" /><Relationship Type="http://schemas.openxmlformats.org/officeDocument/2006/relationships/hyperlink" Target="https://github.com/WISDEM/ORBIT/tree/main/library/cables" TargetMode="External" Id="rId60" /><Relationship Type="http://schemas.openxmlformats.org/officeDocument/2006/relationships/hyperlink" Target="https://www.britoil.com.sg/hubfs/BOS%20Precious%20Vessel%20Specification.pdf?hsLang=en" TargetMode="External" Id="rId61" /><Relationship Type="http://schemas.openxmlformats.org/officeDocument/2006/relationships/hyperlink" Target="https://pmc.ncbi.nlm.nih.gov/articles/PMC3405666/" TargetMode="External" Id="rId62" /><Relationship Type="http://schemas.openxmlformats.org/officeDocument/2006/relationships/hyperlink" Target="https://doi.org/10.5194/acp-13-10385-2013" TargetMode="External" Id="rId63" /><Relationship Type="http://schemas.openxmlformats.org/officeDocument/2006/relationships/hyperlink" Target="https://doi.org/10.5194/acp-21-14507-2021" TargetMode="External" Id="rId64" /><Relationship Type="http://schemas.openxmlformats.org/officeDocument/2006/relationships/hyperlink" Target="https://doi.org/10.3389/fmars.2025.1450175" TargetMode="External" Id="rId65" /><Relationship Type="http://schemas.openxmlformats.org/officeDocument/2006/relationships/hyperlink" Target="https://doi.org/10.1088/1748-9326/adccd7" TargetMode="External" Id="rId66" /><Relationship Type="http://schemas.openxmlformats.org/officeDocument/2006/relationships/hyperlink" Target="https://gbrrestoration.org/wp-content/uploads/2026/06/RRAP-CS-06_FINAL-REPORT-2025.pdf" TargetMode="External" Id="rId67" /><Relationship Type="http://schemas.openxmlformats.org/officeDocument/2006/relationships/hyperlink" Target="https://doi.org/10.1088/1748-9326/adccd7" TargetMode="External" Id="rId68" /><Relationship Type="http://schemas.openxmlformats.org/officeDocument/2006/relationships/hyperlink" Target="https://doi.org/10.5194/acp-21-14507-2021" TargetMode="External" Id="rId69" /><Relationship Type="http://schemas.openxmlformats.org/officeDocument/2006/relationships/hyperlink" Target="https://gbrrestoration.org/wp-content/uploads/2026/06/RRAP-CS-06_FINAL-REPORT-2025.pdf" TargetMode="External" Id="rId70" /><Relationship Type="http://schemas.openxmlformats.org/officeDocument/2006/relationships/hyperlink" Target="https://doi.org/10.5194/acp-21-14507-2021" TargetMode="External" Id="rId71" /><Relationship Type="http://schemas.openxmlformats.org/officeDocument/2006/relationships/hyperlink" Target="https://gbrrestoration.org/wp-content/uploads/2026/06/RRAP-CS-01_FINAL-REPORT-2025.pdf" TargetMode="External" Id="rId72" /><Relationship Type="http://schemas.openxmlformats.org/officeDocument/2006/relationships/hyperlink" Target="https://doi.org/10.1088/1748-9326/adccd7" TargetMode="External" Id="rId73" /><Relationship Type="http://schemas.openxmlformats.org/officeDocument/2006/relationships/hyperlink" Target="https://gbrrestoration.org/wp-content/uploads/2026/06/RRAP-CS-06_FINAL-REPORT-2025.pdf" TargetMode="External" Id="rId74" /><Relationship Type="http://schemas.openxmlformats.org/officeDocument/2006/relationships/hyperlink" Target="https://doi.org/10.5194/egusphere-2026-5460" TargetMode="External" Id="rId75" /><Relationship Type="http://schemas.openxmlformats.org/officeDocument/2006/relationships/hyperlink" Target="https://power.larc.nasa.gov/api/temporal/climatology/point?parameters=TOA_SW_DWN,ALLSKY_SFC_SW_DWN,CLRSKY_SFC_SW_DWN&amp;community=RE&amp;longitude=146.5&amp;latitude=-16.5&amp;format=JSON" TargetMode="External" Id="rId76" /><Relationship Type="http://schemas.openxmlformats.org/officeDocument/2006/relationships/hyperlink" Target="https://doi.org/10.5194/acp-21-14507-2021" TargetMode="External" Id="rId77" /><Relationship Type="http://schemas.openxmlformats.org/officeDocument/2006/relationships/hyperlink" Target="https://doi.org/10.5194/acp-21-14507-2021" TargetMode="External" Id="rId78" /><Relationship Type="http://schemas.openxmlformats.org/officeDocument/2006/relationships/hyperlink" Target="https://gbrrestoration.org/wp-content/uploads/2020/09/T14-Environmental-Modelling-of-Large-Scale-SRM_v3.03-3.pdf" TargetMode="External" Id="rId79" /><Relationship Type="http://schemas.openxmlformats.org/officeDocument/2006/relationships/hyperlink" Target="https://doi.org/10.5194/egusphere-2026-1251" TargetMode="External" Id="rId80" /><Relationship Type="http://schemas.openxmlformats.org/officeDocument/2006/relationships/hyperlink" Target="https://doi.org/10.5194/egusphere-2026-1251" TargetMode="External" Id="rId81" /><Relationship Type="http://schemas.openxmlformats.org/officeDocument/2006/relationships/hyperlink" Target="https://gbrrestoration.org/wp-content/uploads/2026/06/RRAP-CS-06_FINAL-REPORT-2025.pdf" TargetMode="External" Id="rId82" /><Relationship Type="http://schemas.openxmlformats.org/officeDocument/2006/relationships/hyperlink" Target="https://doi.org/10.1088/1748-9326/adccd7" TargetMode="External" Id="rId83" /><Relationship Type="http://schemas.openxmlformats.org/officeDocument/2006/relationships/hyperlink" Target="https://doi.org/10.5194/acp-21-14507-2021" TargetMode="External" Id="rId84" /><Relationship Type="http://schemas.openxmlformats.org/officeDocument/2006/relationships/hyperlink" Target="https://doi.org/10.5194/acp-18-621-2018" TargetMode="External" Id="rId85" /><Relationship Type="http://schemas.openxmlformats.org/officeDocument/2006/relationships/hyperlink" Target="https://doi.org/10.1029/2019RG000660" TargetMode="External" Id="rId86" /><Relationship Type="http://schemas.openxmlformats.org/officeDocument/2006/relationships/hyperlink" Target="https://doi.org/10.1126/science.abd3980" TargetMode="External" Id="rId87" /><Relationship Type="http://schemas.openxmlformats.org/officeDocument/2006/relationships/hyperlink" Target="https://doi.org/10.1029/2019AV000111" TargetMode="External" Id="rId88" /><Relationship Type="http://schemas.openxmlformats.org/officeDocument/2006/relationships/hyperlink" Target="https://doi.org/10.5194/acp-22-641-2022" TargetMode="External" Id="rId89" /><Relationship Type="http://schemas.openxmlformats.org/officeDocument/2006/relationships/hyperlink" Target="https://doi.org/10.1038/s41586-022-05122-0" TargetMode="External" Id="rId90" /><Relationship Type="http://schemas.openxmlformats.org/officeDocument/2006/relationships/hyperlink" Target="https://doi.org/10.5194/egusphere-2026-1251" TargetMode="External" Id="rId91" /><Relationship Type="http://schemas.openxmlformats.org/officeDocument/2006/relationships/hyperlink" Target="https://doi.org/10.5194/egusphere-2026-5460" TargetMode="External" Id="rId92" /><Relationship Type="http://schemas.openxmlformats.org/officeDocument/2006/relationships/hyperlink" Target="https://power.larc.nasa.gov/api/temporal/climatology/point?parameters=TOA_SW_DWN,ALLSKY_SFC_SW_DWN,CLRSKY_SFC_SW_DWN&amp;community=RE&amp;longitude=146.5&amp;latitude=-16.5&amp;format=JSON" TargetMode="External" Id="rId93" /><Relationship Type="http://schemas.openxmlformats.org/officeDocument/2006/relationships/hyperlink" Target="https://doi.org/10.5194/acp-21-14507-2021" TargetMode="External" Id="rId94" /><Relationship Type="http://schemas.openxmlformats.org/officeDocument/2006/relationships/hyperlink" Target="https://gbrrestoration.org/wp-content/uploads/2026/06/RRAP-CS-01_FINAL-REPORT-2025.pdf" TargetMode="External" Id="rId95" /><Relationship Type="http://schemas.openxmlformats.org/officeDocument/2006/relationships/hyperlink" Target="https://doi.org/10.5194/egusphere-2026-1251" TargetMode="External" Id="rId96" /><Relationship Type="http://schemas.openxmlformats.org/officeDocument/2006/relationships/hyperlink" Target="https://doi.org/10.5194/acp-21-14507-2021" TargetMode="External" Id="rId97" /><Relationship Type="http://schemas.openxmlformats.org/officeDocument/2006/relationships/hyperlink" Target="https://gbrrestoration.org/wp-content/uploads/2020/09/T14-Environmental-Modelling-of-Large-Scale-SRM_v3.03-3.pdf" TargetMode="External" Id="rId98" /><Relationship Type="http://schemas.openxmlformats.org/officeDocument/2006/relationships/hyperlink" Target="https://power.larc.nasa.gov/api/temporal/climatology/point?parameters=TOA_SW_DWN,ALLSKY_SFC_SW_DWN,CLRSKY_SFC_SW_DWN&amp;community=RE&amp;longitude=146.5&amp;latitude=-16.5&amp;format=JSON" TargetMode="External" Id="rId99" /><Relationship Type="http://schemas.openxmlformats.org/officeDocument/2006/relationships/hyperlink" Target="https://doi.org/10.5194/egusphere-2026-5460" TargetMode="External" Id="rId100" /><Relationship Type="http://schemas.openxmlformats.org/officeDocument/2006/relationships/hyperlink" Target="https://doi.org/10.5194/acp-21-14507-2021" TargetMode="External" Id="rId101" /><Relationship Type="http://schemas.openxmlformats.org/officeDocument/2006/relationships/hyperlink" Target="https://gbrrestoration.org/wp-content/uploads/2020/09/T14-Environmental-Modelling-of-Large-Scale-SRM_v3.03-3.pdf" TargetMode="External" Id="rId102" /><Relationship Type="http://schemas.openxmlformats.org/officeDocument/2006/relationships/hyperlink" Target="https://doi.org/10.5194/egusphere-2026-1251" TargetMode="External" Id="rId103" /><Relationship Type="http://schemas.openxmlformats.org/officeDocument/2006/relationships/hyperlink" Target="https://gbrrestoration.org/wp-content/uploads/2020/09/T14-Environmental-Modelling-of-Large-Scale-SRM_v3.03-3.pdf" TargetMode="External" Id="rId104" /><Relationship Type="http://schemas.openxmlformats.org/officeDocument/2006/relationships/hyperlink" Target="https://power.larc.nasa.gov/api/temporal/climatology/point?parameters=TOA_SW_DWN,ALLSKY_SFC_SW_DWN,CLRSKY_SFC_SW_DWN&amp;community=RE&amp;longitude=146.5&amp;latitude=-16.5&amp;format=JSON" TargetMode="External" Id="rId105" /><Relationship Type="http://schemas.openxmlformats.org/officeDocument/2006/relationships/hyperlink" Target="https://doi.org/10.5194/egusphere-2026-1251" TargetMode="External" Id="rId106" /><Relationship Type="http://schemas.openxmlformats.org/officeDocument/2006/relationships/hyperlink" Target="https://doi.org/10.5194/egusphere-2026-5460" TargetMode="External" Id="rId107" /><Relationship Type="http://schemas.openxmlformats.org/officeDocument/2006/relationships/hyperlink" Target="https://gbrrestoration.org/wp-content/uploads/2020/09/T14-Environmental-Modelling-of-Large-Scale-SRM_v3.03-3.pdf" TargetMode="External" Id="rId108" /><Relationship Type="http://schemas.openxmlformats.org/officeDocument/2006/relationships/hyperlink" Target="https://doi.org/10.5194/acp-13-10385-2013" TargetMode="External" Id="rId109" /><Relationship Type="http://schemas.openxmlformats.org/officeDocument/2006/relationships/hyperlink" Target="https://doi.org/10.1175/JCLI-D-25-0337.1" TargetMode="External" Id="rId110" /><Relationship Type="http://schemas.openxmlformats.org/officeDocument/2006/relationships/hyperlink" Target="https://doi.org/10.1175/JCLI-D-25-0337.1" TargetMode="External" Id="rId111" /><Relationship Type="http://schemas.openxmlformats.org/officeDocument/2006/relationships/hyperlink" Target="https://doi.org/10.1175/JCLI-D-25-0337.1" TargetMode="External" Id="rId112" /><Relationship Type="http://schemas.openxmlformats.org/officeDocument/2006/relationships/hyperlink" Target="https://doi.org/10.1175/JCLI-D-25-0337.1" TargetMode="External" Id="rId113" /><Relationship Type="http://schemas.openxmlformats.org/officeDocument/2006/relationships/hyperlink" Target="https://doi.org/10.1175/JCLI-D-25-0337.1" TargetMode="External" Id="rId114" /><Relationship Type="http://schemas.openxmlformats.org/officeDocument/2006/relationships/hyperlink" Target="https://doi.org/10.1175/JCLI-D-25-0337.1" TargetMode="External" Id="rId115" /><Relationship Type="http://schemas.openxmlformats.org/officeDocument/2006/relationships/hyperlink" Target="https://doi.org/10.5194/gmd-17-7963-2024" TargetMode="External" Id="rId116" /><Relationship Type="http://schemas.openxmlformats.org/officeDocument/2006/relationships/hyperlink" Target="https://doi.org/10.1175/JCLI-D-25-0337.1" TargetMode="External" Id="rId117" /><Relationship Type="http://schemas.openxmlformats.org/officeDocument/2006/relationships/hyperlink" Target="https://doi.org/10.1175/JCLI-D-25-0337.1" TargetMode="External" Id="rId118" /><Relationship Type="http://schemas.openxmlformats.org/officeDocument/2006/relationships/hyperlink" Target="https://doi.org/10.1175/JCLI-D-25-0337.1" TargetMode="External" Id="rId119" /><Relationship Type="http://schemas.openxmlformats.org/officeDocument/2006/relationships/hyperlink" Target="https://doi.org/10.1175/JCLI-D-25-0337.1" TargetMode="External" Id="rId120" /><Relationship Type="http://schemas.openxmlformats.org/officeDocument/2006/relationships/hyperlink" Target="https://doi.org/10.1175/JCLI-D-25-0337.1" TargetMode="External" Id="rId121" /><Relationship Type="http://schemas.openxmlformats.org/officeDocument/2006/relationships/hyperlink" Target="https://doi.org/10.1175/JCLI-D-25-0337.1" TargetMode="External" Id="rId122" /><Relationship Type="http://schemas.openxmlformats.org/officeDocument/2006/relationships/hyperlink" Target="https://doi.org/10.1017/9781009157896.009" TargetMode="External" Id="rId123" /><Relationship Type="http://schemas.openxmlformats.org/officeDocument/2006/relationships/hyperlink" Target="https://doi.org/10.1126/sciadv.aba1981" TargetMode="External" Id="rId124" /><Relationship Type="http://schemas.openxmlformats.org/officeDocument/2006/relationships/hyperlink" Target="https://doi.org/10.1029/2022MS003156" TargetMode="External" Id="rId125" /><Relationship Type="http://schemas.openxmlformats.org/officeDocument/2006/relationships/hyperlink" Target="https://doi.org/10.5194/acp-18-621-2018" TargetMode="External" Id="rId126" /><Relationship Type="http://schemas.openxmlformats.org/officeDocument/2006/relationships/hyperlink" Target="https://doi.org/10.5194/egusphere-2026-5460" TargetMode="External" Id="rId127" /><Relationship Type="http://schemas.openxmlformats.org/officeDocument/2006/relationships/hyperlink" Target="https://doi.org/10.5194/egusphere-2026-5460" TargetMode="External" Id="rId128" /><Relationship Type="http://schemas.openxmlformats.org/officeDocument/2006/relationships/hyperlink" Target="https://doi.org/10.5194/egusphere-2026-5460" TargetMode="External" Id="rId129" /><Relationship Type="http://schemas.openxmlformats.org/officeDocument/2006/relationships/hyperlink" Target="https://doi.org/10.5194/egusphere-2026-5460" TargetMode="External" Id="rId130" /><Relationship Type="http://schemas.openxmlformats.org/officeDocument/2006/relationships/hyperlink" Target="https://doi.org/10.5194/egusphere-2026-5460" TargetMode="External" Id="rId131" /><Relationship Type="http://schemas.openxmlformats.org/officeDocument/2006/relationships/hyperlink" Target="https://doi.org/10.1175/JCLI-D-25-0337.1" TargetMode="External" Id="rId132" /><Relationship Type="http://schemas.openxmlformats.org/officeDocument/2006/relationships/hyperlink" Target="https://doi.org/10.5194/egusphere-2026-5460" TargetMode="External" Id="rId133" /><Relationship Type="http://schemas.openxmlformats.org/officeDocument/2006/relationships/hyperlink" Target="https://doi.org/10.5194/egusphere-2026-5460" TargetMode="External" Id="rId134" /><Relationship Type="http://schemas.openxmlformats.org/officeDocument/2006/relationships/hyperlink" Target="https://doi.org/10.5194/egusphere-2026-5460" TargetMode="External" Id="rId135" /><Relationship Type="http://schemas.openxmlformats.org/officeDocument/2006/relationships/hyperlink" Target="https://doi.org/10.5194/egusphere-2026-5460" TargetMode="External" Id="rId136" /><Relationship Type="http://schemas.openxmlformats.org/officeDocument/2006/relationships/hyperlink" Target="https://doi.org/10.5194/egusphere-2026-5460" TargetMode="External" Id="rId137" /><Relationship Type="http://schemas.openxmlformats.org/officeDocument/2006/relationships/hyperlink" Target="https://doi.org/10.5194/egusphere-2026-5460" TargetMode="External" Id="rId138" /><Relationship Type="http://schemas.openxmlformats.org/officeDocument/2006/relationships/hyperlink" Target="https://doi.org/10.5194/egusphere-2026-5460" TargetMode="External" Id="rId139" /><Relationship Type="http://schemas.openxmlformats.org/officeDocument/2006/relationships/hyperlink" Target="https://doi.org/10.5194/acp-17-13071-2017" TargetMode="External" Id="rId140" /><Relationship Type="http://schemas.openxmlformats.org/officeDocument/2006/relationships/hyperlink" Target="https://doi.org/10.5194/acp-13-10385-2013" TargetMode="External" Id="rId141" /><Relationship Type="http://schemas.openxmlformats.org/officeDocument/2006/relationships/hyperlink" Target="https://doi.org/10.5194/acp-23-15305-2023" TargetMode="External" Id="rId142" /><Relationship Type="http://schemas.openxmlformats.org/officeDocument/2006/relationships/hyperlink" Target="https://doi.org/10.1029/2008JD011450" TargetMode="External" Id="rId143" /><Relationship Type="http://schemas.openxmlformats.org/officeDocument/2006/relationships/hyperlink" Target="https://doi.org/10.5194/acp-21-14507-2021" TargetMode="External" Id="rId144" /><Relationship Type="http://schemas.openxmlformats.org/officeDocument/2006/relationships/hyperlink" Target="https://doi.org/10.5194/acp-13-10385-2013" TargetMode="External" Id="rId145" /><Relationship Type="http://schemas.openxmlformats.org/officeDocument/2006/relationships/hyperlink" Target="https://doi.org/10.5194/acp-21-14507-2021" TargetMode="External" Id="rId146" /><Relationship Type="http://schemas.openxmlformats.org/officeDocument/2006/relationships/hyperlink" Target="https://doi.org/10.1175/JCLI-D-25-0337.1" TargetMode="External" Id="rId147" /><Relationship Type="http://schemas.openxmlformats.org/officeDocument/2006/relationships/hyperlink" Target="https://doi.org/10.1175/JCLI-D-25-0337.1" TargetMode="External" Id="rId148" /><Relationship Type="http://schemas.openxmlformats.org/officeDocument/2006/relationships/hyperlink" Target="https://doi.org/10.1175/JCLI-D-25-0337.1" TargetMode="External" Id="rId149" /><Relationship Type="http://schemas.openxmlformats.org/officeDocument/2006/relationships/hyperlink" Target="https://api.worldbank.org/v2/country/WLD/indicator/NY.GDP.MKTP.CD?format=json&amp;mrv=3" TargetMode="External" Id="rId150" /><Relationship Type="http://schemas.openxmlformats.org/officeDocument/2006/relationships/hyperlink" Target="https://doi.org/10.3386/w22933" TargetMode="External" Id="rId151" /><Relationship Type="http://schemas.openxmlformats.org/officeDocument/2006/relationships/hyperlink" Target="https://doi.org/10.1038/nature15725" TargetMode="External" Id="rId152" /><Relationship Type="http://schemas.openxmlformats.org/officeDocument/2006/relationships/hyperlink" Target="https://doi.org/10.3386/w32450" TargetMode="External" Id="rId153" /><Relationship Type="http://schemas.openxmlformats.org/officeDocument/2006/relationships/hyperlink" Target="https://gbrrestoration.org/wp-content/uploads/2020/09/T14-Environmental-Modelling-of-Large-Scale-SRM_v3.03-3.pdf" TargetMode="External" Id="rId154" /><Relationship Type="http://schemas.openxmlformats.org/officeDocument/2006/relationships/hyperlink" Target="https://doi.org/10.3390/rs13214343" TargetMode="External" Id="rId155" /><Relationship Type="http://schemas.openxmlformats.org/officeDocument/2006/relationships/hyperlink" Target="https://gbrrestoration.org/wp-content/uploads/2020/09/T14-Environmental-Modelling-of-Large-Scale-SRM_v3.03-3.pdf" TargetMode="External" Id="rId156" /><Relationship Type="http://schemas.openxmlformats.org/officeDocument/2006/relationships/hyperlink" Target="https://gbrrestoration.org/wp-content/uploads/2020/09/T14-Environmental-Modelling-of-Large-Scale-SRM_v3.03-3.pdf" TargetMode="External" Id="rId157" /><Relationship Type="http://schemas.openxmlformats.org/officeDocument/2006/relationships/hyperlink" Target="https://gbrrestoration.org/wp-content/uploads/2020/09/T14-Environmental-Modelling-of-Large-Scale-SRM_v3.03-3.pdf" TargetMode="External" Id="rId158" /><Relationship Type="http://schemas.openxmlformats.org/officeDocument/2006/relationships/hyperlink" Target="https://gbrrestoration.org/wp-content/uploads/2020/09/T14-Environmental-Modelling-of-Large-Scale-SRM_v3.03-3.pdf" TargetMode="External" Id="rId159" /><Relationship Type="http://schemas.openxmlformats.org/officeDocument/2006/relationships/hyperlink" Target="https://gbrrestoration.org/wp-content/uploads/2020/09/T14-Environmental-Modelling-of-Large-Scale-SRM_v3.03-3.pdf" TargetMode="External" Id="rId160" /><Relationship Type="http://schemas.openxmlformats.org/officeDocument/2006/relationships/hyperlink" Target="https://doi.org/10.1038/s41586-018-0041-2" TargetMode="External" Id="rId161" /><Relationship Type="http://schemas.openxmlformats.org/officeDocument/2006/relationships/hyperlink" Target="https://globalfundcoralreefs.org/reef-plus/knowledge/at-what-cost-safeguarding-the-great-barrier-reef-s-role-in-australia-s-economy/" TargetMode="External" Id="rId162" /><Relationship Type="http://schemas.openxmlformats.org/officeDocument/2006/relationships/hyperlink" Target="https://www.deloitte.com/content/dam/assets-zone1/au/en/docs/services/economics/deloitte-au-economics-great-barrier-reef-230617.pdf" TargetMode="External" Id="rId163" /><Relationship Type="http://schemas.openxmlformats.org/officeDocument/2006/relationships/hyperlink" Target="https://web.archive.org/web/20260101034222/https://www.aims.gov.au/monitoring-great-barrier-reef/gbr-condition-summary-2024-25" TargetMode="External" Id="rId164" /><Relationship Type="http://schemas.openxmlformats.org/officeDocument/2006/relationships/hyperlink" Target="https://web.archive.org/web/20260101034222/https://www.aims.gov.au/monitoring-great-barrier-reef/gbr-condition-summary-2024-25" TargetMode="External" Id="rId165" /><Relationship Type="http://schemas.openxmlformats.org/officeDocument/2006/relationships/hyperlink" Target="https://doi.org/10.1126/science.aan8048" TargetMode="External" Id="rId166" /><Relationship Type="http://schemas.openxmlformats.org/officeDocument/2006/relationships/hyperlink" Target="https://doi.org/10.1038/nature21707" TargetMode="External" Id="rId167" /><Relationship Type="http://schemas.openxmlformats.org/officeDocument/2006/relationships/hyperlink" Target="https://gbrrestoration.org/wp-content/uploads/2020/09/T14-Environmental-Modelling-of-Large-Scale-SRM_v3.03-3.pdf" TargetMode="External" Id="rId168" /><Relationship Type="http://schemas.openxmlformats.org/officeDocument/2006/relationships/hyperlink" Target="https://doi.org/10.5194/egusphere-2026-1251" TargetMode="External" Id="rId169" /><Relationship Type="http://schemas.openxmlformats.org/officeDocument/2006/relationships/hyperlink" Target="https://doi.org/10.5194/egusphere-2026-1251" TargetMode="External" Id="rId170" /><Relationship Type="http://schemas.openxmlformats.org/officeDocument/2006/relationships/hyperlink" Target="https://doi.org/10.5194/egusphere-2026-1251" TargetMode="External" Id="rId171" /><Relationship Type="http://schemas.openxmlformats.org/officeDocument/2006/relationships/hyperlink" Target="https://doi.org/10.1029/2010GL045777" TargetMode="External" Id="rId172" /><Relationship Type="http://schemas.openxmlformats.org/officeDocument/2006/relationships/hyperlink" Target="https://gbrrestoration.org/wp-content/uploads/2020/09/T14-Environmental-Modelling-of-Large-Scale-SRM_v3.03-3.pdf" TargetMode="External" Id="rId173" /><Relationship Type="http://schemas.openxmlformats.org/officeDocument/2006/relationships/hyperlink" Target="https://gbrrestoration.org/wp-content/uploads/2026/06/RRAP-CS-01_FINAL-REPORT-2025.pdf" TargetMode="External" Id="rId174" /><Relationship Type="http://schemas.openxmlformats.org/officeDocument/2006/relationships/hyperlink" Target="https://doi.org/10.1038/s41591-022-01872-6" TargetMode="External" Id="rId175" /><Relationship Type="http://schemas.openxmlformats.org/officeDocument/2006/relationships/hyperlink" Target="https://doi.org/10.1038/s41467-020-16970-7" TargetMode="External" Id="rId176" /><Relationship Type="http://schemas.openxmlformats.org/officeDocument/2006/relationships/hyperlink" Target="https://doi.org/10.1016/S2542-5196(21)00081-4" TargetMode="External" Id="rId177" /><Relationship Type="http://schemas.openxmlformats.org/officeDocument/2006/relationships/hyperlink" Target="https://doi.org/10.1038/s41591-022-01872-6" TargetMode="External" Id="rId178" /><Relationship Type="http://schemas.openxmlformats.org/officeDocument/2006/relationships/hyperlink" Target="https://doi.org/10.1016/S0140-6736(14)62114-0" TargetMode="External" Id="rId179" /><Relationship Type="http://schemas.openxmlformats.org/officeDocument/2006/relationships/hyperlink" Target="https://api.worldbank.org/v2/country/WLD/indicator/SP.DYN.CDRT.IN?format=json&amp;date=2019:2024" TargetMode="External" Id="rId180" /><Relationship Type="http://schemas.openxmlformats.org/officeDocument/2006/relationships/hyperlink" Target="https://doi.org/10.1038/s41591-022-01872-6" TargetMode="External" Id="rId181" /><Relationship Type="http://schemas.openxmlformats.org/officeDocument/2006/relationships/hyperlink" Target="https://www.epa.gov/environmental-economics/mortality-risk-valuation" TargetMode="External" Id="rId182" /><Relationship Type="http://schemas.openxmlformats.org/officeDocument/2006/relationships/hyperlink" Target="https://www.transportation.gov/office-policy/transportation-policy/revised-departmental-guidance-on-valuation-of-a-statistical-life-in-economic-analysis" TargetMode="External" Id="rId183" /><Relationship Type="http://schemas.openxmlformats.org/officeDocument/2006/relationships/hyperlink" Target="https://doi.org/10.1017/bca.2017.12" TargetMode="External" Id="rId184" /><Relationship Type="http://schemas.openxmlformats.org/officeDocument/2006/relationships/hyperlink" Target="https://doi.org/10.1787/9789264130807-en" TargetMode="External" Id="rId185" /><Relationship Type="http://schemas.openxmlformats.org/officeDocument/2006/relationships/hyperlink" Target="https://doi.org/10.1073/pnas.2401801121" TargetMode="External" Id="rId186" /><Relationship Type="http://schemas.openxmlformats.org/officeDocument/2006/relationships/hyperlink" Target="https://ghgsmart.imo.org/wp-content/uploads/2023/05/Fourth-IMO-GHG-Study-2020-Full-report-and-annexes_compressed.pdf" TargetMode="External" Id="rId187" /><Relationship Type="http://schemas.openxmlformats.org/officeDocument/2006/relationships/hyperlink" Target="https://www.elestrechodigital.com/en/2026/04/01/the-global-fleet-of-container-ships-surpasses-6-700-vessels-in-operation-for-the-first-time" TargetMode="External" Id="rId188" /><Relationship Type="http://schemas.openxmlformats.org/officeDocument/2006/relationships/hyperlink" Target="https://api.worldbank.org/v2/country/WLD/indicator/NY.GDP.MKTP.CD?format=json&amp;date=2020:2025" TargetMode="External" Id="rId189" /><Relationship Type="http://schemas.openxmlformats.org/officeDocument/2006/relationships/hyperlink" Target="https://api.worldbank.org/v2/country/WLD/indicator/NY.GDP.MKTP.CD?format=json&amp;date=2020:2025" TargetMode="External" Id="rId190" /><Relationship Type="http://schemas.openxmlformats.org/officeDocument/2006/relationships/hyperlink" Target="https://doi.org/10.3386/w22933" TargetMode="External" Id="rId191" /><Relationship Type="http://schemas.openxmlformats.org/officeDocument/2006/relationships/hyperlink" Target="https://doi.org/10.1038/nature15725" TargetMode="External" Id="rId192" /><Relationship Type="http://schemas.openxmlformats.org/officeDocument/2006/relationships/hyperlink" Target="https://doi.org/10.1016/j.jeem.2020.102360" TargetMode="External" Id="rId193" /><Relationship Type="http://schemas.openxmlformats.org/officeDocument/2006/relationships/hyperlink" Target="https://doi.org/10.1038/s41586-025-09726-0" TargetMode="External" Id="rId194" /><Relationship Type="http://schemas.openxmlformats.org/officeDocument/2006/relationships/hyperlink" Target="https://doi.org/10.1007/s10640-017-0166-z" TargetMode="External" Id="rId195" /><Relationship Type="http://schemas.openxmlformats.org/officeDocument/2006/relationships/hyperlink" Target="https://doi.org/10.1016/j.enpol.2023.113922" TargetMode="External" Id="rId196" /><Relationship Type="http://schemas.openxmlformats.org/officeDocument/2006/relationships/hyperlink" Target="https://doi.org/10.3386/w32450" TargetMode="External" Id="rId197" /><Relationship Type="http://schemas.openxmlformats.org/officeDocument/2006/relationships/hyperlink" Target="https://web.archive.org/web/20241230213521/https://www.epa.gov/system/files/documents/2023-12/epa_scghg_2023_report_final.pdf" TargetMode="External" Id="rId198" /><Relationship Type="http://schemas.openxmlformats.org/officeDocument/2006/relationships/hyperlink" Target="https://web.archive.org/web/20241230213156/https://www.whitehouse.gov/wp-content/uploads/2021/02/TechnicalSupportDocument_SocialCostofCarbonMethaneNitrousOxide.pdf" TargetMode="External" Id="rId199" /><Relationship Type="http://schemas.openxmlformats.org/officeDocument/2006/relationships/hyperlink" Target="https://doi.org/10.1038/s41586-022-05224-9" TargetMode="External" Id="rId200" /><Relationship Type="http://schemas.openxmlformats.org/officeDocument/2006/relationships/hyperlink" Target="https://www.deloitte.com/content/dam/assets-zone1/au/en/docs/services/economics/deloitte-au-economics-great-barrier-reef-230617.pdf" TargetMode="External" Id="rId201" /><Relationship Type="http://schemas.openxmlformats.org/officeDocument/2006/relationships/hyperlink" Target="https://doi.org/10.1039/d5ea00073d" TargetMode="External" Id="rId202" /><Relationship Type="http://schemas.openxmlformats.org/officeDocument/2006/relationships/hyperlink" Target="https://gbrrestoration.org/wp-content/uploads/2026/06/RRAP-CS-06_FINAL-REPORT-2025.pdf" TargetMode="External" Id="rId203" /><Relationship Type="http://schemas.openxmlformats.org/officeDocument/2006/relationships/hyperlink" Target="https://doi.org/10.5194/egusphere-2026-5460" TargetMode="External" Id="rId204" /><Relationship Type="http://schemas.openxmlformats.org/officeDocument/2006/relationships/hyperlink" Target="https://doi.org/10.3389/fmars.2025.1450175" TargetMode="External" Id="rId205" /><Relationship Type="http://schemas.openxmlformats.org/officeDocument/2006/relationships/hyperlink" Target="https://doi.org/10.1039/d5ea00073d" TargetMode="External" Id="rId206" /><Relationship Type="http://schemas.openxmlformats.org/officeDocument/2006/relationships/hyperlink" Target="https://gbrrestoration.org/wp-content/uploads/2026/06/RRAP-CS-06_FINAL-REPORT-2025.pdf" TargetMode="External" Id="rId207" /><Relationship Type="http://schemas.openxmlformats.org/officeDocument/2006/relationships/hyperlink" Target="https://doi.org/10.1088/1748-9326/adccd7" TargetMode="External" Id="rId208" /><Relationship Type="http://schemas.openxmlformats.org/officeDocument/2006/relationships/hyperlink" Target="https://gbrrestoration.org/wp-content/uploads/2026/06/RRAP-CS-06_FINAL-REPORT-2025.pdf" TargetMode="External" Id="rId209" /><Relationship Type="http://schemas.openxmlformats.org/officeDocument/2006/relationships/hyperlink" Target="https://gbrrestoration.org/wp-content/uploads/2020/09/T14-Environmental-Modelling-of-Large-Scale-SRM_v3.03-3.pdf" TargetMode="External" Id="rId210" /><Relationship Type="http://schemas.openxmlformats.org/officeDocument/2006/relationships/hyperlink" Target="https://doi.org/10.5194/egusphere-2026-5460" TargetMode="External" Id="rId211" /><Relationship Type="http://schemas.openxmlformats.org/officeDocument/2006/relationships/hyperlink" Target="https://doi.org/10.5194/egusphere-2026-5460" TargetMode="External" Id="rId212" /><Relationship Type="http://schemas.openxmlformats.org/officeDocument/2006/relationships/hyperlink" Target="https://gbrrestoration.org/wp-content/uploads/2026/06/RRAP-CS-07_FINAL-REPORT-2025.pdf" TargetMode="External" Id="rId213" /><Relationship Type="http://schemas.openxmlformats.org/officeDocument/2006/relationships/hyperlink" Target="https://doi.org/10.1073/pnas.2401801121" TargetMode="External" Id="rId214" /><Relationship Type="http://schemas.openxmlformats.org/officeDocument/2006/relationships/hyperlink" Target="https://www.nber.org/papers/w22933" TargetMode="External" Id="rId215" /><Relationship Type="http://schemas.openxmlformats.org/officeDocument/2006/relationships/hyperlink" Target="https://doi.org/10.3386/w32450" TargetMode="External" Id="rId216" /><Relationship Type="http://schemas.openxmlformats.org/officeDocument/2006/relationships/hyperlink" Target="https://doi.org/10.1038/s41586-025-09726-0" TargetMode="External" Id="rId217" /><Relationship Type="http://schemas.openxmlformats.org/officeDocument/2006/relationships/hyperlink" Target="https://doi.org/10.3386/w26167" TargetMode="External" Id="rId218" /><Relationship Type="http://schemas.openxmlformats.org/officeDocument/2006/relationships/hyperlink" Target="https://doi.org/10.5194/gmd-18-4899-2025" TargetMode="External" Id="rId219" /><Relationship Type="http://schemas.openxmlformats.org/officeDocument/2006/relationships/hyperlink" Target="https://www.tc.canada.ca/sites/default/files/migrated/transactions_for_bwts_on_the_great_lakes___transport_canada.pdf" TargetMode="External" Id="rId220" /></Relationships>
</file>

<file path=xl/worksheets/_rels/sheet5.xml.rels><Relationships xmlns="http://schemas.openxmlformats.org/package/2006/relationships"><Relationship Type="http://schemas.openxmlformats.org/officeDocument/2006/relationships/hyperlink" Target="https://doi.org/10.1039/d5ea00073d" TargetMode="External" Id="rId1" /><Relationship Type="http://schemas.openxmlformats.org/officeDocument/2006/relationships/hyperlink" Target="https://gbrrestoration.org/wp-content/uploads/2020/09/T14-Environmental-Modelling-of-Large-Scale-SRM_v3.03-3.pdf" TargetMode="External" Id="rId2" /><Relationship Type="http://schemas.openxmlformats.org/officeDocument/2006/relationships/hyperlink" Target="https://doi.org/10.5194/egusphere-2026-1251" TargetMode="External" Id="rId3" /><Relationship Type="http://schemas.openxmlformats.org/officeDocument/2006/relationships/hyperlink" Target="https://doi.org/10.1088/1748-9326/adccd7" TargetMode="External" Id="rId4" /><Relationship Type="http://schemas.openxmlformats.org/officeDocument/2006/relationships/hyperlink" Target="https://doi.org/10.3389/fmars.2025.1450175" TargetMode="External" Id="rId5" /><Relationship Type="http://schemas.openxmlformats.org/officeDocument/2006/relationships/hyperlink" Target="https://gbrrestoration.org/wp-content/uploads/2026/06/RRAP-CS-01_FINAL-REPORT-2025.pdf" TargetMode="External" Id="rId6" /><Relationship Type="http://schemas.openxmlformats.org/officeDocument/2006/relationships/hyperlink" Target="https://gbrrestoration.org/wp-content/uploads/2026/06/RRAP-CS-06_FINAL-REPORT-2025.pdf" TargetMode="External" Id="rId7" /><Relationship Type="http://schemas.openxmlformats.org/officeDocument/2006/relationships/hyperlink" Target="https://doi.org/10.1098/rsta.2012.0086" TargetMode="External" Id="rId8" /><Relationship Type="http://schemas.openxmlformats.org/officeDocument/2006/relationships/hyperlink" Target="https://doi.org/10.1175/JCLI-D-25-0337.1" TargetMode="External" Id="rId9" /><Relationship Type="http://schemas.openxmlformats.org/officeDocument/2006/relationships/hyperlink" Target="https://doi.org/10.1038/nclimate3301" TargetMode="External" Id="rId10" /><Relationship Type="http://schemas.openxmlformats.org/officeDocument/2006/relationships/hyperlink" Target="https://doi.org/10.1038/nature15725" TargetMode="External" Id="rId11" /><Relationship Type="http://schemas.openxmlformats.org/officeDocument/2006/relationships/hyperlink" Target="https://doi.org/10.5194/egusphere-2026-5460" TargetMode="External" Id="rId12" /><Relationship Type="http://schemas.openxmlformats.org/officeDocument/2006/relationships/hyperlink" Target="https://doi.org/10.25918/misc.469" TargetMode="External" Id="rId13" /><Relationship Type="http://schemas.openxmlformats.org/officeDocument/2006/relationships/hyperlink" Target="https://doi.org/10.25918/thesis.426" TargetMode="External" Id="rId14" /><Relationship Type="http://schemas.openxmlformats.org/officeDocument/2006/relationships/hyperlink" Target="https://www.alibaba.com/product-detail/Two-fluid-Nozzle-Fuel-Burner-Gas_1601145712214.html" TargetMode="External" Id="rId15" /><Relationship Type="http://schemas.openxmlformats.org/officeDocument/2006/relationships/hyperlink" Target="https://horizonoffshoreservices.com/wp-content/uploads/2024/07/HOS269.pdf ; https://www.rivieramm.com/news-content-hub/sticker-shock-price-of-psv-newbuildings-up-68-since-2016-79964" TargetMode="External" Id="rId16" /><Relationship Type="http://schemas.openxmlformats.org/officeDocument/2006/relationships/hyperlink" Target="https://openknowledge.worldbank.org/handle/10986/34218" TargetMode="External" Id="rId17" /></Relationships>
</file>

<file path=xl/worksheets/_rels/sheet6.xml.rels><Relationships xmlns="http://schemas.openxmlformats.org/package/2006/relationships"><Relationship Type="http://schemas.openxmlformats.org/officeDocument/2006/relationships/hyperlink" Target="https://web.archive.org/web/20260101034222/https://www.aims.gov.au/monitoring-great-barrier-reef/gbr-condition-summary-2024-25" TargetMode="External" Id="rId1" /><Relationship Type="http://schemas.openxmlformats.org/officeDocument/2006/relationships/hyperlink" Target="https://doi.org/10.25918/misc.469" TargetMode="External" Id="rId2" /><Relationship Type="http://schemas.openxmlformats.org/officeDocument/2006/relationships/hyperlink" Target="https://doi.org/10.5194/acp-17-13071-2017" TargetMode="External" Id="rId3" /><Relationship Type="http://schemas.openxmlformats.org/officeDocument/2006/relationships/hyperlink" Target="https://public.axsmarine.com/wp-content/uploads/2025/01/Alphaliner_Monthly_Monitor_Sample.pdf" TargetMode="External" Id="rId4" /><Relationship Type="http://schemas.openxmlformats.org/officeDocument/2006/relationships/hyperlink" Target="https://globalmaritimehub.com/container-shipping-hits-new-fleet-and-capacity-milestones/" TargetMode="External" Id="rId5" /><Relationship Type="http://schemas.openxmlformats.org/officeDocument/2006/relationships/hyperlink" Target="https://www.elestrechodigital.com/en/2026/04/01/the-global-fleet-of-container-ships-surpasses-6-700-vessels-in-operation-for-the-first-time" TargetMode="External" Id="rId6" /><Relationship Type="http://schemas.openxmlformats.org/officeDocument/2006/relationships/hyperlink" Target="https://www.bls.gov/ooh/installation-maintenance-and-repair/wind-turbine-technicians.htm" TargetMode="External" Id="rId7" /><Relationship Type="http://schemas.openxmlformats.org/officeDocument/2006/relationships/hyperlink" Target="https://tethys.pnnl.gov/sites/default/files/publications/BVG_2023.pdf" TargetMode="External" Id="rId8" /><Relationship Type="http://schemas.openxmlformats.org/officeDocument/2006/relationships/hyperlink" Target="https://doi.org/10.1029/2019RG000660" TargetMode="External" Id="rId9" /><Relationship Type="http://schemas.openxmlformats.org/officeDocument/2006/relationships/hyperlink" Target="https://doi.org/10.3386/w32450" TargetMode="External" Id="rId10" /><Relationship Type="http://schemas.openxmlformats.org/officeDocument/2006/relationships/hyperlink" Target="https://www.britoil.com.sg/hubfs/BOS%20Precious%20Vessel%20Specification.pdf?hsLang=en" TargetMode="External" Id="rId11" /><Relationship Type="http://schemas.openxmlformats.org/officeDocument/2006/relationships/hyperlink" Target="https://doi.org/10.1038/nature15725" TargetMode="External" Id="rId12" /><Relationship Type="http://schemas.openxmlformats.org/officeDocument/2006/relationships/hyperlink" Target="https://gbrrestoration.org/wp-content/uploads/2026/06/RRAP-CS-06_FINAL-REPORT-2025.pdf" TargetMode="External" Id="rId13" /><Relationship Type="http://schemas.openxmlformats.org/officeDocument/2006/relationships/hyperlink" Target="https://doi.org/10.5194/acp-22-641-2022" TargetMode="External" Id="rId14" /><Relationship Type="http://schemas.openxmlformats.org/officeDocument/2006/relationships/hyperlink" Target="https://www.transportation.gov/office-policy/transportation-policy/revised-departmental-guidance-on-valuation-of-a-statistical-life-in-economic-analysis" TargetMode="External" Id="rId15" /><Relationship Type="http://schemas.openxmlformats.org/officeDocument/2006/relationships/hyperlink" Target="https://pages.stern.nyu.edu/~adamodar/New_Home_Page/datafile/wacc.html" TargetMode="External" Id="rId16" /><Relationship Type="http://schemas.openxmlformats.org/officeDocument/2006/relationships/hyperlink" Target="https://www.deloitte.com/content/dam/assets-zone1/au/en/docs/services/economics/deloitte-au-economics-great-barrier-reef-230617.pdf" TargetMode="External" Id="rId17" /><Relationship Type="http://schemas.openxmlformats.org/officeDocument/2006/relationships/hyperlink" Target="https://globalfundcoralreefs.org/reef-plus/knowledge/at-what-cost-safeguarding-the-great-barrier-reef-s-role-in-australia-s-economy/" TargetMode="External" Id="rId18" /><Relationship Type="http://schemas.openxmlformats.org/officeDocument/2006/relationships/hyperlink" Target="https://www.ncedc.org/ftp/outgoing/barbara/,ion/o2001024.pdf" TargetMode="External" Id="rId19" /><Relationship Type="http://schemas.openxmlformats.org/officeDocument/2006/relationships/hyperlink" Target="https://doi.org/10.1029/2019AV000111" TargetMode="External" Id="rId20" /><Relationship Type="http://schemas.openxmlformats.org/officeDocument/2006/relationships/hyperlink" Target="https://api.frankfurter.dev/v1/2016-01-01..2026-10-23?base=AUD&amp;symbols=USD" TargetMode="External" Id="rId21" /><Relationship Type="http://schemas.openxmlformats.org/officeDocument/2006/relationships/hyperlink" Target="https://www.eia.gov/electricity/monthly/epm_table_grapher.php?t=epmt_5_6_a" TargetMode="External" Id="rId22" /><Relationship Type="http://schemas.openxmlformats.org/officeDocument/2006/relationships/hyperlink" Target="https://web.archive.org/web/20241230213521/https://www.epa.gov/system/files/documents/2023-12/epa_scghg_2023_report_final.pdf" TargetMode="External" Id="rId23" /><Relationship Type="http://schemas.openxmlformats.org/officeDocument/2006/relationships/hyperlink" Target="https://www.epa.gov/environmental-economics/mortality-risk-valuation" TargetMode="External" Id="rId24" /><Relationship Type="http://schemas.openxmlformats.org/officeDocument/2006/relationships/hyperlink" Target="https://doi.org/10.1038/nclimate3301" TargetMode="External" Id="rId25" /><Relationship Type="http://schemas.openxmlformats.org/officeDocument/2006/relationships/hyperlink" Target="https://doi.org/10.1017/9781009157896.009" TargetMode="External" Id="rId26" /><Relationship Type="http://schemas.openxmlformats.org/officeDocument/2006/relationships/hyperlink" Target="https://doi.org/10.1016/S0140-6736(14)62114-0" TargetMode="External" Id="rId27" /><Relationship Type="http://schemas.openxmlformats.org/officeDocument/2006/relationships/hyperlink" Target="https://doi.org/10.5194/gmd-18-4899-2025" TargetMode="External" Id="rId28" /><Relationship Type="http://schemas.openxmlformats.org/officeDocument/2006/relationships/hyperlink" Target="https://doi.org/10.1126/science.abd3980" TargetMode="External" Id="rId29" /><Relationship Type="http://schemas.openxmlformats.org/officeDocument/2006/relationships/hyperlink" Target="https://doi.org/10.1029/2022MS003156" TargetMode="External" Id="rId30" /><Relationship Type="http://schemas.openxmlformats.org/officeDocument/2006/relationships/hyperlink" Target="https://horizonoffshoreservices.com/wp-content/uploads/2024/07/HOS269.pdf" TargetMode="External" Id="rId31" /><Relationship Type="http://schemas.openxmlformats.org/officeDocument/2006/relationships/hyperlink" Target="https://doi.org/10.1007/s10640-017-0166-z" TargetMode="External" Id="rId32" /><Relationship Type="http://schemas.openxmlformats.org/officeDocument/2006/relationships/hyperlink" Target="https://doi.org/10.1073/pnas.2401801121" TargetMode="External" Id="rId33" /><Relationship Type="http://schemas.openxmlformats.org/officeDocument/2006/relationships/hyperlink" Target="https://doi.org/10.1039/d5ea00073d" TargetMode="External" Id="rId34" /><Relationship Type="http://schemas.openxmlformats.org/officeDocument/2006/relationships/hyperlink" Target="https://gbrrestoration.org/wp-content/uploads/2020/09/T14-Environmental-Modelling-of-Large-Scale-SRM_v3.03-3.pdf" TargetMode="External" Id="rId35" /><Relationship Type="http://schemas.openxmlformats.org/officeDocument/2006/relationships/hyperlink" Target="https://gbrrestoration.org/wp-content/uploads/2026/06/RRAP-CS-01_FINAL-REPORT-2025.pdf" TargetMode="External" Id="rId36" /><Relationship Type="http://schemas.openxmlformats.org/officeDocument/2006/relationships/hyperlink" Target="https://doi.org/10.5194/acp-23-15305-2023" TargetMode="External" Id="rId37" /><Relationship Type="http://schemas.openxmlformats.org/officeDocument/2006/relationships/hyperlink" Target="https://doi.org/10.1088/1748-9326/adccd7" TargetMode="External" Id="rId38" /><Relationship Type="http://schemas.openxmlformats.org/officeDocument/2006/relationships/hyperlink" Target="https://doi.org/10.3389/fmars.2025.1450175" TargetMode="External" Id="rId39" /><Relationship Type="http://schemas.openxmlformats.org/officeDocument/2006/relationships/hyperlink" Target="https://doi.org/10.5194/egusphere-2026-5460" TargetMode="External" Id="rId40" /><Relationship Type="http://schemas.openxmlformats.org/officeDocument/2006/relationships/hyperlink" Target="https://doi.org/10.1175/JCLI-D-25-0337.1" TargetMode="External" Id="rId41" /><Relationship Type="http://schemas.openxmlformats.org/officeDocument/2006/relationships/hyperlink" Target="https://doi.org/10.1038/nature21707" TargetMode="External" Id="rId42" /><Relationship Type="http://schemas.openxmlformats.org/officeDocument/2006/relationships/hyperlink" Target="https://doi.org/10.1038/s41586-018-0041-2" TargetMode="External" Id="rId43" /><Relationship Type="http://schemas.openxmlformats.org/officeDocument/2006/relationships/hyperlink" Target="https://doi.org/10.1126/science.aan8048" TargetMode="External" Id="rId44" /><Relationship Type="http://schemas.openxmlformats.org/officeDocument/2006/relationships/hyperlink" Target="https://wwwcdn.imo.org/localresources/en/OurWork/Environment/Documents/Fourth%20IMO%20GHG%20Study%202020%20-%20Full%20report%20and%20annexes.pdf" TargetMode="External" Id="rId45" /><Relationship Type="http://schemas.openxmlformats.org/officeDocument/2006/relationships/hyperlink" Target="https://ghgsmart.imo.org/wp-content/uploads/2023/05/Fourth-IMO-GHG-Study-2020-Full-report-and-annexes_compressed.pdf" TargetMode="External" Id="rId46" /><Relationship Type="http://schemas.openxmlformats.org/officeDocument/2006/relationships/hyperlink" Target="https://web.archive.org/web/20241230213156/https://www.whitehouse.gov/wp-content/uploads/2021/02/TechnicalSupportDocument_SocialCostofCarbonMethaneNitrousOxide.pdf" TargetMode="External" Id="rId47" /><Relationship Type="http://schemas.openxmlformats.org/officeDocument/2006/relationships/hyperlink" Target="https://doi.org/10.1029/2008JD011450" TargetMode="External" Id="rId48" /><Relationship Type="http://schemas.openxmlformats.org/officeDocument/2006/relationships/hyperlink" Target="https://doi.org/10.1016/j.jeem.2020.102360" TargetMode="External" Id="rId49" /><Relationship Type="http://schemas.openxmlformats.org/officeDocument/2006/relationships/hyperlink" Target="https://doi.org/10.3386/w26167" TargetMode="External" Id="rId50" /><Relationship Type="http://schemas.openxmlformats.org/officeDocument/2006/relationships/hyperlink" Target="https://doi.org/10.1038/s41591-022-01872-6" TargetMode="External" Id="rId51" /><Relationship Type="http://schemas.openxmlformats.org/officeDocument/2006/relationships/hyperlink" Target="https://doi.org/10.1016/j.apenergy.2023.120912" TargetMode="External" Id="rId52" /><Relationship Type="http://schemas.openxmlformats.org/officeDocument/2006/relationships/hyperlink" Target="https://doi.org/10.1029/2010GL045777" TargetMode="External" Id="rId53" /><Relationship Type="http://schemas.openxmlformats.org/officeDocument/2006/relationships/hyperlink" Target="https://doi.org/10.1038/s41586-025-09726-0" TargetMode="External" Id="rId54" /><Relationship Type="http://schemas.openxmlformats.org/officeDocument/2006/relationships/hyperlink" Target="https://doi.org/10.1038/s41586-025-09726-0" TargetMode="External" Id="rId55" /><Relationship Type="http://schemas.openxmlformats.org/officeDocument/2006/relationships/hyperlink" Target="https://pmc.ncbi.nlm.nih.gov/articles/PMC3405666/" TargetMode="External" Id="rId56" /><Relationship Type="http://schemas.openxmlformats.org/officeDocument/2006/relationships/hyperlink" Target="https://doi.org/10.1038/s41586-022-05122-0" TargetMode="External" Id="rId57" /><Relationship Type="http://schemas.openxmlformats.org/officeDocument/2006/relationships/hyperlink" Target="https://doi.org/10.1126/sciadv.aba1981" TargetMode="External" Id="rId58" /><Relationship Type="http://schemas.openxmlformats.org/officeDocument/2006/relationships/hyperlink" Target="https://mdpi-res.com/d_attachment/jmse/jmse-11-00849/article_deploy/jmse-11-00849.pdf" TargetMode="External" Id="rId59" /><Relationship Type="http://schemas.openxmlformats.org/officeDocument/2006/relationships/hyperlink" Target="https://power.larc.nasa.gov/api/temporal/climatology/point?parameters=TOA_SW_DWN,ALLSKY_SFC_SW_DWN,CLRSKY_SFC_SW_DWN&amp;community=RE&amp;longitude=146.5&amp;latitude=-16.5&amp;format=JSON" TargetMode="External" Id="rId60" /><Relationship Type="http://schemas.openxmlformats.org/officeDocument/2006/relationships/hyperlink" Target="https://netl.doe.gov/projects/files/QGESSCostEstMethodforNETLAssessmentsofPowerPlantPerformance_022621.pdf" TargetMode="External" Id="rId61" /><Relationship Type="http://schemas.openxmlformats.org/officeDocument/2006/relationships/hyperlink" Target="https://github.com/WISDEM/ORBIT/tree/main/library/cables" TargetMode="External" Id="rId62" /><Relationship Type="http://schemas.openxmlformats.org/officeDocument/2006/relationships/hyperlink" Target="https://doi.org/10.3386/w22933" TargetMode="External" Id="rId63" /><Relationship Type="http://schemas.openxmlformats.org/officeDocument/2006/relationships/hyperlink" Target="https://www.alibaba.com/product-detail/Two-fluid-Nozzle-Fuel-Burner-Gas_1601145712214.html" TargetMode="External" Id="rId64" /><Relationship Type="http://schemas.openxmlformats.org/officeDocument/2006/relationships/hyperlink" Target="https://doi.org/10.1787/9789264130807-en" TargetMode="External" Id="rId65" /><Relationship Type="http://schemas.openxmlformats.org/officeDocument/2006/relationships/hyperlink" Target="https://bidenwhitehouse.archives.gov/wp-content/uploads/2023/11/CircularA-4.pdf" TargetMode="External" Id="rId66" /><Relationship Type="http://schemas.openxmlformats.org/officeDocument/2006/relationships/hyperlink" Target="https://doi.org/10.1038/s41467-020-16970-7" TargetMode="External" Id="rId67" /><Relationship Type="http://schemas.openxmlformats.org/officeDocument/2006/relationships/hyperlink" Target="https://doi.org/10.25918/thesis.426" TargetMode="External" Id="rId68" /><Relationship Type="http://schemas.openxmlformats.org/officeDocument/2006/relationships/hyperlink" Target="https://gbrrestoration.org/wp-content/uploads/2026/06/RRAP-CS-07_FINAL-REPORT-2025.pdf" TargetMode="External" Id="rId69" /><Relationship Type="http://schemas.openxmlformats.org/officeDocument/2006/relationships/hyperlink" Target="https://doi.org/10.5194/gmd-17-7963-2024" TargetMode="External" Id="rId70" /><Relationship Type="http://schemas.openxmlformats.org/officeDocument/2006/relationships/hyperlink" Target="https://doi.org/10.1038/s41586-022-05224-9" TargetMode="External" Id="rId71" /><Relationship Type="http://schemas.openxmlformats.org/officeDocument/2006/relationships/hyperlink" Target="https://www.rivieramm.com/news-content-hub/sticker-shock-price-of-psv-newbuildings-up-68-since-2016-79964" TargetMode="External" Id="rId72" /><Relationship Type="http://schemas.openxmlformats.org/officeDocument/2006/relationships/hyperlink" Target="https://doi.org/10.3390/rs13214343" TargetMode="External" Id="rId73" /><Relationship Type="http://schemas.openxmlformats.org/officeDocument/2006/relationships/hyperlink" Target="https://www.shipuniverse.com/news/bunker-prices-pull-back-from-last-weeks-spike-but-mgo-remains-a-major-cost-risk/" TargetMode="External" Id="rId74" /><Relationship Type="http://schemas.openxmlformats.org/officeDocument/2006/relationships/hyperlink" Target="https://doi.org/10.5194/acp-18-621-2018" TargetMode="External" Id="rId75" /><Relationship Type="http://schemas.openxmlformats.org/officeDocument/2006/relationships/hyperlink" Target="https://doi.org/10.5194/acp-13-10385-2013" TargetMode="External" Id="rId76" /><Relationship Type="http://schemas.openxmlformats.org/officeDocument/2006/relationships/hyperlink" Target="https://www.sec.gov/Archives/edgar/data/98222/000143774925005487/tdw20241231_10k.htm" TargetMode="External" Id="rId77" /><Relationship Type="http://schemas.openxmlformats.org/officeDocument/2006/relationships/hyperlink" Target="https://doi.org/10.1016/j.enpol.2023.113922" TargetMode="External" Id="rId78" /><Relationship Type="http://schemas.openxmlformats.org/officeDocument/2006/relationships/hyperlink" Target="https://www.tc.canada.ca/sites/default/files/migrated/transactions_for_bwts_on_the_great_lakes___transport_canada.pdf" TargetMode="External" Id="rId79" /><Relationship Type="http://schemas.openxmlformats.org/officeDocument/2006/relationships/hyperlink" Target="https://unctad.org/system/files/official-document/rmt2024_en.pdf" TargetMode="External" Id="rId80" /><Relationship Type="http://schemas.openxmlformats.org/officeDocument/2006/relationships/hyperlink" Target="https://unctad.org/system/files/official-document/rmt2025_en.pdf" TargetMode="External" Id="rId81" /><Relationship Type="http://schemas.openxmlformats.org/officeDocument/2006/relationships/hyperlink" Target="https://inventory.freeoilfieldquote.com/product/ariel-jgq-2-3-200-hp-vfd-electric-drive-3-stage-cng-com" TargetMode="External" Id="rId82" /><Relationship Type="http://schemas.openxmlformats.org/officeDocument/2006/relationships/hyperlink" Target="https://doi.org/10.1017/bca.2017.12" TargetMode="External" Id="rId83" /><Relationship Type="http://schemas.openxmlformats.org/officeDocument/2006/relationships/hyperlink" Target="https://horizonoffshoreservices.com/wp-content/uploads/2024/07/HOS269.pdf ; https://www.rivieramm.com/news-content-hub/sticker-shock-price-of-psv-newbuildings-up-68-since-2016-79964" TargetMode="External" Id="rId84" /><Relationship Type="http://schemas.openxmlformats.org/officeDocument/2006/relationships/hyperlink" Target="https://api.worldbank.org/v2/country/WLD/indicator/SP.DYN.CDRT.IN?format=json&amp;date=2019:2024" TargetMode="External" Id="rId85" /><Relationship Type="http://schemas.openxmlformats.org/officeDocument/2006/relationships/hyperlink" Target="https://api.worldbank.org/v2/country/WLD/indicator/NY.GDP.MKTP.CD?format=json&amp;date=2020:2025" TargetMode="External" Id="rId86" /><Relationship Type="http://schemas.openxmlformats.org/officeDocument/2006/relationships/hyperlink" Target="https://doi.org/10.5194/acp-21-14507-2021" TargetMode="External" Id="rId87" /><Relationship Type="http://schemas.openxmlformats.org/officeDocument/2006/relationships/hyperlink" Target="https://api.worldbank.org/v2/country/WLD/indicator/NY.GDP.MKTP.CD?format=json&amp;mrv=3" TargetMode="External" Id="rId88" /><Relationship Type="http://schemas.openxmlformats.org/officeDocument/2006/relationships/hyperlink" Target="https://openknowledge.worldbank.org/handle/10986/34218" TargetMode="External" Id="rId89" /><Relationship Type="http://schemas.openxmlformats.org/officeDocument/2006/relationships/hyperlink" Target="https://doi.org/10.5194/egusphere-2026-1251" TargetMode="External" Id="rId90" /><Relationship Type="http://schemas.openxmlformats.org/officeDocument/2006/relationships/hyperlink" Target="https://doi.org/10.1016/S2542-5196(21)00081-4" TargetMode="External" Id="rId91"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40" customWidth="1" min="1" max="1"/>
  </cols>
  <sheetData>
    <row r="1">
      <c r="A1" s="1" t="inlineStr">
        <is>
          <t>MCB TEA review: claims, citations and literature distributions</t>
        </is>
      </c>
    </row>
    <row r="2">
      <c r="A2" s="2" t="inlineStr">
        <is>
          <t>Reviews "Draft MCB TEA and Cost Benefit TJ 10122026.xlsx" (github.com/titojankowski/mcb-tea-cost-benefit, commit fa3100f). Prepared Oct 2026 by Mike German (Steps Ventures) with AI-assisted research; every number traces to a cited source or a stated derivation.</t>
        </is>
      </c>
    </row>
    <row r="3">
      <c r="A3" s="2" t="inlineStr"/>
    </row>
    <row r="4">
      <c r="A4" s="2" t="inlineStr">
        <is>
          <t>How to use this file</t>
        </is>
      </c>
    </row>
    <row r="5">
      <c r="A5" s="2" t="inlineStr">
        <is>
          <t>Review findings: errors and omissions found in three review passes. Each was independently re-checked by a second reviewer trying to refute it; the verdict column says what survived. Rows marked FROM CITATION PASS were found once during sourcing and not yet re-checked.</t>
        </is>
      </c>
    </row>
    <row r="6">
      <c r="A6" s="2" t="inlineStr">
        <is>
          <t>Parameter summary: one row per hard-coded workbook input, with the range across all sources found (lowest low, highest high, spread of central values) and whether the workbook value sits inside it.</t>
        </is>
      </c>
    </row>
    <row r="7">
      <c r="A7" s="2" t="inlineStr">
        <is>
          <t>Claims &amp; citations: one row per (input, source) pair. The source's central value, its kind (mean, median, point), the spread (SD, 5-95%, IQR, min-max across studies or models), the number of studies or models behind it, the exact table/figure/page, and whether we read full text or only the abstract.</t>
        </is>
      </c>
    </row>
    <row r="8">
      <c r="A8" s="2" t="inlineStr">
        <is>
          <t>Reference audit: each entry in the workbook's own References tab, checked for a resolving link, matching title/authors/year, and whether the source contains the kind of number it is cited for.</t>
        </is>
      </c>
    </row>
    <row r="9">
      <c r="A9" s="2" t="inlineStr">
        <is>
          <t>Sources: every source used, with the link status we got when we fetched it.</t>
        </is>
      </c>
    </row>
    <row r="10">
      <c r="A10" s="2" t="inlineStr"/>
    </row>
    <row r="11">
      <c r="A11" s="2" t="inlineStr">
        <is>
          <t>Column notes</t>
        </is>
      </c>
    </row>
    <row r="12">
      <c r="A12" s="2" t="inlineStr">
        <is>
          <t>workbook_vs_lit: within / below range / above range / no comparable value / definitional (unit conversions and labels, not searched).</t>
        </is>
      </c>
    </row>
    <row r="13">
      <c r="A13" s="2" t="inlineStr">
        <is>
          <t>favours_mcb: "yes" means using the workbook value instead of the literature central makes MCB look better.</t>
        </is>
      </c>
    </row>
    <row r="14">
      <c r="A14" s="2" t="inlineStr">
        <is>
          <t>url_status: HTTP status when fetched. 403 usually means a publisher blocking scripts or a paywall; the DOI was confirmed through Crossref metadata in those cases.</t>
        </is>
      </c>
    </row>
    <row r="15">
      <c r="A15" s="2" t="inlineStr">
        <is>
          <t>access: "full text", "abstract only", or "paywalled, from secondary". Values from abstracts are limited to what the abstract states.</t>
        </is>
      </c>
    </row>
    <row r="16">
      <c r="A16" s="2" t="inlineStr">
        <is>
          <t>"derived": the value is our arithmetic from a source, shown in notes.</t>
        </is>
      </c>
    </row>
    <row r="17">
      <c r="A17" s="2" t="inlineStr"/>
    </row>
    <row r="18">
      <c r="A18" s="2" t="inlineStr">
        <is>
          <t>Caveats</t>
        </is>
      </c>
    </row>
    <row r="19">
      <c r="A19" s="2" t="inlineStr">
        <is>
          <t>Single-model or single-study values are shown as points, not distributions; where a spread exists only across models, spread_kind says "model spread".</t>
        </is>
      </c>
    </row>
    <row r="20">
      <c r="A20" s="2" t="inlineStr">
        <is>
          <t>Harrison et al. 2025 (the main nozzle source) could not be read in full; values attributed to it are from the workbook and cross-checked against RRAP CS-06 and the ERL 2025 abstract.</t>
        </is>
      </c>
    </row>
    <row r="21">
      <c r="A21" s="2" t="inlineStr">
        <is>
          <t>Preprints (Hirasawa 2026 EGUsphere, Zhao 2026 EGUsphere) are not peer reviewed.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22" customWidth="1" min="3" max="3"/>
    <col width="16" customWidth="1" min="4" max="4"/>
    <col width="30" customWidth="1" min="5" max="5"/>
    <col width="16" customWidth="1" min="6" max="6"/>
    <col width="60" customWidth="1" min="7" max="7"/>
    <col width="50" customWidth="1" min="8" max="8"/>
    <col width="16" customWidth="1" min="9" max="9"/>
  </cols>
  <sheetData>
    <row r="1">
      <c r="A1" s="3" t="inlineStr">
        <is>
          <t>id</t>
        </is>
      </c>
      <c r="B1" s="3" t="inlineStr">
        <is>
          <t>finding</t>
        </is>
      </c>
      <c r="C1" s="3" t="inlineStr">
        <is>
          <t>cells</t>
        </is>
      </c>
      <c r="D1" s="3" t="inlineStr">
        <is>
          <t>verdict_after_independent_check</t>
        </is>
      </c>
      <c r="E1" s="3" t="inlineStr">
        <is>
          <t>magnitude</t>
        </is>
      </c>
      <c r="F1" s="3" t="inlineStr">
        <is>
          <t>favours_mcb</t>
        </is>
      </c>
      <c r="G1" s="3" t="inlineStr">
        <is>
          <t>evidence</t>
        </is>
      </c>
      <c r="H1" s="3" t="inlineStr">
        <is>
          <t>citations</t>
        </is>
      </c>
      <c r="I1" s="3" t="inlineStr">
        <is>
          <t>confidence</t>
        </is>
      </c>
    </row>
    <row r="2">
      <c r="A2" s="4" t="inlineStr">
        <is>
          <t>F01</t>
        </is>
      </c>
      <c r="B2" s="2" t="inlineStr">
        <is>
          <t>City heat benefit uses a typed-in 0.8 °C peak cooling, not the model's own physics; cloud availability never applied; 0.106 of a vessel chartered for 14 days</t>
        </is>
      </c>
      <c r="C2" s="2" t="inlineStr">
        <is>
          <t>5d!B8, B11, B13, B15, B25, D26</t>
        </is>
      </c>
      <c r="D2" s="2" t="inlineStr">
        <is>
          <t>CONFIRMED</t>
        </is>
      </c>
      <c r="E2" s="2" t="inlineStr">
        <is>
          <t>516x return falls to ~1.5-7x realistic (whole vessel, physics-based dose); 0.8-1.8x with a 90-day standby charter</t>
        </is>
      </c>
      <c r="F2" s="2" t="inlineStr">
        <is>
          <t>yes (overstates)</t>
        </is>
      </c>
      <c r="G2" s="2" t="inlineStr">
        <is>
          <t>5d!G8 source note says only 'Assumption'; 5a chain gives 0.224 °C peak; note D26 claims cloud availability is inside 5a realization factor but B25/B11 never read it</t>
        </is>
      </c>
      <c r="H2" s="2" t="inlineStr">
        <is>
          <t>Harrison et al. 2019 RRAP T14 (0.0225 °C per W/m2)</t>
        </is>
      </c>
      <c r="I2" s="2" t="inlineStr">
        <is>
          <t>high</t>
        </is>
      </c>
    </row>
    <row r="3">
      <c r="A3" s="4" t="inlineStr">
        <is>
          <t>F02</t>
        </is>
      </c>
      <c r="B3" s="2" t="inlineStr">
        <is>
          <t>Diurnal averaging applied twice: 475 W/m2 is already a 24-h mean, then multiplied by 0.4 day/night factor</t>
        </is>
      </c>
      <c r="C3" s="2" t="inlineStr">
        <is>
          <t>5a!B16, B20; cf 5c-alt!B14 (340, no 0.4)</t>
        </is>
      </c>
      <c r="D3" s="2" t="inlineStr">
        <is>
          <t>CONFIRMED</t>
        </is>
      </c>
      <c r="E3" s="2" t="inlineStr">
        <is>
          <t>Local forcing ~2x too low: cost per °C-ha-day $3.45 -&gt; ~$1.70-1.93; reef same-day ROI 5.3x -&gt; ~9.4-10.7x</t>
        </is>
      </c>
      <c r="F3" s="2" t="inlineStr">
        <is>
          <t>no (understates)</t>
        </is>
      </c>
      <c r="G3" s="2" t="inlineStr">
        <is>
          <t>Independent insolation calc 14-22°S Dec-Apr: 442 W/m2 24-h TOA, ~376-385 at cloud top; daytime TOA ~850</t>
        </is>
      </c>
      <c r="H3" s="2" t="inlineStr">
        <is>
          <t>Solar geometry (computed)</t>
        </is>
      </c>
      <c r="I3" s="2" t="inlineStr">
        <is>
          <t>high</t>
        </is>
      </c>
    </row>
    <row r="4">
      <c r="A4" s="4" t="inlineStr">
        <is>
          <t>F03</t>
        </is>
      </c>
      <c r="B4" s="2" t="inlineStr">
        <is>
          <t>Reef season counted twice: annual output (already ~120 spray days) multiplied again by 151/365</t>
        </is>
      </c>
      <c r="C4" s="2" t="inlineStr">
        <is>
          <t>5c!B13 (same pattern 5d!B12)</t>
        </is>
      </c>
      <c r="D4" s="2" t="inlineStr">
        <is>
          <t>CONFIRMED</t>
        </is>
      </c>
      <c r="E4" s="2" t="inlineStr">
        <is>
          <t>Reef fleet 6.34 -&gt; ~2.4 vessels; event cost $52.2M -&gt; ~$25.9M; ROI 5.3x -&gt; 10.6x (21.5x with F02)</t>
        </is>
      </c>
      <c r="F4" s="2" t="inlineStr">
        <is>
          <t>no (understates)</t>
        </is>
      </c>
      <c r="G4" s="2" t="inlineStr">
        <is>
          <t>5c-alt runs the same vessel at 0.95x0.9 spray time, contradicting 5c</t>
        </is>
      </c>
      <c r="H4" s="2" t="inlineStr"/>
      <c r="I4" s="2" t="inlineStr">
        <is>
          <t>high</t>
        </is>
      </c>
    </row>
    <row r="5">
      <c r="A5" s="4" t="inlineStr">
        <is>
          <t>F04</t>
        </is>
      </c>
      <c r="B5" s="2" t="inlineStr">
        <is>
          <t>Model CCN fraction compared with a looser size window: 0.71 = particles 30-1000 nm, while the ESM 'CCN fraction' is activation at 0.1% supersaturation (~108.5 nm dry)</t>
        </is>
      </c>
      <c r="C5" s="2" t="inlineStr">
        <is>
          <t>6a!D20, F34:F36; 1!B13</t>
        </is>
      </c>
      <c r="D5" s="2" t="inlineStr">
        <is>
          <t>CONFIRMED (first-pass claim of a double count was reversed)</t>
        </is>
      </c>
      <c r="E5" s="2" t="inlineStr">
        <is>
          <t>Like-for-like fraction ~0.23 (from a fitted size distribution, estimate). Tonnage ~3.1x higher: CESM2 dedicated BCR ~4.6 -&gt; ~1.7, E3SM ~0.88 -&gt; ~0.33</t>
        </is>
      </c>
      <c r="F5" s="2" t="inlineStr">
        <is>
          <t>yes (overstates)</t>
        </is>
      </c>
      <c r="G5" s="2" t="inlineStr">
        <is>
          <t>Hirasawa preprint Table 1 back-solved cutoff ~108.5 nm across CESM2/E3SM/UKESM; workbook note 6a!D25 compares the two measures directly</t>
        </is>
      </c>
      <c r="H5" s="2" t="inlineStr">
        <is>
          <t>Hirasawa et al. 2026 EGUsphere doi:10.5194/egusphere-2026-5460</t>
        </is>
      </c>
      <c r="I5" s="2" t="inlineStr">
        <is>
          <t>medium</t>
        </is>
      </c>
    </row>
    <row r="6">
      <c r="A6" s="4" t="inlineStr">
        <is>
          <t>F05</t>
        </is>
      </c>
      <c r="B6" s="2" t="inlineStr">
        <is>
          <t>Particle-size conversion (150/90)^3 slightly conservative</t>
        </is>
      </c>
      <c r="C6" s="2" t="inlineStr">
        <is>
          <t>6a!B16:B18, F34:F36</t>
        </is>
      </c>
      <c r="D6" s="2" t="inlineStr">
        <is>
          <t>PARTLY (first pass said 2.4x; correct factor ~1.15x)</t>
        </is>
      </c>
      <c r="E6" s="2" t="inlineStr">
        <is>
          <t>BCR CESM2 4.64 -&gt; 5.33, E3SM 0.88 -&gt; 1.01</t>
        </is>
      </c>
      <c r="F6" s="2" t="inlineStr">
        <is>
          <t>no (understates slightly)</t>
        </is>
      </c>
      <c r="G6" s="2" t="inlineStr">
        <is>
          <t>Hirasawa Table 1 volume-mean diameter 94.2 nm for CESM2/E3SM; slide flux pairs appear to be one of two bins</t>
        </is>
      </c>
      <c r="H6" s="2" t="inlineStr">
        <is>
          <t>Rasch et al. 2024 GMD doi:10.5194/gmd-17-7963-2024; Hirasawa 2026</t>
        </is>
      </c>
      <c r="I6" s="2" t="inlineStr">
        <is>
          <t>medium</t>
        </is>
      </c>
    </row>
    <row r="7">
      <c r="A7" s="4" t="inlineStr">
        <is>
          <t>F06</t>
        </is>
      </c>
      <c r="B7" s="2" t="inlineStr">
        <is>
          <t>Global cases inherit an unexplained 33% spray-time utilization</t>
        </is>
      </c>
      <c r="C7" s="2" t="inlineStr">
        <is>
          <t>3a!B18 (0.3653) x 0.9; 6b!B6</t>
        </is>
      </c>
      <c r="D7" s="2" t="inlineStr">
        <is>
          <t>PARTLY</t>
        </is>
      </c>
      <c r="E7" s="2" t="inlineStr">
        <is>
          <t>50-70% spray time with doubled crew: $54k/t -&gt; $33-42k/t (x1.3-1.6), not x1.7</t>
        </is>
      </c>
      <c r="F7" s="2" t="inlineStr">
        <is>
          <t>no (understates)</t>
        </is>
      </c>
      <c r="G7" s="2" t="inlineStr">
        <is>
          <t>Not a reef-season artifact; cloud suitability is handled elsewhere; tank 48 days and one 6-person crew limit year-round operation</t>
        </is>
      </c>
      <c r="H7" s="2" t="inlineStr"/>
      <c r="I7" s="2" t="inlineStr">
        <is>
          <t>medium</t>
        </is>
      </c>
    </row>
    <row r="8">
      <c r="A8" s="4" t="inlineStr">
        <is>
          <t>F07</t>
        </is>
      </c>
      <c r="B8" s="2" t="inlineStr">
        <is>
          <t>Sensitivity (tornado) chart is stale since the 10/07 switch to power-based vessel sizing</t>
        </is>
      </c>
      <c r="C8" s="2" t="inlineStr">
        <is>
          <t>3a!J50:AJ72, C41; 5b rows 7-11</t>
        </is>
      </c>
      <c r="D8" s="2" t="inlineStr">
        <is>
          <t>CONFIRMED</t>
        </is>
      </c>
      <c r="E8" s="2" t="inlineStr">
        <is>
          <t>Nozzle power x1.5: tornado $60.7k vs live $80.7k/t; 51.2 W: $39.9k vs $6.1k; utilization and particle-rate bars also wrong</t>
        </is>
      </c>
      <c r="F8" s="2" t="inlineStr">
        <is>
          <t>mixed</t>
        </is>
      </c>
      <c r="G8" s="2" t="inlineStr">
        <is>
          <t>Tornado base AJ50 $53,238 vs headline G5 $54,048; 3a!C41 separate stale table</t>
        </is>
      </c>
      <c r="H8" s="2" t="inlineStr"/>
      <c r="I8" s="2" t="inlineStr">
        <is>
          <t>high</t>
        </is>
      </c>
    </row>
    <row r="9">
      <c r="A9" s="4" t="inlineStr">
        <is>
          <t>F08</t>
        </is>
      </c>
      <c r="B9" s="2" t="inlineStr">
        <is>
          <t>No cost for CO2 from diesel generators and propulsion</t>
        </is>
      </c>
      <c r="C9" s="2" t="inlineStr">
        <is>
          <t>2!B24, 3a!B24:B25, 6c!B50</t>
        </is>
      </c>
      <c r="D9" s="2" t="inlineStr">
        <is>
          <t>PARTLY</t>
        </is>
      </c>
      <c r="E9" s="2" t="inlineStr">
        <is>
          <t>~36-37 t CO2 per t aerosol; +$6.8-7.1k/t at $190/tCO2 (+13%); +$1.8k at $51</t>
        </is>
      </c>
      <c r="F9" s="2" t="inlineStr">
        <is>
          <t>yes (overstates)</t>
        </is>
      </c>
      <c r="G9" s="2" t="inlineStr">
        <is>
          <t>No carbon line anywhere; README out-of-scope list silent</t>
        </is>
      </c>
      <c r="H9" s="2" t="inlineStr">
        <is>
          <t>EPA 2023 SC-GHG ($190); IWG 2021 ($51)</t>
        </is>
      </c>
      <c r="I9" s="2" t="inlineStr">
        <is>
          <t>high</t>
        </is>
      </c>
    </row>
    <row r="10">
      <c r="A10" s="4" t="inlineStr">
        <is>
          <t>F09</t>
        </is>
      </c>
      <c r="B10" s="2" t="inlineStr">
        <is>
          <t>Fixed platform omits the shore power cable (its own note says so)</t>
        </is>
      </c>
      <c r="C10" s="2" t="inlineStr">
        <is>
          <t>3c!A2</t>
        </is>
      </c>
      <c r="D10" s="2" t="inlineStr">
        <is>
          <t>PARTLY</t>
        </is>
      </c>
      <c r="E10" s="2" t="inlineStr">
        <is>
          <t>$14.6k/t -&gt; ~$16.5-19.2k/t (diesel-on-platform option bounds it); first pass's $31.6k used export-class cable prices</t>
        </is>
      </c>
      <c r="F10" s="2" t="inlineStr">
        <is>
          <t>yes (overstates)</t>
        </is>
      </c>
      <c r="G10" s="2" t="inlineStr">
        <is>
          <t>A ~4.2 MW platform needs 33-66 kV array cable ($0.24-0.65M/km supply, ~$0.9-1.9M/km installed)</t>
        </is>
      </c>
      <c r="H10" s="2" t="inlineStr">
        <is>
          <t>NREL ORBIT library; BVG Associates 2023</t>
        </is>
      </c>
      <c r="I10" s="2" t="inlineStr">
        <is>
          <t>medium</t>
        </is>
      </c>
    </row>
    <row r="11">
      <c r="A11" s="4" t="inlineStr">
        <is>
          <t>F10</t>
        </is>
      </c>
      <c r="B11" s="2" t="inlineStr">
        <is>
          <t>Fleet, fuel and energy needed for 1 K are not feasibility-capped</t>
        </is>
      </c>
      <c r="C11" s="2" t="inlineStr">
        <is>
          <t>6c!C56:D59; 6b; 3a!G6</t>
        </is>
      </c>
      <c r="D11" s="2" t="inlineStr">
        <is>
          <t>PARTLY (numbers confirmed; ratios themselves scale-independent)</t>
        </is>
      </c>
      <c r="E11" s="2" t="inlineStr">
        <is>
          <t>All 5,700 eligible container ships deliver at most 0.30 K (Ghosh), 0.17 K (CESM2), 0.03 K (E3SM), 0.007 K (UKESM). Dedicated E3SM 1 K: 193k vessels (1.8x world fleet), 870 Mt fuel/yr (~2.6x all shipping), 2.8 Gt CO2/yr, ~2,300 TWh/yr, ~$14T capex</t>
        </is>
      </c>
      <c r="F11" s="2" t="inlineStr">
        <is>
          <t>yes (the '1 K' headline)</t>
        </is>
      </c>
      <c r="G11" s="2" t="inlineStr">
        <is>
          <t>UNCTAD RMT 2024 ~109,000 vessels; IMO 4th GHG Study ~1,056 Mt CO2 (2018)</t>
        </is>
      </c>
      <c r="H11" s="2" t="inlineStr">
        <is>
          <t>UNCTAD Review of Maritime Transport 2024; IMO Fourth GHG Study 2020</t>
        </is>
      </c>
      <c r="I11" s="2" t="inlineStr">
        <is>
          <t>high</t>
        </is>
      </c>
    </row>
    <row r="12">
      <c r="A12" s="4" t="inlineStr">
        <is>
          <t>F11</t>
        </is>
      </c>
      <c r="B12" s="2" t="inlineStr">
        <is>
          <t>Benefit-cost ratio is versus doing nothing; stratospheric aerosol injection is ~10-1000x cheaper per K-year</t>
        </is>
      </c>
      <c r="C12" s="2" t="inlineStr">
        <is>
          <t>6b!D29:D32, 6c!D38:D41</t>
        </is>
      </c>
      <c r="D12" s="2" t="inlineStr">
        <is>
          <t>PARTLY (SAI comparison holds; MCB is cheaper than CDR for 1 K but does not remove CO2)</t>
        </is>
      </c>
      <c r="E12" s="2" t="inlineStr">
        <is>
          <t>MCB $175B-$18T per K-yr vs SAI ~$18B; CDR for 1 K ~2,200 GtCO2 = $222-1,333T one-off vs MCB perpetuity $15-138T at 3%</t>
        </is>
      </c>
      <c r="F12" s="2" t="inlineStr">
        <is>
          <t>yes (framing)</t>
        </is>
      </c>
      <c r="G12" s="2" t="inlineStr">
        <is>
          <t>AR6 TCRE 0.45 K/1000 GtCO2 (likely 0.27-0.63); AR6 notes limited evidence for TCRE under net-negative emissions</t>
        </is>
      </c>
      <c r="H12" s="2" t="inlineStr">
        <is>
          <t>Smith 2020 ERL doi:10.1088/1748-9326/aba7e7; IPCC AR6 WG1 SPM</t>
        </is>
      </c>
      <c r="I12" s="2" t="inlineStr">
        <is>
          <t>high</t>
        </is>
      </c>
    </row>
    <row r="13">
      <c r="A13" s="4" t="inlineStr">
        <is>
          <t>F12</t>
        </is>
      </c>
      <c r="B13" s="2" t="inlineStr">
        <is>
          <t>Benefit assumes 1 K of MCB cooling undoes 1 K of greenhouse damage pattern-for-pattern</t>
        </is>
      </c>
      <c r="C13" s="2" t="inlineStr">
        <is>
          <t>6a!B42:B45 -&gt; 6b/6c section B; README out-of-scope list</t>
        </is>
      </c>
      <c r="D13" s="2" t="inlineStr">
        <is>
          <t>CONFIRMED (qualitative; not priceable from available data)</t>
        </is>
      </c>
      <c r="E13" s="2" t="inlineStr">
        <is>
          <t>Pattern correlations with GHG warming: temperature -0.69 to -0.90, precipitation -0.41 to -0.74 -&gt; 20-53% of temperature and 46-83% of precipitation pattern not offset</t>
        </is>
      </c>
      <c r="F13" s="2" t="inlineStr">
        <is>
          <t>yes (overstates)</t>
        </is>
      </c>
      <c r="G13" s="2" t="inlineStr">
        <is>
          <t>README excludes large-scale circulation response, yet the global ratio depends on it</t>
        </is>
      </c>
      <c r="H13" s="2" t="inlineStr">
        <is>
          <t>Hirasawa et al. J Climate doi:10.1175/JCLI-D-25-0337.1; Wan et al. 2024 Nat Clim Change doi:10.1038/s41558-024-02046-7; Ricke et al. 2023 Annu Rev doi:10.1146/annurev-earth-031920-083456</t>
        </is>
      </c>
      <c r="I13" s="2" t="inlineStr">
        <is>
          <t>medium</t>
        </is>
      </c>
    </row>
    <row r="14">
      <c r="A14" s="4" t="inlineStr">
        <is>
          <t>F13</t>
        </is>
      </c>
      <c r="B14" s="2" t="inlineStr">
        <is>
          <t>Cooling per W/m2 comes from models hotter than the IPCC assessed range</t>
        </is>
      </c>
      <c r="C14" s="2" t="inlineStr">
        <is>
          <t>6a!B42:B45</t>
        </is>
      </c>
      <c r="D14" s="2" t="inlineStr">
        <is>
          <t>PARTLY (first-order sensitivity, not a correction)</t>
        </is>
      </c>
      <c r="E14" s="2" t="inlineStr">
        <is>
          <t>Rescale by AR6 TCR 1.8/model TCR: x0.90 (CESM2), x0.75 (E3SMv2), x0.64 (UKESM); dedicated BCR CESM2 4.64 -&gt; ~4.2, E3SM 0.88 -&gt; ~0.66</t>
        </is>
      </c>
      <c r="F14" s="2" t="inlineStr">
        <is>
          <t>yes (overstates)</t>
        </is>
      </c>
      <c r="G14" s="2" t="inlineStr">
        <is>
          <t>CESM2 TCR 2.0, UKESM1 2.8; E3SMv2 ECS 4.0; AR6 TCR 1.8 (likely 1.4-2.2)</t>
        </is>
      </c>
      <c r="H14" s="2" t="inlineStr">
        <is>
          <t>Meehl et al. 2020 Sci Adv doi:10.1126/sciadv.aba1981; Golaz et al. 2022 JAMES doi:10.1029/2022MS003156</t>
        </is>
      </c>
      <c r="I14" s="2" t="inlineStr">
        <is>
          <t>medium</t>
        </is>
      </c>
    </row>
    <row r="15">
      <c r="A15" s="4" t="inlineStr">
        <is>
          <t>F14</t>
        </is>
      </c>
      <c r="B15" s="2" t="inlineStr">
        <is>
          <t>Direct aerosol scattering is a large share of forcing in E3SMv2/UKESM, against the 'mostly cloud forcing' assumption</t>
        </is>
      </c>
      <c r="C15" s="2" t="inlineStr">
        <is>
          <t>6a!A3, A39</t>
        </is>
      </c>
      <c r="D15" s="2" t="inlineStr">
        <is>
          <t>PARTLY</t>
        </is>
      </c>
      <c r="E15" s="2" t="inlineStr">
        <is>
          <t>Direct share at -2 W/m2: 8% CESM2, 40% E3SMv2, 59% UKESM; keeping it on a mass basis raises UKESM tonnage ~19%, E3SM ~7%</t>
        </is>
      </c>
      <c r="F15" s="2" t="inlineStr">
        <is>
          <t>yes (overstates)</t>
        </is>
      </c>
      <c r="G15" s="2" t="inlineStr">
        <is>
          <t>Activated-particle flux needed for -2 W/m2: CESM2 0.67e20/s vs E3SM 3.25e20, UKESM 4.17e20 -&gt; CESM2 is the efficient outlier</t>
        </is>
      </c>
      <c r="H15" s="2" t="inlineStr">
        <is>
          <t>Hirasawa 2026 preprint Tables 1-2</t>
        </is>
      </c>
      <c r="I15" s="2" t="inlineStr">
        <is>
          <t>medium</t>
        </is>
      </c>
    </row>
    <row r="16">
      <c r="A16" s="4" t="inlineStr">
        <is>
          <t>F15</t>
        </is>
      </c>
      <c r="B16" s="2" t="inlineStr">
        <is>
          <t>Cooling response lag, termination rebound and the warming from the programme's own diesel CO2 are not modelled</t>
        </is>
      </c>
      <c r="C16" s="2" t="inlineStr">
        <is>
          <t>6b/6c (absent)</t>
        </is>
      </c>
      <c r="D16" s="2" t="inlineStr">
        <is>
          <t>PARTLY (arithmetic confirmed; 4-yr e-folding is an assumption)</t>
        </is>
      </c>
      <c r="E16" s="2" t="inlineStr">
        <is>
          <t>Lag discount 0.86 at 3%, 0.72 at 10% (0.75-0.93 for 2-8 yr e-folding); diesel CO2 commits ~0.12 K per century (dedicated E3SM)</t>
        </is>
      </c>
      <c r="F16" s="2" t="inlineStr">
        <is>
          <t>yes (overstates)</t>
        </is>
      </c>
      <c r="G16" s="2" t="inlineStr">
        <is>
          <t>Aerosol lifetime is days, so stopping returns most cooling within ~5-10 yr; a spare fleet for redundancy is not costed</t>
        </is>
      </c>
      <c r="H16" s="2" t="inlineStr">
        <is>
          <t>Parker &amp; Irvine 2018 Earth's Future doi:10.1002/2017EF000735</t>
        </is>
      </c>
      <c r="I16" s="2" t="inlineStr">
        <is>
          <t>medium</t>
        </is>
      </c>
    </row>
    <row r="17">
      <c r="A17" s="4" t="inlineStr">
        <is>
          <t>F16</t>
        </is>
      </c>
      <c r="B17" s="2" t="inlineStr">
        <is>
          <t>Piggyback tonnage assumed to land in the seeded midlatitude boxes</t>
        </is>
      </c>
      <c r="C17" s="2" t="inlineStr">
        <is>
          <t>3b!B13 note; 6c</t>
        </is>
      </c>
      <c r="D17" s="2" t="inlineStr">
        <is>
          <t>PARTLY (first pass's 2-3x refuted)</t>
        </is>
      </c>
      <c r="E17" s="2" t="inlineStr">
        <is>
          <t>Spraying outside the boxes is ~1.0-1.65x less effective per paper's own ratios; true share needs AIS ship-track data</t>
        </is>
      </c>
      <c r="F17" s="2" t="inlineStr">
        <is>
          <t>yes (overstates)</t>
        </is>
      </c>
      <c r="G17" s="2" t="inlineStr">
        <is>
          <t>Southern-hemisphere boxes carry little container traffic</t>
        </is>
      </c>
      <c r="H17" s="2" t="inlineStr">
        <is>
          <t>Hirasawa J Climate</t>
        </is>
      </c>
      <c r="I17" s="2" t="inlineStr">
        <is>
          <t>low</t>
        </is>
      </c>
    </row>
    <row r="18">
      <c r="A18" s="4" t="inlineStr">
        <is>
          <t>F17</t>
        </is>
      </c>
      <c r="B18" s="2" t="inlineStr">
        <is>
          <t>Survival factor 0.3 note says it covers 'particles too small to become droplets', overlapping the CCN correction</t>
        </is>
      </c>
      <c r="C18" s="2" t="inlineStr">
        <is>
          <t>6a!D32 vs 5a!D5; F34:F37</t>
        </is>
      </c>
      <c r="D18" s="2" t="inlineStr">
        <is>
          <t>PARTLY (note contradicts itself; value is defensible as near-source plume loss)</t>
        </is>
      </c>
      <c r="E18" s="2" t="inlineStr">
        <is>
          <t>If double-counted it would understate MCB up to 3.3x</t>
        </is>
      </c>
      <c r="F18" s="2" t="inlineStr">
        <is>
          <t>no (if anything)</t>
        </is>
      </c>
      <c r="G18" s="2" t="inlineStr">
        <is>
          <t>5a!D5 defines the same 0.3 as in-plume coagulation/deposition, which ESMs do not simulate</t>
        </is>
      </c>
      <c r="H18" s="2" t="inlineStr">
        <is>
          <t>Stuart et al. 2013 ACP doi:10.5194/acp-13-10385-2013</t>
        </is>
      </c>
      <c r="I18" s="2" t="inlineStr">
        <is>
          <t>medium</t>
        </is>
      </c>
    </row>
    <row r="19">
      <c r="A19" s="4" t="inlineStr">
        <is>
          <t>F18</t>
        </is>
      </c>
      <c r="B19" s="2" t="inlineStr">
        <is>
          <t>Minor: CESM2 efficiency typed as 0.236 instead of linked; paper says 0.231 K per Tg/yr</t>
        </is>
      </c>
      <c r="C19" s="2" t="inlineStr">
        <is>
          <t>6a!E10, B34</t>
        </is>
      </c>
      <c r="D19" s="2" t="inlineStr">
        <is>
          <t>CONFIRMED</t>
        </is>
      </c>
      <c r="E19" s="2" t="inlineStr">
        <is>
          <t>BCR 4.64 -&gt; 4.55 (dedicated CESM2)</t>
        </is>
      </c>
      <c r="F19" s="2" t="inlineStr">
        <is>
          <t>yes (trivially)</t>
        </is>
      </c>
      <c r="G19" s="2" t="inlineStr"/>
      <c r="H19" s="2" t="inlineStr">
        <is>
          <t>Hirasawa J Climate</t>
        </is>
      </c>
      <c r="I19" s="2" t="inlineStr">
        <is>
          <t>high</t>
        </is>
      </c>
    </row>
    <row r="20">
      <c r="A20" s="4" t="inlineStr">
        <is>
          <t>F19</t>
        </is>
      </c>
      <c r="B20" s="2" t="inlineStr">
        <is>
          <t>Minor: reef return assumes a severe bleaching event every chartered season</t>
        </is>
      </c>
      <c r="C20" s="2" t="inlineStr">
        <is>
          <t>5c</t>
        </is>
      </c>
      <c r="D20" s="2" t="inlineStr">
        <is>
          <t>FIRST PASS ONLY (not independently rechecked)</t>
        </is>
      </c>
      <c r="E20" s="2" t="inlineStr">
        <is>
          <t>~6 events in last 10 summers -&gt; return x~0.6</t>
        </is>
      </c>
      <c r="F20" s="2" t="inlineStr">
        <is>
          <t>yes</t>
        </is>
      </c>
      <c r="G20" s="2" t="inlineStr"/>
      <c r="H20" s="2" t="inlineStr">
        <is>
          <t>AIMS/GBRMPA reef snapshots</t>
        </is>
      </c>
      <c r="I20" s="2" t="inlineStr">
        <is>
          <t>low</t>
        </is>
      </c>
    </row>
    <row r="21">
      <c r="A21" s="4" t="inlineStr">
        <is>
          <t>F20</t>
        </is>
      </c>
      <c r="B21" s="2" t="inlineStr">
        <is>
          <t>Minor: stale notes that do not match their cells</t>
        </is>
      </c>
      <c r="C21" s="2" t="inlineStr">
        <is>
          <t>5a!D17 ('~0.5' vs 0.4), 5a!D18 ('2.0x' vs 1.3), 5a!D10 ('+100/cm3' vs +30), 5c!D13</t>
        </is>
      </c>
      <c r="D21" s="2" t="inlineStr">
        <is>
          <t>CONFIRMED</t>
        </is>
      </c>
      <c r="E21" s="2" t="inlineStr">
        <is>
          <t>none (labelling)</t>
        </is>
      </c>
      <c r="F21" s="2" t="inlineStr">
        <is>
          <t>n/a</t>
        </is>
      </c>
      <c r="G21" s="2" t="inlineStr"/>
      <c r="H21" s="2" t="inlineStr"/>
      <c r="I21" s="2" t="inlineStr">
        <is>
          <t>high</t>
        </is>
      </c>
    </row>
    <row r="22">
      <c r="A22" s="4" t="inlineStr">
        <is>
          <t>F21</t>
        </is>
      </c>
      <c r="B22" s="2" t="inlineStr">
        <is>
          <t>Cloud albedo 0.4 fits stratocumulus decks, not GBR trade cumulus</t>
        </is>
      </c>
      <c r="C22" s="2" t="inlineStr">
        <is>
          <t>5a!B17; 5b bounds 0.3/0.6</t>
        </is>
      </c>
      <c r="D22" s="2" t="inlineStr">
        <is>
          <t>FROM CITATION PASS (single pass, not independently rechecked)</t>
        </is>
      </c>
      <c r="E22" s="2" t="inlineStr">
        <is>
          <t>T14 reef runs give 0.1-0.3 -&gt; brightening term 0.09-0.21 vs 0.24; sensitivity bounds never test this range</t>
        </is>
      </c>
      <c r="F22" s="2" t="inlineStr">
        <is>
          <t>yes (overstates)</t>
        </is>
      </c>
      <c r="G22" s="2" t="inlineStr"/>
      <c r="H22" s="2" t="inlineStr">
        <is>
          <t>Harrison et al. 2019 RRAP T14</t>
        </is>
      </c>
      <c r="I22" s="2" t="inlineStr">
        <is>
          <t>medium</t>
        </is>
      </c>
    </row>
    <row r="23">
      <c r="A23" s="4" t="inlineStr">
        <is>
          <t>F22</t>
        </is>
      </c>
      <c r="B23" s="2" t="inlineStr">
        <is>
          <t>CESM2-Ghosh multiplier 1.79x overstates the gain; equal-tonnage comparison gives ~1.27x and is for subtropical, not midlatitude, seeding</t>
        </is>
      </c>
      <c r="C23" s="2" t="inlineStr">
        <is>
          <t>6a!D13, B35</t>
        </is>
      </c>
      <c r="D23" s="2" t="inlineStr">
        <is>
          <t>FROM CITATION PASS (single pass, not independently rechecked)</t>
        </is>
      </c>
      <c r="E23" s="2" t="inlineStr">
        <is>
          <t>Ghosh-row tonnage ~40% too low; Ghosh BCRs overstated ~1.4x</t>
        </is>
      </c>
      <c r="F23" s="2" t="inlineStr">
        <is>
          <t>yes (overstates)</t>
        </is>
      </c>
      <c r="G23" s="2" t="inlineStr"/>
      <c r="H23" s="2" t="inlineStr">
        <is>
          <t>Hirasawa 2026 preprint Table 2</t>
        </is>
      </c>
      <c r="I23" s="2" t="inlineStr">
        <is>
          <t>medium</t>
        </is>
      </c>
    </row>
    <row r="24">
      <c r="A24" s="4" t="inlineStr">
        <is>
          <t>F23</t>
        </is>
      </c>
      <c r="B24" s="2" t="inlineStr">
        <is>
          <t>UKESM1 forcing efficiency 0.012 W/m2 per Tg/yr is 25-47% below Rasch 2024</t>
        </is>
      </c>
      <c r="C24" s="2" t="inlineStr">
        <is>
          <t>6a!B27</t>
        </is>
      </c>
      <c r="D24" s="2" t="inlineStr">
        <is>
          <t>FROM CITATION PASS (single pass, not independently rechecked)</t>
        </is>
      </c>
      <c r="E24" s="2" t="inlineStr">
        <is>
          <t>Rasch 2024 Tables 5 and A1 imply 0.016-0.023</t>
        </is>
      </c>
      <c r="F24" s="2" t="inlineStr">
        <is>
          <t>no (understates)</t>
        </is>
      </c>
      <c r="G24" s="2" t="inlineStr"/>
      <c r="H24" s="2" t="inlineStr">
        <is>
          <t>Rasch et al. 2024 GMD</t>
        </is>
      </c>
      <c r="I24" s="2" t="inlineStr">
        <is>
          <t>medium</t>
        </is>
      </c>
    </row>
    <row r="25">
      <c r="A25" s="4" t="inlineStr">
        <is>
          <t>F24</t>
        </is>
      </c>
      <c r="B25" s="2" t="inlineStr">
        <is>
          <t>Droplet-enhancement sensitivity bar is one-sided and points the wrong way; base 1.3 contradicts its note ('2.0x')</t>
        </is>
      </c>
      <c r="C25" s="2" t="inlineStr">
        <is>
          <t>5a!B18, D18; 5b</t>
        </is>
      </c>
      <c r="D25" s="2" t="inlineStr">
        <is>
          <t>FROM CITATION PASS (single pass, not independently rechecked)</t>
        </is>
      </c>
      <c r="E25" s="2" t="inlineStr">
        <is>
          <t>Both 5b bounds (2, 4) sit above the 1.3 base; 5b omits the area term through which this input acts</t>
        </is>
      </c>
      <c r="F25" s="2" t="inlineStr">
        <is>
          <t>mixed</t>
        </is>
      </c>
      <c r="G25" s="2" t="inlineStr">
        <is>
          <t>Zhao 2026 reef modelling gives 1.14-1.73x</t>
        </is>
      </c>
      <c r="H25" s="2" t="inlineStr">
        <is>
          <t>Zhao et al. 2026 EGUsphere doi:10.5194/egusphere-2026-1251</t>
        </is>
      </c>
      <c r="I25" s="2" t="inlineStr">
        <is>
          <t>medium</t>
        </is>
      </c>
    </row>
    <row r="26">
      <c r="A26" s="4" t="inlineStr">
        <is>
          <t>F25</t>
        </is>
      </c>
      <c r="B26" s="2" t="inlineStr">
        <is>
          <t>Reef value-at-risk of 20% per bleaching event has no source and is applied to a 33-year present value</t>
        </is>
      </c>
      <c r="C26" s="2" t="inlineStr">
        <is>
          <t>5c</t>
        </is>
      </c>
      <c r="D26" s="2" t="inlineStr">
        <is>
          <t>FROM CITATION PASS (single pass, not independently rechecked)</t>
        </is>
      </c>
      <c r="E26" s="2" t="inlineStr">
        <is>
          <t>At ~0.6 events/yr, 20% per event exhausts the asset in ~8 years; 2024 coral-cover loss was 14-30% by region (coral loss is not asset value)</t>
        </is>
      </c>
      <c r="F26" s="2" t="inlineStr">
        <is>
          <t>yes (overstates)</t>
        </is>
      </c>
      <c r="G26" s="2" t="inlineStr">
        <is>
          <t>GBR A$95B (Deloitte 2025) confirmed; 2017 figure A$56B</t>
        </is>
      </c>
      <c r="H26" s="2" t="inlineStr">
        <is>
          <t>Deloitte Access Economics 2017, 2025; AIMS LTMP</t>
        </is>
      </c>
      <c r="I26" s="2" t="inlineStr">
        <is>
          <t>medium</t>
        </is>
      </c>
    </row>
    <row r="27">
      <c r="A27" s="4" t="inlineStr">
        <is>
          <t>F26</t>
        </is>
      </c>
      <c r="B27" s="2" t="inlineStr">
        <is>
          <t>Reef stress relief uses the ROS measure; on degree heating weeks (which predict mortality) relief is ~0.45, not 0.57, and mortality is a threshold function of DHW</t>
        </is>
      </c>
      <c r="C27" s="2" t="inlineStr">
        <is>
          <t>5c</t>
        </is>
      </c>
      <c r="D27" s="2" t="inlineStr">
        <is>
          <t>FROM CITATION PASS (single pass, not independently rechecked)</t>
        </is>
      </c>
      <c r="E27" s="2" t="inlineStr">
        <is>
          <t>Linear scaling of relief into dollars not supported</t>
        </is>
      </c>
      <c r="F27" s="2" t="inlineStr">
        <is>
          <t>yes (overstates)</t>
        </is>
      </c>
      <c r="G27" s="2" t="inlineStr">
        <is>
          <t>Recomputed from 14 reefs in T14</t>
        </is>
      </c>
      <c r="H27" s="2" t="inlineStr">
        <is>
          <t>Harrison 2019 T14; Hughes et al. 2018 Nature</t>
        </is>
      </c>
      <c r="I27" s="2" t="inlineStr">
        <is>
          <t>medium</t>
        </is>
      </c>
    </row>
    <row r="28">
      <c r="A28" s="4" t="inlineStr">
        <is>
          <t>F27</t>
        </is>
      </c>
      <c r="B28" s="2" t="inlineStr">
        <is>
          <t>High-damage anchor 12%/°C is out of date and the wrong concept for a one-year degree of cooling</t>
        </is>
      </c>
      <c r="C28" s="2" t="inlineStr">
        <is>
          <t>6b damage band</t>
        </is>
      </c>
      <c r="D28" s="2" t="inlineStr">
        <is>
          <t>FROM CITATION PASS (single pass, not independently rechecked)</t>
        </is>
      </c>
      <c r="E28" s="2" t="inlineStr">
        <is>
          <t>Current Bilal &amp; Kanzig (QJE 2026): 14% peak loss (95% CI 6-22%), 20-34% permanent 1 °C, ~4% one-off 1 °C; 3.3% central has no stated source (within Kalkuhl &amp; Wenz 2020 2-4%)</t>
        </is>
      </c>
      <c r="F28" s="2" t="inlineStr">
        <is>
          <t>yes (overstates high case)</t>
        </is>
      </c>
      <c r="G28" s="2" t="inlineStr">
        <is>
          <t>All anchors are long-run losses from lasting warming, not annual flows</t>
        </is>
      </c>
      <c r="H28" s="2" t="inlineStr">
        <is>
          <t>Bilal &amp; Kanzig QJE 2026; Kalkuhl &amp; Wenz 2020 JEEM; Nordhaus DICE</t>
        </is>
      </c>
      <c r="I28" s="2" t="inlineStr">
        <is>
          <t>medium</t>
        </is>
      </c>
    </row>
    <row r="29">
      <c r="A29" s="4" t="inlineStr">
        <is>
          <t>F28</t>
        </is>
      </c>
      <c r="B29" s="2" t="inlineStr">
        <is>
          <t>City case: 200 baseline heat deaths is high for 2M people; RR applied to excess rather than all deaths (conservative); $10M VSL fits only US cities</t>
        </is>
      </c>
      <c r="C29" s="2" t="inlineStr">
        <is>
          <t>5d</t>
        </is>
      </c>
      <c r="D29" s="2" t="inlineStr">
        <is>
          <t>FROM CITATION PASS (single pass, not independently rechecked)</t>
        </is>
      </c>
      <c r="E29" s="2" t="inlineStr">
        <is>
          <t>Baseline 63-205 deaths depending on study (central ~100-137); 326-city study is Kephart et al. 2022 Nat Med, RR 1.057 (1.046-1.067) per °C confirmed; Harding 2024 '13x' is benefit vs risk (61% prob), not benefit vs cost</t>
        </is>
      </c>
      <c r="F29" s="2" t="inlineStr">
        <is>
          <t>mixed</t>
        </is>
      </c>
      <c r="G29" s="2" t="inlineStr">
        <is>
          <t>13.7 heatwave days/yr unsourced (Kephart definition implies ~18)</t>
        </is>
      </c>
      <c r="H29" s="2" t="inlineStr">
        <is>
          <t>Kephart et al. 2022 Nat Med; Zhao et al. 2021 Lancet Planet Health; Gasparrini 2015 Lancet; EPA/DOT VSL guidance</t>
        </is>
      </c>
      <c r="I29" s="2" t="inlineStr">
        <is>
          <t>medium</t>
        </is>
      </c>
    </row>
    <row r="30">
      <c r="A30" s="4" t="inlineStr">
        <is>
          <t>F29</t>
        </is>
      </c>
      <c r="B30" s="2" t="inlineStr">
        <is>
          <t>Nozzle power 512 W is 8-26% below what the CS-06 engineering report implies; crew 6 x $150k is about half of Tidewater's 2024 crew cost per vessel</t>
        </is>
      </c>
      <c r="C30" s="2" t="inlineStr">
        <is>
          <t>2. Cost Inputs</t>
        </is>
      </c>
      <c r="D30" s="2" t="inlineStr">
        <is>
          <t>FROM CITATION PASS (single pass, not independently rechecked)</t>
        </is>
      </c>
      <c r="E30" s="2" t="inlineStr">
        <is>
          <t>CS-06 implies 554-692 W; Tidewater 2024 ~$1.93M crew per vessel</t>
        </is>
      </c>
      <c r="F30" s="2" t="inlineStr">
        <is>
          <t>yes (overstates)</t>
        </is>
      </c>
      <c r="G30" s="2" t="inlineStr">
        <is>
          <t>Harrison 2025 full text could not be read (publisher blocks scripts)</t>
        </is>
      </c>
      <c r="H30" s="2" t="inlineStr">
        <is>
          <t>RRAP CS-06; Tidewater 2024 10-K</t>
        </is>
      </c>
      <c r="I30" s="2" t="inlineStr">
        <is>
          <t>medium</t>
        </is>
      </c>
    </row>
    <row r="31">
      <c r="A31" s="4" t="inlineStr">
        <is>
          <t>F30</t>
        </is>
      </c>
      <c r="B31" s="2" t="inlineStr">
        <is>
          <t>~12 sources that feed numbers are missing from the References tab; two numbers have no source at all</t>
        </is>
      </c>
      <c r="C31" s="2" t="inlineStr">
        <is>
          <t>References tab; 5d!G9; 3c!A2</t>
        </is>
      </c>
      <c r="D31" s="2" t="inlineStr">
        <is>
          <t>FROM CITATION PASS (single pass, not independently rechecked)</t>
        </is>
      </c>
      <c r="E31" s="2" t="inlineStr">
        <is>
          <t>Missing: RRAP CS-07, Deloitte, Harding 2024, Nordhaus, Bilal-Kanzig, Kahn, Ghosh 2025, Alphaliner/UNCTAD, Transport Canada, compressor listing, Riviera/Clarksons, UT 755L sheet. Citation mismatches: ARIA proposal lead author, Hirasawa author list, MDPI link (Vianna et al., not Adland)</t>
        </is>
      </c>
      <c r="F31" s="2" t="inlineStr">
        <is>
          <t>n/a</t>
        </is>
      </c>
      <c r="G31" s="2" t="inlineStr">
        <is>
          <t>All 11 listed DOIs resolve</t>
        </is>
      </c>
      <c r="H31" s="2" t="inlineStr"/>
      <c r="I31" s="2" t="inlineStr">
        <is>
          <t>high</t>
        </is>
      </c>
    </row>
  </sheetData>
  <autoFilter ref="A1:I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0" customWidth="1" min="3" max="3"/>
    <col width="16" customWidth="1" min="4" max="4"/>
    <col width="16" customWidth="1" min="5" max="5"/>
    <col width="30" customWidth="1" min="6" max="6"/>
    <col width="16" customWidth="1" min="7" max="7"/>
    <col width="16" customWidth="1" min="8" max="8"/>
    <col width="16" customWidth="1" min="9" max="9"/>
    <col width="16" customWidth="1" min="10" max="10"/>
    <col width="22" customWidth="1" min="11" max="11"/>
    <col width="16" customWidth="1" min="12" max="12"/>
    <col width="16" customWidth="1" min="13" max="13"/>
    <col width="50" customWidth="1" min="14" max="14"/>
  </cols>
  <sheetData>
    <row r="1">
      <c r="A1" s="3" t="inlineStr">
        <is>
          <t>sheet</t>
        </is>
      </c>
      <c r="B1" s="3" t="inlineStr">
        <is>
          <t>cell</t>
        </is>
      </c>
      <c r="C1" s="3" t="inlineStr">
        <is>
          <t>parameter</t>
        </is>
      </c>
      <c r="D1" s="3" t="inlineStr">
        <is>
          <t>workbook_value</t>
        </is>
      </c>
      <c r="E1" s="3" t="inlineStr">
        <is>
          <t>unit</t>
        </is>
      </c>
      <c r="F1" s="3" t="inlineStr">
        <is>
          <t>workbook_cited_source</t>
        </is>
      </c>
      <c r="G1" s="3" t="inlineStr">
        <is>
          <t>n_sources</t>
        </is>
      </c>
      <c r="H1" s="3" t="inlineStr">
        <is>
          <t>lit_min_low</t>
        </is>
      </c>
      <c r="I1" s="3" t="inlineStr">
        <is>
          <t>lit_max_high</t>
        </is>
      </c>
      <c r="J1" s="3" t="inlineStr">
        <is>
          <t>lit_central_range</t>
        </is>
      </c>
      <c r="K1" s="3" t="inlineStr">
        <is>
          <t>workbook_vs_lit</t>
        </is>
      </c>
      <c r="L1" s="3" t="inlineStr">
        <is>
          <t>favours_mcb</t>
        </is>
      </c>
      <c r="M1" s="3" t="inlineStr">
        <is>
          <t>confidence</t>
        </is>
      </c>
      <c r="N1" s="3" t="inlineStr">
        <is>
          <t>sources</t>
        </is>
      </c>
    </row>
    <row r="2">
      <c r="A2" s="4" t="inlineStr">
        <is>
          <t>1. Technology Description</t>
        </is>
      </c>
      <c r="B2" s="2" t="inlineStr">
        <is>
          <t>B10</t>
        </is>
      </c>
      <c r="C2" s="2" t="inlineStr">
        <is>
          <t>Dry particle diameter</t>
        </is>
      </c>
      <c r="D2" s="2" t="n">
        <v>150</v>
      </c>
      <c r="E2" s="2" t="inlineStr">
        <is>
          <t>nm dry diameter</t>
        </is>
      </c>
      <c r="F2" s="2" t="inlineStr"/>
      <c r="G2" s="2" t="n">
        <v>2</v>
      </c>
      <c r="H2" s="2" t="n">
        <v>40</v>
      </c>
      <c r="I2" s="2" t="n">
        <v>160</v>
      </c>
      <c r="J2" s="2" t="inlineStr">
        <is>
          <t>40 to 80</t>
        </is>
      </c>
      <c r="K2" s="2" t="inlineStr">
        <is>
          <t>above range; within</t>
        </is>
      </c>
      <c r="L2" s="2" t="inlineStr">
        <is>
          <t>neutral</t>
        </is>
      </c>
      <c r="M2" s="2" t="inlineStr">
        <is>
          <t>medium</t>
        </is>
      </c>
      <c r="N2" s="2" t="inlineStr">
        <is>
          <t>CS-06 2025 (2020 trial, ARIEL); CS-06 2025 (alternative nozzles)</t>
        </is>
      </c>
    </row>
    <row r="3">
      <c r="A3" s="4" t="inlineStr">
        <is>
          <t>1. Technology Description</t>
        </is>
      </c>
      <c r="B3" s="2" t="inlineStr">
        <is>
          <t>B23</t>
        </is>
      </c>
      <c r="C3" s="2" t="inlineStr">
        <is>
          <t>Seawater flow rate</t>
        </is>
      </c>
      <c r="D3" s="2" t="n">
        <v>0.41</v>
      </c>
      <c r="E3" s="2" t="inlineStr">
        <is>
          <t>mL/s per nozzle</t>
        </is>
      </c>
      <c r="F3" s="2" t="inlineStr"/>
      <c r="G3" s="2" t="n">
        <v>2</v>
      </c>
      <c r="H3" s="2" t="inlineStr"/>
      <c r="I3" s="2" t="inlineStr"/>
      <c r="J3" s="2" t="inlineStr">
        <is>
          <t>0.2125 to 0.41</t>
        </is>
      </c>
      <c r="K3" s="2" t="inlineStr">
        <is>
          <t>above range; within</t>
        </is>
      </c>
      <c r="L3" s="2" t="inlineStr">
        <is>
          <t>neutral; no</t>
        </is>
      </c>
      <c r="M3" s="2" t="inlineStr">
        <is>
          <t>low</t>
        </is>
      </c>
      <c r="N3" s="2" t="inlineStr">
        <is>
          <t>Harrison 2025; Hernandez-Jaramillo 2025 (ERL)</t>
        </is>
      </c>
    </row>
    <row r="4">
      <c r="A4" s="4" t="inlineStr">
        <is>
          <t>1. Technology Description</t>
        </is>
      </c>
      <c r="B4" s="2" t="inlineStr">
        <is>
          <t>B26</t>
        </is>
      </c>
      <c r="C4" s="2" t="inlineStr">
        <is>
          <t>Pumping + filtration + UV energy</t>
        </is>
      </c>
      <c r="D4" s="2" t="n">
        <v>0.6</v>
      </c>
      <c r="E4" s="2" t="inlineStr">
        <is>
          <t>kWh per m3 seawater</t>
        </is>
      </c>
      <c r="F4" s="2" t="inlineStr"/>
      <c r="G4" s="2" t="n">
        <v>1</v>
      </c>
      <c r="H4" s="2" t="n">
        <v>0.039</v>
      </c>
      <c r="I4" s="2" t="n">
        <v>0.164</v>
      </c>
      <c r="J4" s="2" t="inlineStr">
        <is>
          <t>0.04 to 0.04</t>
        </is>
      </c>
      <c r="K4" s="5" t="inlineStr">
        <is>
          <t>above range</t>
        </is>
      </c>
      <c r="L4" s="2" t="inlineStr">
        <is>
          <t>no</t>
        </is>
      </c>
      <c r="M4" s="2" t="inlineStr">
        <is>
          <t>low</t>
        </is>
      </c>
      <c r="N4" s="2" t="inlineStr">
        <is>
          <t>Derived hydraulic lower bound (physics)</t>
        </is>
      </c>
    </row>
    <row r="5">
      <c r="A5" s="4" t="inlineStr">
        <is>
          <t>1. Technology Description</t>
        </is>
      </c>
      <c r="B5" s="2" t="inlineStr">
        <is>
          <t>B8</t>
        </is>
      </c>
      <c r="C5" s="2" t="inlineStr">
        <is>
          <t>Particle output</t>
        </is>
      </c>
      <c r="D5" s="2" t="n">
        <v>1730000000000</v>
      </c>
      <c r="E5" s="2" t="inlineStr">
        <is>
          <t>particles/s per nozzle</t>
        </is>
      </c>
      <c r="F5" s="2" t="inlineStr">
        <is>
          <t>Harrison et al. 2025 doi:10.1039/d5ea00073d</t>
        </is>
      </c>
      <c r="G5" s="2" t="n">
        <v>4</v>
      </c>
      <c r="H5" s="2" t="inlineStr"/>
      <c r="I5" s="2" t="inlineStr"/>
      <c r="J5" s="2" t="inlineStr">
        <is>
          <t>1.25e+12 to 2.7e+12</t>
        </is>
      </c>
      <c r="K5" s="2" t="inlineStr">
        <is>
          <t>below range; within</t>
        </is>
      </c>
      <c r="L5" s="2" t="inlineStr">
        <is>
          <t>neutral; yes</t>
        </is>
      </c>
      <c r="M5" s="2" t="inlineStr">
        <is>
          <t>low; medium</t>
        </is>
      </c>
      <c r="N5" s="2" t="inlineStr">
        <is>
          <t>CS-06 2025 (2020 sea trial); CS-06 2025 (ARIEL prototype); Harrison 2025; Hernandez-Jaramillo 2025 (ERL)</t>
        </is>
      </c>
    </row>
    <row r="6">
      <c r="A6" s="4" t="inlineStr">
        <is>
          <t>1. Technology Description</t>
        </is>
      </c>
      <c r="B6" s="2" t="inlineStr">
        <is>
          <t>B9</t>
        </is>
      </c>
      <c r="C6" s="2" t="inlineStr">
        <is>
          <t>CCN-production window fraction (30-1000 nm)</t>
        </is>
      </c>
      <c r="D6" s="2" t="n">
        <v>0.71</v>
      </c>
      <c r="E6" s="2" t="inlineStr">
        <is>
          <t>fraction</t>
        </is>
      </c>
      <c r="F6" s="2" t="inlineStr"/>
      <c r="G6" s="2" t="n">
        <v>1</v>
      </c>
      <c r="H6" s="2" t="inlineStr"/>
      <c r="I6" s="2" t="inlineStr"/>
      <c r="J6" s="2" t="inlineStr">
        <is>
          <t>0.71 to 0.71</t>
        </is>
      </c>
      <c r="K6" s="6" t="inlineStr">
        <is>
          <t>no comparable value</t>
        </is>
      </c>
      <c r="L6" s="2" t="inlineStr">
        <is>
          <t>neutral</t>
        </is>
      </c>
      <c r="M6" s="2" t="inlineStr">
        <is>
          <t>low</t>
        </is>
      </c>
      <c r="N6" s="2" t="inlineStr">
        <is>
          <t>Harrison 2025</t>
        </is>
      </c>
    </row>
    <row r="7">
      <c r="A7" s="4" t="inlineStr">
        <is>
          <t>1. Technology Description</t>
        </is>
      </c>
      <c r="B7" s="2" t="inlineStr">
        <is>
          <t>H17</t>
        </is>
      </c>
      <c r="C7" s="2" t="inlineStr">
        <is>
          <t>Power</t>
        </is>
      </c>
      <c r="D7" s="2" t="n">
        <v>1</v>
      </c>
      <c r="E7" s="2" t="inlineStr">
        <is>
          <t>selector</t>
        </is>
      </c>
      <c r="F7" s="2" t="inlineStr"/>
      <c r="G7" s="2" t="n">
        <v>1</v>
      </c>
      <c r="H7" s="2" t="inlineStr"/>
      <c r="I7" s="2" t="inlineStr"/>
      <c r="J7" s="2" t="inlineStr"/>
      <c r="K7" s="2" t="inlineStr">
        <is>
          <t>definitional</t>
        </is>
      </c>
      <c r="L7" s="2" t="inlineStr">
        <is>
          <t>n/a</t>
        </is>
      </c>
      <c r="M7" s="2" t="inlineStr">
        <is>
          <t>high</t>
        </is>
      </c>
      <c r="N7" s="2" t="inlineStr">
        <is>
          <t>(workbook layout)</t>
        </is>
      </c>
    </row>
    <row r="8">
      <c r="A8" s="4" t="inlineStr">
        <is>
          <t>1. Technology Description</t>
        </is>
      </c>
      <c r="B8" s="2" t="inlineStr">
        <is>
          <t>H18</t>
        </is>
      </c>
      <c r="C8" s="2" t="inlineStr">
        <is>
          <t>Energy per hour</t>
        </is>
      </c>
      <c r="D8" s="2" t="n">
        <v>512</v>
      </c>
      <c r="E8" s="2" t="inlineStr">
        <is>
          <t>W per nozzle</t>
        </is>
      </c>
      <c r="F8" s="2" t="inlineStr"/>
      <c r="G8" s="2" t="n">
        <v>2</v>
      </c>
      <c r="H8" s="2" t="n">
        <v>606</v>
      </c>
      <c r="I8" s="2" t="n">
        <v>692</v>
      </c>
      <c r="J8" s="2" t="inlineStr">
        <is>
          <t>554 to 648</t>
        </is>
      </c>
      <c r="K8" s="5" t="inlineStr">
        <is>
          <t>below range</t>
        </is>
      </c>
      <c r="L8" s="2" t="inlineStr">
        <is>
          <t>yes</t>
        </is>
      </c>
      <c r="M8" s="2" t="inlineStr">
        <is>
          <t>medium</t>
        </is>
      </c>
      <c r="N8" s="2" t="inlineStr">
        <is>
          <t>CS-06 2025 (prototype); CS-06 2025 (scale-up estimate)</t>
        </is>
      </c>
    </row>
    <row r="9">
      <c r="A9" s="4" t="inlineStr">
        <is>
          <t>1. Technology Description</t>
        </is>
      </c>
      <c r="B9" s="2" t="inlineStr">
        <is>
          <t>H19</t>
        </is>
      </c>
      <c r="C9" s="2" t="inlineStr">
        <is>
          <t>Energy per day</t>
        </is>
      </c>
      <c r="D9" s="2" t="n">
        <v>51.2</v>
      </c>
      <c r="E9" s="2" t="inlineStr">
        <is>
          <t>W per nozzle</t>
        </is>
      </c>
      <c r="F9" s="2" t="inlineStr"/>
      <c r="G9" s="2" t="n">
        <v>1</v>
      </c>
      <c r="H9" s="2" t="inlineStr"/>
      <c r="I9" s="2" t="inlineStr"/>
      <c r="J9" s="2" t="inlineStr"/>
      <c r="K9" s="6" t="inlineStr">
        <is>
          <t>no comparable value</t>
        </is>
      </c>
      <c r="L9" s="2" t="inlineStr">
        <is>
          <t>yes</t>
        </is>
      </c>
      <c r="M9" s="2" t="inlineStr">
        <is>
          <t>medium</t>
        </is>
      </c>
      <c r="N9" s="2" t="inlineStr">
        <is>
          <t>CS-06 2025 (objective)</t>
        </is>
      </c>
    </row>
    <row r="10">
      <c r="A10" s="4" t="inlineStr">
        <is>
          <t>2. Cost Inputs</t>
        </is>
      </c>
      <c r="B10" s="2" t="inlineStr">
        <is>
          <t>B14</t>
        </is>
      </c>
      <c r="C10" s="2" t="inlineStr">
        <is>
          <t>Spray power per vessel-unit</t>
        </is>
      </c>
      <c r="D10" s="2" t="n">
        <v>4168.362777823007</v>
      </c>
      <c r="E10" s="2" t="inlineStr">
        <is>
          <t>kW</t>
        </is>
      </c>
      <c r="F10" s="2" t="inlineStr"/>
      <c r="G10" s="2" t="n">
        <v>1</v>
      </c>
      <c r="H10" s="2" t="n">
        <v>3500</v>
      </c>
      <c r="I10" s="2" t="n">
        <v>4000</v>
      </c>
      <c r="J10" s="2" t="inlineStr">
        <is>
          <t>3750 to 3750</t>
        </is>
      </c>
      <c r="K10" s="5" t="inlineStr">
        <is>
          <t>above range</t>
        </is>
      </c>
      <c r="L10" s="2" t="inlineStr">
        <is>
          <t>no</t>
        </is>
      </c>
      <c r="M10" s="2" t="inlineStr">
        <is>
          <t>medium</t>
        </is>
      </c>
      <c r="N10" s="2" t="inlineStr">
        <is>
          <t>CS-06 2025 (scale-up power)</t>
        </is>
      </c>
    </row>
    <row r="11">
      <c r="A11" s="4" t="inlineStr">
        <is>
          <t>2. Cost Inputs</t>
        </is>
      </c>
      <c r="B11" s="2" t="inlineStr">
        <is>
          <t>B25</t>
        </is>
      </c>
      <c r="C11" s="2" t="inlineStr">
        <is>
          <t>Vessel propulsion burn (underway)</t>
        </is>
      </c>
      <c r="D11" s="2" t="n">
        <v>16000</v>
      </c>
      <c r="E11" s="2" t="inlineStr">
        <is>
          <t>L/day</t>
        </is>
      </c>
      <c r="F11" s="2" t="inlineStr">
        <is>
          <t>UT 755L ~16.4 m3/day at 10 kn; Adland PSV avg ~9.3 t/day</t>
        </is>
      </c>
      <c r="G11" s="2" t="n">
        <v>1</v>
      </c>
      <c r="H11" s="2" t="n">
        <v>16400</v>
      </c>
      <c r="I11" s="2" t="n">
        <v>27300</v>
      </c>
      <c r="J11" s="2" t="inlineStr">
        <is>
          <t>16400 to 16400</t>
        </is>
      </c>
      <c r="K11" s="7" t="inlineStr">
        <is>
          <t>within</t>
        </is>
      </c>
      <c r="L11" s="2" t="inlineStr">
        <is>
          <t>yes</t>
        </is>
      </c>
      <c r="M11" s="2" t="inlineStr">
        <is>
          <t>medium</t>
        </is>
      </c>
      <c r="N11" s="2" t="inlineStr">
        <is>
          <t>HOS269 UT 755 L PSV spec sheet</t>
        </is>
      </c>
    </row>
    <row r="12">
      <c r="A12" s="4" t="inlineStr">
        <is>
          <t>2. Cost Inputs</t>
        </is>
      </c>
      <c r="B12" s="2" t="inlineStr">
        <is>
          <t>B26</t>
        </is>
      </c>
      <c r="C12" s="2" t="inlineStr">
        <is>
          <t>Vessel hotel burn (at rest / on station)</t>
        </is>
      </c>
      <c r="D12" s="2" t="n">
        <v>2700</v>
      </c>
      <c r="E12" s="2" t="inlineStr">
        <is>
          <t>L/day</t>
        </is>
      </c>
      <c r="F12" s="2">
        <f>D25 / hotel plus light station-keeping</f>
        <v/>
      </c>
      <c r="G12" s="2" t="n">
        <v>1</v>
      </c>
      <c r="H12" s="2" t="inlineStr"/>
      <c r="I12" s="2" t="inlineStr"/>
      <c r="J12" s="2" t="inlineStr">
        <is>
          <t>2700 to 2700</t>
        </is>
      </c>
      <c r="K12" s="7" t="inlineStr">
        <is>
          <t>within</t>
        </is>
      </c>
      <c r="L12" s="2" t="inlineStr">
        <is>
          <t>neutral</t>
        </is>
      </c>
      <c r="M12" s="2" t="inlineStr">
        <is>
          <t>medium</t>
        </is>
      </c>
      <c r="N12" s="2" t="inlineStr">
        <is>
          <t>HOS269 UT 755 L PSV spec sheet</t>
        </is>
      </c>
    </row>
    <row r="13">
      <c r="A13" s="4" t="inlineStr">
        <is>
          <t>2. Cost Inputs</t>
        </is>
      </c>
      <c r="B13" s="2" t="inlineStr">
        <is>
          <t>B27</t>
        </is>
      </c>
      <c r="C13" s="2" t="inlineStr">
        <is>
          <t>Fuel tank capacity</t>
        </is>
      </c>
      <c r="D13" s="2" t="n">
        <v>1000000</v>
      </c>
      <c r="E13" s="2" t="inlineStr">
        <is>
          <t>L</t>
        </is>
      </c>
      <c r="F13" s="2" t="inlineStr"/>
      <c r="G13" s="2" t="n">
        <v>1</v>
      </c>
      <c r="H13" s="2" t="inlineStr"/>
      <c r="I13" s="2" t="inlineStr"/>
      <c r="J13" s="2" t="inlineStr">
        <is>
          <t>840000 to 840000</t>
        </is>
      </c>
      <c r="K13" s="5" t="inlineStr">
        <is>
          <t>above range</t>
        </is>
      </c>
      <c r="L13" s="2" t="inlineStr">
        <is>
          <t>yes</t>
        </is>
      </c>
      <c r="M13" s="2" t="inlineStr">
        <is>
          <t>low</t>
        </is>
      </c>
      <c r="N13" s="2" t="inlineStr">
        <is>
          <t>HOS269 UT 755 L PSV spec sheet</t>
        </is>
      </c>
    </row>
    <row r="14">
      <c r="A14" s="4" t="inlineStr">
        <is>
          <t>2. Cost Inputs</t>
        </is>
      </c>
      <c r="B14" s="2" t="inlineStr">
        <is>
          <t>B31</t>
        </is>
      </c>
      <c r="C14" s="2" t="inlineStr">
        <is>
          <t>Crew</t>
        </is>
      </c>
      <c r="D14" s="2" t="n">
        <v>6</v>
      </c>
      <c r="E14" s="2" t="inlineStr">
        <is>
          <t>crew</t>
        </is>
      </c>
      <c r="F14" s="2" t="inlineStr">
        <is>
          <t>Assumption: 6 crew per vessel</t>
        </is>
      </c>
      <c r="G14" s="2" t="n">
        <v>1</v>
      </c>
      <c r="H14" s="2" t="inlineStr"/>
      <c r="I14" s="2" t="inlineStr"/>
      <c r="J14" s="2" t="inlineStr"/>
      <c r="K14" s="6" t="inlineStr">
        <is>
          <t>no comparable value</t>
        </is>
      </c>
      <c r="L14" s="2" t="inlineStr">
        <is>
          <t>yes</t>
        </is>
      </c>
      <c r="M14" s="2" t="inlineStr">
        <is>
          <t>low</t>
        </is>
      </c>
      <c r="N14" s="2" t="inlineStr">
        <is>
          <t>(no source found)</t>
        </is>
      </c>
    </row>
    <row r="15">
      <c r="A15" s="4" t="inlineStr">
        <is>
          <t>2. Cost Inputs</t>
        </is>
      </c>
      <c r="B15" s="2" t="inlineStr">
        <is>
          <t>B35</t>
        </is>
      </c>
      <c r="C15" s="2" t="inlineStr">
        <is>
          <t>Maintenance &amp; insurance</t>
        </is>
      </c>
      <c r="D15" s="2" t="n">
        <v>0.07000000000000001</v>
      </c>
      <c r="E15" s="2" t="inlineStr">
        <is>
          <t>fraction of capex/yr</t>
        </is>
      </c>
      <c r="F15" s="2" t="inlineStr">
        <is>
          <t>5% maintenance + 2% insurance</t>
        </is>
      </c>
      <c r="G15" s="2" t="n">
        <v>1</v>
      </c>
      <c r="H15" s="2" t="n">
        <v>0.046</v>
      </c>
      <c r="I15" s="2" t="n">
        <v>0.057</v>
      </c>
      <c r="J15" s="2" t="inlineStr">
        <is>
          <t>0.057 to 0.057</t>
        </is>
      </c>
      <c r="K15" s="5" t="inlineStr">
        <is>
          <t>above range</t>
        </is>
      </c>
      <c r="L15" s="2" t="inlineStr">
        <is>
          <t>no</t>
        </is>
      </c>
      <c r="M15" s="2" t="inlineStr">
        <is>
          <t>medium</t>
        </is>
      </c>
      <c r="N15" s="2" t="inlineStr">
        <is>
          <t>Tidewater 10-K FY2024 (R&amp;M + insurance)</t>
        </is>
      </c>
    </row>
    <row r="16">
      <c r="A16" s="4" t="inlineStr">
        <is>
          <t>2. Cost Inputs</t>
        </is>
      </c>
      <c r="B16" s="2" t="inlineStr">
        <is>
          <t>B42</t>
        </is>
      </c>
      <c r="C16" s="2" t="inlineStr">
        <is>
          <t>Seawater intake/filtration/UV</t>
        </is>
      </c>
      <c r="D16" s="2" t="n">
        <v>1</v>
      </c>
      <c r="E16" s="2" t="inlineStr">
        <is>
          <t>per vessel</t>
        </is>
      </c>
      <c r="F16" s="2" t="inlineStr"/>
      <c r="G16" s="2" t="n">
        <v>1</v>
      </c>
      <c r="H16" s="2" t="inlineStr"/>
      <c r="I16" s="2" t="inlineStr"/>
      <c r="J16" s="2" t="inlineStr"/>
      <c r="K16" s="2" t="inlineStr">
        <is>
          <t>definitional</t>
        </is>
      </c>
      <c r="L16" s="2" t="inlineStr">
        <is>
          <t>n/a</t>
        </is>
      </c>
      <c r="M16" s="2" t="inlineStr">
        <is>
          <t>high</t>
        </is>
      </c>
      <c r="N16" s="2" t="inlineStr">
        <is>
          <t>(workbook layout)</t>
        </is>
      </c>
    </row>
    <row r="17">
      <c r="A17" s="4" t="inlineStr">
        <is>
          <t>2. Cost Inputs</t>
        </is>
      </c>
      <c r="B17" s="2" t="inlineStr">
        <is>
          <t>B43</t>
        </is>
      </c>
      <c r="C17" s="2" t="inlineStr">
        <is>
          <t>Vessel structure &amp; integration</t>
        </is>
      </c>
      <c r="D17" s="2" t="n">
        <v>1</v>
      </c>
      <c r="E17" s="2" t="inlineStr">
        <is>
          <t>per vessel</t>
        </is>
      </c>
      <c r="F17" s="2">
        <f>D44*0.25</f>
        <v/>
      </c>
      <c r="G17" s="2" t="n">
        <v>1</v>
      </c>
      <c r="H17" s="2" t="inlineStr"/>
      <c r="I17" s="2" t="inlineStr"/>
      <c r="J17" s="2" t="inlineStr"/>
      <c r="K17" s="2" t="inlineStr">
        <is>
          <t>definitional</t>
        </is>
      </c>
      <c r="L17" s="2" t="inlineStr">
        <is>
          <t>n/a</t>
        </is>
      </c>
      <c r="M17" s="2" t="inlineStr">
        <is>
          <t>high</t>
        </is>
      </c>
      <c r="N17" s="2" t="inlineStr">
        <is>
          <t>(workbook layout)</t>
        </is>
      </c>
    </row>
    <row r="18">
      <c r="A18" s="4" t="inlineStr">
        <is>
          <t>2. Cost Inputs</t>
        </is>
      </c>
      <c r="B18" s="2" t="inlineStr">
        <is>
          <t>B44</t>
        </is>
      </c>
      <c r="C18" s="2" t="inlineStr">
        <is>
          <t>Vessel purchase</t>
        </is>
      </c>
      <c r="D18" s="2" t="n">
        <v>1</v>
      </c>
      <c r="E18" s="2" t="inlineStr">
        <is>
          <t>vessels</t>
        </is>
      </c>
      <c r="F18" s="2" t="inlineStr"/>
      <c r="G18" s="2" t="n">
        <v>1</v>
      </c>
      <c r="H18" s="2" t="inlineStr"/>
      <c r="I18" s="2" t="inlineStr"/>
      <c r="J18" s="2" t="inlineStr"/>
      <c r="K18" s="2" t="inlineStr">
        <is>
          <t>definitional</t>
        </is>
      </c>
      <c r="L18" s="2" t="inlineStr">
        <is>
          <t>n/a</t>
        </is>
      </c>
      <c r="M18" s="2" t="inlineStr">
        <is>
          <t>high</t>
        </is>
      </c>
      <c r="N18" s="2" t="inlineStr">
        <is>
          <t>(workbook layout)</t>
        </is>
      </c>
    </row>
    <row r="19">
      <c r="A19" s="4" t="inlineStr">
        <is>
          <t>2. Cost Inputs</t>
        </is>
      </c>
      <c r="B19" s="2" t="inlineStr">
        <is>
          <t>B49</t>
        </is>
      </c>
      <c r="C19" s="2" t="inlineStr">
        <is>
          <t>Engineering &amp; supervision</t>
        </is>
      </c>
      <c r="D19" s="2" t="n">
        <v>0.2</v>
      </c>
      <c r="E19" s="2" t="inlineStr">
        <is>
          <t>fraction</t>
        </is>
      </c>
      <c r="F19" s="2" t="inlineStr">
        <is>
          <t>Assumption (share of capital)</t>
        </is>
      </c>
      <c r="G19" s="2" t="n">
        <v>1</v>
      </c>
      <c r="H19" s="2" t="n">
        <v>0.15</v>
      </c>
      <c r="I19" s="2" t="n">
        <v>0.2</v>
      </c>
      <c r="J19" s="2" t="inlineStr">
        <is>
          <t>0.175 to 0.175</t>
        </is>
      </c>
      <c r="K19" s="7" t="inlineStr">
        <is>
          <t>within</t>
        </is>
      </c>
      <c r="L19" s="2" t="inlineStr">
        <is>
          <t>neutral</t>
        </is>
      </c>
      <c r="M19" s="2" t="inlineStr">
        <is>
          <t>medium</t>
        </is>
      </c>
      <c r="N19" s="2" t="inlineStr">
        <is>
          <t>NETL QGESS 2021 (EPCM services)</t>
        </is>
      </c>
    </row>
    <row r="20">
      <c r="A20" s="4" t="inlineStr">
        <is>
          <t>2. Cost Inputs</t>
        </is>
      </c>
      <c r="B20" s="2" t="inlineStr">
        <is>
          <t>B5</t>
        </is>
      </c>
      <c r="C20" s="2" t="inlineStr">
        <is>
          <t>Equipment availability</t>
        </is>
      </c>
      <c r="D20" s="2" t="n">
        <v>0.9</v>
      </c>
      <c r="E20" s="2" t="inlineStr">
        <is>
          <t>fraction</t>
        </is>
      </c>
      <c r="F20" s="2" t="inlineStr">
        <is>
          <t>Assumption (mechanical uptime target)</t>
        </is>
      </c>
      <c r="G20" s="2" t="n">
        <v>1</v>
      </c>
      <c r="H20" s="2" t="n">
        <v>0.763</v>
      </c>
      <c r="I20" s="2" t="n">
        <v>0.84</v>
      </c>
      <c r="J20" s="2" t="inlineStr">
        <is>
          <t>0.79 to 0.79</t>
        </is>
      </c>
      <c r="K20" s="6" t="inlineStr">
        <is>
          <t>no comparable value</t>
        </is>
      </c>
      <c r="L20" s="2" t="inlineStr">
        <is>
          <t>neutral</t>
        </is>
      </c>
      <c r="M20" s="2" t="inlineStr">
        <is>
          <t>low</t>
        </is>
      </c>
      <c r="N20" s="2" t="inlineStr">
        <is>
          <t>Tidewater 10-K FY2024 (commercial utilization)</t>
        </is>
      </c>
    </row>
    <row r="21">
      <c r="A21" s="4" t="inlineStr">
        <is>
          <t>2. Cost Inputs</t>
        </is>
      </c>
      <c r="B21" s="2" t="inlineStr">
        <is>
          <t>B50</t>
        </is>
      </c>
      <c r="C21" s="2" t="inlineStr">
        <is>
          <t>Installation &amp; commissioning</t>
        </is>
      </c>
      <c r="D21" s="2" t="n">
        <v>0.15</v>
      </c>
      <c r="E21" s="2" t="inlineStr">
        <is>
          <t>fraction</t>
        </is>
      </c>
      <c r="F21" s="2" t="inlineStr">
        <is>
          <t>Assumption (share of capital)</t>
        </is>
      </c>
      <c r="G21" s="2" t="n">
        <v>1</v>
      </c>
      <c r="H21" s="2" t="inlineStr"/>
      <c r="I21" s="2" t="inlineStr"/>
      <c r="J21" s="2" t="inlineStr"/>
      <c r="K21" s="6" t="inlineStr">
        <is>
          <t>no comparable value</t>
        </is>
      </c>
      <c r="L21" s="2" t="inlineStr">
        <is>
          <t>neutral</t>
        </is>
      </c>
      <c r="M21" s="2" t="inlineStr">
        <is>
          <t>low</t>
        </is>
      </c>
      <c r="N21" s="2" t="inlineStr">
        <is>
          <t>NETL QGESS 2021 (EPCM services)</t>
        </is>
      </c>
    </row>
    <row r="22">
      <c r="A22" s="4" t="inlineStr">
        <is>
          <t>2. Cost Inputs</t>
        </is>
      </c>
      <c r="B22" s="2" t="inlineStr">
        <is>
          <t>B51</t>
        </is>
      </c>
      <c r="C22" s="2" t="inlineStr">
        <is>
          <t>Marinization premium</t>
        </is>
      </c>
      <c r="D22" s="2" t="n">
        <v>0.2</v>
      </c>
      <c r="E22" s="2" t="inlineStr">
        <is>
          <t>fraction</t>
        </is>
      </c>
      <c r="F22" s="2" t="inlineStr">
        <is>
          <t>Assumption (marinization premium)</t>
        </is>
      </c>
      <c r="G22" s="2" t="n">
        <v>1</v>
      </c>
      <c r="H22" s="2" t="inlineStr"/>
      <c r="I22" s="2" t="inlineStr"/>
      <c r="J22" s="2" t="inlineStr"/>
      <c r="K22" s="6" t="inlineStr">
        <is>
          <t>no comparable value</t>
        </is>
      </c>
      <c r="L22" s="2" t="inlineStr">
        <is>
          <t>neutral</t>
        </is>
      </c>
      <c r="M22" s="2" t="inlineStr">
        <is>
          <t>low</t>
        </is>
      </c>
      <c r="N22" s="2" t="inlineStr">
        <is>
          <t>RRAP CS-07 Final Report 2025 (qualitative)</t>
        </is>
      </c>
    </row>
    <row r="23">
      <c r="A23" s="4" t="inlineStr">
        <is>
          <t>2. Cost Inputs</t>
        </is>
      </c>
      <c r="B23" s="2" t="inlineStr">
        <is>
          <t>B52</t>
        </is>
      </c>
      <c r="C23" s="2" t="inlineStr">
        <is>
          <t>Process contingency</t>
        </is>
      </c>
      <c r="D23" s="2" t="n">
        <v>0.25</v>
      </c>
      <c r="E23" s="2" t="inlineStr">
        <is>
          <t>fraction</t>
        </is>
      </c>
      <c r="F23" s="2" t="inlineStr">
        <is>
          <t>Assumption (process contingency)</t>
        </is>
      </c>
      <c r="G23" s="2" t="n">
        <v>1</v>
      </c>
      <c r="H23" s="2" t="n">
        <v>0.2</v>
      </c>
      <c r="I23" s="2" t="n">
        <v>0.35</v>
      </c>
      <c r="J23" s="2" t="inlineStr">
        <is>
          <t>0.275 to 0.275</t>
        </is>
      </c>
      <c r="K23" s="7" t="inlineStr">
        <is>
          <t>within</t>
        </is>
      </c>
      <c r="L23" s="2" t="inlineStr">
        <is>
          <t>neutral</t>
        </is>
      </c>
      <c r="M23" s="2" t="inlineStr">
        <is>
          <t>medium</t>
        </is>
      </c>
      <c r="N23" s="2" t="inlineStr">
        <is>
          <t>NETL QGESS 2021 / AACE 16R-90 (process contingency)</t>
        </is>
      </c>
    </row>
    <row r="24">
      <c r="A24" s="4" t="inlineStr">
        <is>
          <t>2. Cost Inputs</t>
        </is>
      </c>
      <c r="B24" s="2" t="inlineStr">
        <is>
          <t>B56</t>
        </is>
      </c>
      <c r="C24" s="2" t="inlineStr">
        <is>
          <t>Bareboat charter rate, workboat class (hull + crew)</t>
        </is>
      </c>
      <c r="D24" s="2" t="n">
        <v>150000</v>
      </c>
      <c r="E24" s="2" t="inlineStr">
        <is>
          <t>$/vessel/week</t>
        </is>
      </c>
      <c r="F24" s="2" t="inlineStr">
        <is>
          <t>Assumption, no market quote</t>
        </is>
      </c>
      <c r="G24" s="2" t="n">
        <v>1</v>
      </c>
      <c r="H24" s="2" t="n">
        <v>117614</v>
      </c>
      <c r="I24" s="2" t="n">
        <v>189896</v>
      </c>
      <c r="J24" s="2" t="inlineStr">
        <is>
          <t>148911 to 148911</t>
        </is>
      </c>
      <c r="K24" s="7" t="inlineStr">
        <is>
          <t>within</t>
        </is>
      </c>
      <c r="L24" s="2" t="inlineStr">
        <is>
          <t>neutral</t>
        </is>
      </c>
      <c r="M24" s="2" t="inlineStr">
        <is>
          <t>medium</t>
        </is>
      </c>
      <c r="N24" s="2" t="inlineStr">
        <is>
          <t>Tidewater 10-K FY2024 (average day rate)</t>
        </is>
      </c>
    </row>
    <row r="25">
      <c r="A25" s="4" t="inlineStr">
        <is>
          <t>2. Cost Inputs</t>
        </is>
      </c>
      <c r="B25" s="2" t="inlineStr">
        <is>
          <t>B6</t>
        </is>
      </c>
      <c r="C25" s="2" t="inlineStr">
        <is>
          <t>Project lifetime</t>
        </is>
      </c>
      <c r="D25" s="2" t="n">
        <v>15</v>
      </c>
      <c r="E25" s="2" t="inlineStr">
        <is>
          <t>years</t>
        </is>
      </c>
      <c r="F25" s="2" t="inlineStr">
        <is>
          <t>Assumption (hardware life)</t>
        </is>
      </c>
      <c r="G25" s="2" t="n">
        <v>1</v>
      </c>
      <c r="H25" s="2" t="n">
        <v>10</v>
      </c>
      <c r="I25" s="2" t="n">
        <v>20</v>
      </c>
      <c r="J25" s="2" t="inlineStr">
        <is>
          <t>15 to 15</t>
        </is>
      </c>
      <c r="K25" s="7" t="inlineStr">
        <is>
          <t>within</t>
        </is>
      </c>
      <c r="L25" s="2" t="inlineStr">
        <is>
          <t>neutral</t>
        </is>
      </c>
      <c r="M25" s="2" t="inlineStr">
        <is>
          <t>medium</t>
        </is>
      </c>
      <c r="N25" s="2" t="inlineStr">
        <is>
          <t>Tidewater 10-K FY2024 (useful lives)</t>
        </is>
      </c>
    </row>
    <row r="26">
      <c r="A26" s="4" t="inlineStr">
        <is>
          <t>2. Cost Inputs</t>
        </is>
      </c>
      <c r="B26" s="2" t="inlineStr">
        <is>
          <t>B7</t>
        </is>
      </c>
      <c r="C26" s="2" t="inlineStr">
        <is>
          <t>Discount rate</t>
        </is>
      </c>
      <c r="D26" s="2" t="n">
        <v>0.1</v>
      </c>
      <c r="E26" s="2" t="inlineStr">
        <is>
          <t>fraction</t>
        </is>
      </c>
      <c r="F26" s="2" t="inlineStr">
        <is>
          <t>Assumption (cost of capital)</t>
        </is>
      </c>
      <c r="G26" s="2" t="n">
        <v>2</v>
      </c>
      <c r="H26" s="2" t="n">
        <v>0.0625</v>
      </c>
      <c r="I26" s="2" t="n">
        <v>0.0743</v>
      </c>
      <c r="J26" s="2" t="inlineStr">
        <is>
          <t>0.02 to 0.0669</t>
        </is>
      </c>
      <c r="K26" s="5" t="inlineStr">
        <is>
          <t>above range</t>
        </is>
      </c>
      <c r="L26" s="2" t="inlineStr">
        <is>
          <t>no</t>
        </is>
      </c>
      <c r="M26" s="2" t="inlineStr">
        <is>
          <t>medium</t>
        </is>
      </c>
      <c r="N26" s="2" t="inlineStr">
        <is>
          <t>Damodaran Jan 2026 (Shipbuilding &amp; Marine); OMB Circular A-4 (2023)</t>
        </is>
      </c>
    </row>
    <row r="27">
      <c r="A27" s="4" t="inlineStr">
        <is>
          <t>2. Cost Inputs</t>
        </is>
      </c>
      <c r="B27" s="2" t="inlineStr">
        <is>
          <t>B8</t>
        </is>
      </c>
      <c r="C27" s="2" t="inlineStr">
        <is>
          <t>Exchange rate, AUD to USD</t>
        </is>
      </c>
      <c r="D27" s="2" t="n">
        <v>0.7</v>
      </c>
      <c r="E27" s="2" t="inlineStr">
        <is>
          <t>USD per AUD</t>
        </is>
      </c>
      <c r="F27" s="2" t="inlineStr"/>
      <c r="G27" s="2" t="n">
        <v>1</v>
      </c>
      <c r="H27" s="2" t="n">
        <v>0.58</v>
      </c>
      <c r="I27" s="2" t="n">
        <v>0.8110000000000001</v>
      </c>
      <c r="J27" s="2" t="inlineStr">
        <is>
          <t>0.702 to 0.702</t>
        </is>
      </c>
      <c r="K27" s="7" t="inlineStr">
        <is>
          <t>within</t>
        </is>
      </c>
      <c r="L27" s="2" t="inlineStr">
        <is>
          <t>neutral</t>
        </is>
      </c>
      <c r="M27" s="2" t="inlineStr">
        <is>
          <t>high</t>
        </is>
      </c>
      <c r="N27" s="2" t="inlineStr">
        <is>
          <t>ECB reference rates via Frankfurter API</t>
        </is>
      </c>
    </row>
    <row r="28">
      <c r="A28" s="4" t="inlineStr">
        <is>
          <t>2. Cost Inputs</t>
        </is>
      </c>
      <c r="B28" s="2" t="inlineStr">
        <is>
          <t>D20</t>
        </is>
      </c>
      <c r="C28" s="2" t="inlineStr">
        <is>
          <t>Seawater</t>
        </is>
      </c>
      <c r="D28" s="2" t="n">
        <v>0</v>
      </c>
      <c r="E28" s="2" t="inlineStr">
        <is>
          <t>$/L</t>
        </is>
      </c>
      <c r="F28" s="2" t="inlineStr"/>
      <c r="G28" s="2" t="n">
        <v>1</v>
      </c>
      <c r="H28" s="2" t="inlineStr"/>
      <c r="I28" s="2" t="inlineStr"/>
      <c r="J28" s="2" t="inlineStr"/>
      <c r="K28" s="2" t="inlineStr">
        <is>
          <t>definitional</t>
        </is>
      </c>
      <c r="L28" s="2" t="inlineStr">
        <is>
          <t>n/a</t>
        </is>
      </c>
      <c r="M28" s="2" t="inlineStr">
        <is>
          <t>high</t>
        </is>
      </c>
      <c r="N28" s="2" t="inlineStr">
        <is>
          <t>(structural)</t>
        </is>
      </c>
    </row>
    <row r="29">
      <c r="A29" s="4" t="inlineStr">
        <is>
          <t>2. Cost Inputs</t>
        </is>
      </c>
      <c r="B29" s="2" t="inlineStr">
        <is>
          <t>D24</t>
        </is>
      </c>
      <c r="C29" s="2" t="inlineStr">
        <is>
          <t>Energy (compression, atomizes wet seawater)</t>
        </is>
      </c>
      <c r="D29" s="2" t="n">
        <v>0.3</v>
      </c>
      <c r="E29" s="2" t="inlineStr">
        <is>
          <t>$/kWh</t>
        </is>
      </c>
      <c r="F29" s="2" t="inlineStr">
        <is>
          <t>Derived: Harrison nozzle power x 24 h x energy price assumption</t>
        </is>
      </c>
      <c r="G29" s="2" t="n">
        <v>1</v>
      </c>
      <c r="H29" s="2" t="n">
        <v>0.171</v>
      </c>
      <c r="I29" s="2" t="n">
        <v>0.249</v>
      </c>
      <c r="J29" s="2" t="inlineStr">
        <is>
          <t>0.249 to 0.249</t>
        </is>
      </c>
      <c r="K29" s="5" t="inlineStr">
        <is>
          <t>above range</t>
        </is>
      </c>
      <c r="L29" s="2" t="inlineStr">
        <is>
          <t>no</t>
        </is>
      </c>
      <c r="M29" s="2" t="inlineStr">
        <is>
          <t>low</t>
        </is>
      </c>
      <c r="N29" s="2" t="inlineStr">
        <is>
          <t>IMO Fourth GHG Study 2020 + ShipUniverse MGO</t>
        </is>
      </c>
    </row>
    <row r="30">
      <c r="A30" s="4" t="inlineStr">
        <is>
          <t>2. Cost Inputs</t>
        </is>
      </c>
      <c r="B30" s="2" t="inlineStr">
        <is>
          <t>D25</t>
        </is>
      </c>
      <c r="C30" s="2" t="inlineStr">
        <is>
          <t>Vessel propulsion burn (underway)</t>
        </is>
      </c>
      <c r="D30" s="2" t="n">
        <v>0.9</v>
      </c>
      <c r="E30" s="2" t="inlineStr">
        <is>
          <t>$/L</t>
        </is>
      </c>
      <c r="F30" s="2" t="inlineStr">
        <is>
          <t>(no price source in workbook)</t>
        </is>
      </c>
      <c r="G30" s="2" t="n">
        <v>1</v>
      </c>
      <c r="H30" s="2" t="n">
        <v>1.14</v>
      </c>
      <c r="I30" s="2" t="n">
        <v>1.2</v>
      </c>
      <c r="J30" s="2" t="inlineStr">
        <is>
          <t>1.157 to 1.157</t>
        </is>
      </c>
      <c r="K30" s="5" t="inlineStr">
        <is>
          <t>below range</t>
        </is>
      </c>
      <c r="L30" s="2" t="inlineStr">
        <is>
          <t>yes</t>
        </is>
      </c>
      <c r="M30" s="2" t="inlineStr">
        <is>
          <t>low</t>
        </is>
      </c>
      <c r="N30" s="2" t="inlineStr">
        <is>
          <t>ShipUniverse 31 Jul 2026 (global MGO index)</t>
        </is>
      </c>
    </row>
    <row r="31">
      <c r="A31" s="4" t="inlineStr">
        <is>
          <t>2. Cost Inputs</t>
        </is>
      </c>
      <c r="B31" s="2" t="inlineStr">
        <is>
          <t>D28</t>
        </is>
      </c>
      <c r="C31" s="2" t="inlineStr">
        <is>
          <t>Seawater pumping + filtration + UV</t>
        </is>
      </c>
      <c r="D31" s="2" t="n">
        <v>0.3</v>
      </c>
      <c r="E31" s="2" t="inlineStr">
        <is>
          <t>$/kWh</t>
        </is>
      </c>
      <c r="F31" s="2" t="inlineStr"/>
      <c r="G31" s="2" t="n">
        <v>1</v>
      </c>
      <c r="H31" s="2" t="inlineStr"/>
      <c r="I31" s="2" t="inlineStr"/>
      <c r="J31" s="2" t="inlineStr"/>
      <c r="K31" s="5" t="inlineStr">
        <is>
          <t>above range</t>
        </is>
      </c>
      <c r="L31" s="2" t="inlineStr">
        <is>
          <t>no</t>
        </is>
      </c>
      <c r="M31" s="2" t="inlineStr">
        <is>
          <t>low</t>
        </is>
      </c>
      <c r="N31" s="2" t="inlineStr">
        <is>
          <t>(see D24)</t>
        </is>
      </c>
    </row>
    <row r="32">
      <c r="A32" s="4" t="inlineStr">
        <is>
          <t>2. Cost Inputs</t>
        </is>
      </c>
      <c r="B32" s="2" t="inlineStr">
        <is>
          <t>D31</t>
        </is>
      </c>
      <c r="C32" s="2" t="inlineStr">
        <is>
          <t>Crew</t>
        </is>
      </c>
      <c r="D32" s="2" t="n">
        <v>150000</v>
      </c>
      <c r="E32" s="2" t="inlineStr">
        <is>
          <t>$/crew-yr</t>
        </is>
      </c>
      <c r="F32" s="2" t="inlineStr">
        <is>
          <t>Assumption: 6 crew per vessel</t>
        </is>
      </c>
      <c r="G32" s="2" t="n">
        <v>1</v>
      </c>
      <c r="H32" s="2" t="n">
        <v>1650000</v>
      </c>
      <c r="I32" s="2" t="n">
        <v>1930000</v>
      </c>
      <c r="J32" s="2" t="inlineStr">
        <is>
          <t>1.93e+06 to 1.93e+06</t>
        </is>
      </c>
      <c r="K32" s="5" t="inlineStr">
        <is>
          <t>below range</t>
        </is>
      </c>
      <c r="L32" s="2" t="inlineStr">
        <is>
          <t>yes</t>
        </is>
      </c>
      <c r="M32" s="2" t="inlineStr">
        <is>
          <t>medium</t>
        </is>
      </c>
      <c r="N32" s="2" t="inlineStr">
        <is>
          <t>Tidewater 10-K FY2024 (crew cost per vessel)</t>
        </is>
      </c>
    </row>
    <row r="33">
      <c r="A33" s="4" t="inlineStr">
        <is>
          <t>2. Cost Inputs</t>
        </is>
      </c>
      <c r="B33" s="2" t="inlineStr">
        <is>
          <t>D41</t>
        </is>
      </c>
      <c r="C33" s="2" t="inlineStr">
        <is>
          <t>Compression + generation</t>
        </is>
      </c>
      <c r="D33" s="2" t="n">
        <v>1500</v>
      </c>
      <c r="E33" s="2" t="inlineStr">
        <is>
          <t>$/kW</t>
        </is>
      </c>
      <c r="F33" s="2" t="inlineStr">
        <is>
          <t>Market reference (website): ~$1,200/kW</t>
        </is>
      </c>
      <c r="G33" s="2" t="n">
        <v>1</v>
      </c>
      <c r="H33" s="2" t="inlineStr"/>
      <c r="I33" s="2" t="inlineStr"/>
      <c r="J33" s="2" t="inlineStr">
        <is>
          <t>1207 to 1207</t>
        </is>
      </c>
      <c r="K33" s="5" t="inlineStr">
        <is>
          <t>above range</t>
        </is>
      </c>
      <c r="L33" s="2" t="inlineStr">
        <is>
          <t>no</t>
        </is>
      </c>
      <c r="M33" s="2" t="inlineStr">
        <is>
          <t>low</t>
        </is>
      </c>
      <c r="N33" s="2" t="inlineStr">
        <is>
          <t>Used Ariel 200 hp CNG compressor listing</t>
        </is>
      </c>
    </row>
    <row r="34">
      <c r="A34" s="4" t="inlineStr">
        <is>
          <t>2. Cost Inputs</t>
        </is>
      </c>
      <c r="B34" s="2" t="inlineStr">
        <is>
          <t>D42</t>
        </is>
      </c>
      <c r="C34" s="2" t="inlineStr">
        <is>
          <t>Seawater intake/filtration/UV</t>
        </is>
      </c>
      <c r="D34" s="2" t="n">
        <v>25000</v>
      </c>
      <c r="E34" s="2" t="inlineStr">
        <is>
          <t>$</t>
        </is>
      </c>
      <c r="F34" s="2" t="inlineStr">
        <is>
          <t>Assumption ($25k); BWTS $640k+ at ~1,000x throughput</t>
        </is>
      </c>
      <c r="G34" s="2" t="n">
        <v>1</v>
      </c>
      <c r="H34" s="2" t="n">
        <v>268000</v>
      </c>
      <c r="I34" s="2" t="n">
        <v>640000</v>
      </c>
      <c r="J34" s="2" t="inlineStr">
        <is>
          <t>268000 to 268000</t>
        </is>
      </c>
      <c r="K34" s="5" t="inlineStr">
        <is>
          <t>below range</t>
        </is>
      </c>
      <c r="L34" s="2" t="inlineStr">
        <is>
          <t>yes</t>
        </is>
      </c>
      <c r="M34" s="2" t="inlineStr">
        <is>
          <t>low</t>
        </is>
      </c>
      <c r="N34" s="2" t="inlineStr">
        <is>
          <t>Transport Canada BWTS report 2015</t>
        </is>
      </c>
    </row>
    <row r="35">
      <c r="A35" s="4" t="inlineStr">
        <is>
          <t>2. Cost Inputs</t>
        </is>
      </c>
      <c r="B35" s="2" t="inlineStr">
        <is>
          <t>D44</t>
        </is>
      </c>
      <c r="C35" s="2" t="inlineStr">
        <is>
          <t>Vessel purchase</t>
        </is>
      </c>
      <c r="D35" s="2" t="n">
        <v>30000000</v>
      </c>
      <c r="E35" s="2" t="inlineStr">
        <is>
          <t>$</t>
        </is>
      </c>
      <c r="F35" s="2" t="inlineStr">
        <is>
          <t>Newbuild 70-80 m PSV (Clarksons basis)</t>
        </is>
      </c>
      <c r="G35" s="2" t="n">
        <v>2</v>
      </c>
      <c r="H35" s="2" t="n">
        <v>29100000</v>
      </c>
      <c r="I35" s="2" t="n">
        <v>53600000</v>
      </c>
      <c r="J35" s="2" t="inlineStr">
        <is>
          <t>2.91e+07 to 5.36e+07</t>
        </is>
      </c>
      <c r="K35" s="7" t="inlineStr">
        <is>
          <t>within</t>
        </is>
      </c>
      <c r="L35" s="2" t="inlineStr">
        <is>
          <t>yes</t>
        </is>
      </c>
      <c r="M35" s="2" t="inlineStr">
        <is>
          <t>medium</t>
        </is>
      </c>
      <c r="N35" s="2" t="inlineStr">
        <is>
          <t>Riviera / Clarksons Research, Mar 2024 (large PSV); Riviera / Clarksons Research, Mar 2024 (medium PSV)</t>
        </is>
      </c>
    </row>
    <row r="36">
      <c r="A36" s="4" t="inlineStr">
        <is>
          <t>2. Cost Inputs</t>
        </is>
      </c>
      <c r="B36" s="2" t="inlineStr">
        <is>
          <t>E40; F40</t>
        </is>
      </c>
      <c r="C36" s="2" t="inlineStr">
        <is>
          <t>REFERENCE AUDIT (cited in notes, NOT in References tab)</t>
        </is>
      </c>
      <c r="D36" s="2" t="inlineStr">
        <is>
          <t>nozzle $10-$1000 each; MeeFog $50/nozzle</t>
        </is>
      </c>
      <c r="E36" s="2" t="inlineStr"/>
      <c r="F36" s="2" t="inlineStr">
        <is>
          <t>RRAP CS-07 Fogging Development Final Report 2025</t>
        </is>
      </c>
      <c r="G36" s="2" t="n">
        <v>1</v>
      </c>
      <c r="H36" s="2" t="inlineStr"/>
      <c r="I36" s="2" t="inlineStr"/>
      <c r="J36" s="2" t="inlineStr"/>
      <c r="K36" s="6" t="inlineStr">
        <is>
          <t>no comparable value</t>
        </is>
      </c>
      <c r="L36" s="2" t="inlineStr">
        <is>
          <t>n/a</t>
        </is>
      </c>
      <c r="M36" s="2" t="inlineStr">
        <is>
          <t>medium</t>
        </is>
      </c>
      <c r="N36" s="2" t="inlineStr">
        <is>
          <t>RRAP CS-07 Fogging Development Final Report 2025</t>
        </is>
      </c>
    </row>
    <row r="37">
      <c r="A37" s="4" t="inlineStr">
        <is>
          <t>2. Cost Inputs</t>
        </is>
      </c>
      <c r="B37" s="2" t="inlineStr">
        <is>
          <t>E42; F42</t>
        </is>
      </c>
      <c r="C37" s="2" t="inlineStr">
        <is>
          <t>REFERENCE AUDIT (cited in notes, NOT in References tab)</t>
        </is>
      </c>
      <c r="D37" s="2" t="inlineStr">
        <is>
          <t>ballast water treatment &gt;=$640k at ~1,000x throughput</t>
        </is>
      </c>
      <c r="E37" s="2" t="inlineStr"/>
      <c r="F37" s="2" t="inlineStr">
        <is>
          <t>Transport Canada 'Transactions on BWTS' 2015</t>
        </is>
      </c>
      <c r="G37" s="2" t="n">
        <v>1</v>
      </c>
      <c r="H37" s="2" t="inlineStr"/>
      <c r="I37" s="2" t="inlineStr"/>
      <c r="J37" s="2" t="inlineStr"/>
      <c r="K37" s="6" t="inlineStr">
        <is>
          <t>no comparable value</t>
        </is>
      </c>
      <c r="L37" s="2" t="inlineStr">
        <is>
          <t>n/a</t>
        </is>
      </c>
      <c r="M37" s="2" t="inlineStr">
        <is>
          <t>low</t>
        </is>
      </c>
      <c r="N37" s="2" t="inlineStr">
        <is>
          <t>Transport Canada 'Transactions on BWTS' 2015</t>
        </is>
      </c>
    </row>
    <row r="38">
      <c r="A38" s="4" t="inlineStr">
        <is>
          <t>2. Cost Inputs</t>
        </is>
      </c>
      <c r="B38" s="2" t="inlineStr">
        <is>
          <t>H40</t>
        </is>
      </c>
      <c r="C38" s="2" t="inlineStr">
        <is>
          <t>Nozzles &amp; manifolds</t>
        </is>
      </c>
      <c r="D38" s="2" t="n">
        <v>2</v>
      </c>
      <c r="E38" s="2" t="inlineStr">
        <is>
          <t>selector</t>
        </is>
      </c>
      <c r="F38" s="2" t="inlineStr"/>
      <c r="G38" s="2" t="n">
        <v>1</v>
      </c>
      <c r="H38" s="2" t="inlineStr"/>
      <c r="I38" s="2" t="inlineStr"/>
      <c r="J38" s="2" t="inlineStr"/>
      <c r="K38" s="2" t="inlineStr">
        <is>
          <t>definitional</t>
        </is>
      </c>
      <c r="L38" s="2" t="inlineStr">
        <is>
          <t>n/a</t>
        </is>
      </c>
      <c r="M38" s="2" t="inlineStr">
        <is>
          <t>high</t>
        </is>
      </c>
      <c r="N38" s="2" t="inlineStr">
        <is>
          <t>(workbook layout)</t>
        </is>
      </c>
    </row>
    <row r="39">
      <c r="A39" s="4" t="inlineStr">
        <is>
          <t>2. Cost Inputs</t>
        </is>
      </c>
      <c r="B39" s="2" t="inlineStr">
        <is>
          <t>H41</t>
        </is>
      </c>
      <c r="C39" s="2" t="inlineStr">
        <is>
          <t>Compression + generation</t>
        </is>
      </c>
      <c r="D39" s="2" t="n">
        <v>10</v>
      </c>
      <c r="E39" s="2" t="inlineStr">
        <is>
          <t>$/nozzle</t>
        </is>
      </c>
      <c r="F39" s="2" t="inlineStr"/>
      <c r="G39" s="2" t="n">
        <v>1</v>
      </c>
      <c r="H39" s="2" t="n">
        <v>10</v>
      </c>
      <c r="I39" s="2" t="n">
        <v>1000</v>
      </c>
      <c r="J39" s="2" t="inlineStr"/>
      <c r="K39" s="7" t="inlineStr">
        <is>
          <t>within</t>
        </is>
      </c>
      <c r="L39" s="2" t="inlineStr">
        <is>
          <t>yes</t>
        </is>
      </c>
      <c r="M39" s="2" t="inlineStr">
        <is>
          <t>medium</t>
        </is>
      </c>
      <c r="N39" s="2" t="inlineStr">
        <is>
          <t>RRAP CS-07 Final Report 2025</t>
        </is>
      </c>
    </row>
    <row r="40">
      <c r="A40" s="4" t="inlineStr">
        <is>
          <t>2. Cost Inputs</t>
        </is>
      </c>
      <c r="B40" s="2" t="inlineStr">
        <is>
          <t>H42</t>
        </is>
      </c>
      <c r="C40" s="2" t="inlineStr">
        <is>
          <t>Seawater intake/filtration/UV</t>
        </is>
      </c>
      <c r="D40" s="2" t="n">
        <v>100</v>
      </c>
      <c r="E40" s="2" t="inlineStr">
        <is>
          <t>$/nozzle</t>
        </is>
      </c>
      <c r="F40" s="2" t="inlineStr"/>
      <c r="G40" s="2" t="n">
        <v>1</v>
      </c>
      <c r="H40" s="2" t="n">
        <v>10</v>
      </c>
      <c r="I40" s="2" t="n">
        <v>1000</v>
      </c>
      <c r="J40" s="2" t="inlineStr">
        <is>
          <t>50 to 50</t>
        </is>
      </c>
      <c r="K40" s="7" t="inlineStr">
        <is>
          <t>within</t>
        </is>
      </c>
      <c r="L40" s="2" t="inlineStr">
        <is>
          <t>neutral</t>
        </is>
      </c>
      <c r="M40" s="2" t="inlineStr">
        <is>
          <t>medium</t>
        </is>
      </c>
      <c r="N40" s="2" t="inlineStr">
        <is>
          <t>RRAP CS-07 Final Report 2025</t>
        </is>
      </c>
    </row>
    <row r="41">
      <c r="A41" s="4" t="inlineStr">
        <is>
          <t>2. Cost Inputs</t>
        </is>
      </c>
      <c r="B41" s="2" t="inlineStr">
        <is>
          <t>H43</t>
        </is>
      </c>
      <c r="C41" s="2" t="inlineStr">
        <is>
          <t>Vessel structure &amp; integration</t>
        </is>
      </c>
      <c r="D41" s="2" t="n">
        <v>1000</v>
      </c>
      <c r="E41" s="2" t="inlineStr">
        <is>
          <t>$/nozzle</t>
        </is>
      </c>
      <c r="F41" s="2" t="inlineStr"/>
      <c r="G41" s="2" t="n">
        <v>1</v>
      </c>
      <c r="H41" s="2" t="n">
        <v>10</v>
      </c>
      <c r="I41" s="2" t="n">
        <v>1000</v>
      </c>
      <c r="J41" s="2" t="inlineStr"/>
      <c r="K41" s="7" t="inlineStr">
        <is>
          <t>within</t>
        </is>
      </c>
      <c r="L41" s="2" t="inlineStr">
        <is>
          <t>no</t>
        </is>
      </c>
      <c r="M41" s="2" t="inlineStr">
        <is>
          <t>medium</t>
        </is>
      </c>
      <c r="N41" s="2" t="inlineStr">
        <is>
          <t>RRAP CS-07 Final Report 2025</t>
        </is>
      </c>
    </row>
    <row r="42">
      <c r="A42" s="4" t="inlineStr">
        <is>
          <t>3a. Outputs - Dedicated Vessel</t>
        </is>
      </c>
      <c r="B42" s="2" t="inlineStr">
        <is>
          <t>B18</t>
        </is>
      </c>
      <c r="C42" s="2" t="inlineStr">
        <is>
          <t>Spray time - moving (underway), dedicated vessel</t>
        </is>
      </c>
      <c r="D42" s="2" t="n">
        <v>0.365296803652968</v>
      </c>
      <c r="E42" s="2" t="inlineStr">
        <is>
          <t>fraction of year</t>
        </is>
      </c>
      <c r="F42" s="2" t="inlineStr">
        <is>
          <t>Assumption: dedicated vessel sprays underway.</t>
        </is>
      </c>
      <c r="G42" s="2" t="n">
        <v>1</v>
      </c>
      <c r="H42" s="2" t="n">
        <v>0.536986301369863</v>
      </c>
      <c r="I42" s="2" t="n">
        <v>0.7150684931506849</v>
      </c>
      <c r="J42" s="2" t="inlineStr">
        <is>
          <t>0.643288 to 0.643288</t>
        </is>
      </c>
      <c r="K42" s="6" t="inlineStr">
        <is>
          <t>no comparable value</t>
        </is>
      </c>
      <c r="L42" s="2" t="inlineStr">
        <is>
          <t>neutral</t>
        </is>
      </c>
      <c r="M42" s="2" t="inlineStr">
        <is>
          <t>low</t>
        </is>
      </c>
      <c r="N42" s="2" t="inlineStr">
        <is>
          <t>IMO 2020 (Fourth IMO GHG Study)</t>
        </is>
      </c>
    </row>
    <row r="43">
      <c r="A43" s="4" t="inlineStr">
        <is>
          <t>3a. Outputs - Dedicated Vessel</t>
        </is>
      </c>
      <c r="B43" s="2" t="inlineStr">
        <is>
          <t>B19</t>
        </is>
      </c>
      <c r="C43" s="2" t="inlineStr">
        <is>
          <t>Spray time - on station (zero for dedicated vessel)</t>
        </is>
      </c>
      <c r="D43" s="2" t="n">
        <v>0</v>
      </c>
      <c r="E43" s="2" t="inlineStr">
        <is>
          <t>fraction</t>
        </is>
      </c>
      <c r="F43" s="2" t="inlineStr"/>
      <c r="G43" s="2" t="n">
        <v>0</v>
      </c>
      <c r="H43" s="2" t="inlineStr"/>
      <c r="I43" s="2" t="inlineStr"/>
      <c r="J43" s="2" t="inlineStr"/>
      <c r="K43" s="2" t="inlineStr">
        <is>
          <t>definitional</t>
        </is>
      </c>
      <c r="L43" s="2" t="inlineStr">
        <is>
          <t>n/a</t>
        </is>
      </c>
      <c r="M43" s="2" t="inlineStr">
        <is>
          <t>high</t>
        </is>
      </c>
      <c r="N43" s="2" t="inlineStr"/>
    </row>
    <row r="44">
      <c r="A44" s="4" t="inlineStr">
        <is>
          <t>3a. Outputs - Dedicated Vessel</t>
        </is>
      </c>
      <c r="B44" s="2" t="inlineStr">
        <is>
          <t>B20</t>
        </is>
      </c>
      <c r="C44" s="2" t="inlineStr">
        <is>
          <t>Transit time (no spray), dedicated vessel</t>
        </is>
      </c>
      <c r="D44" s="2" t="n">
        <v>0.0365296803652968</v>
      </c>
      <c r="E44" s="2" t="inlineStr">
        <is>
          <t>fraction of year</t>
        </is>
      </c>
      <c r="F44" s="2" t="inlineStr">
        <is>
          <t>Assumption: repositioning + refuel legs.</t>
        </is>
      </c>
      <c r="G44" s="2" t="n">
        <v>0</v>
      </c>
      <c r="H44" s="2" t="inlineStr"/>
      <c r="I44" s="2" t="inlineStr"/>
      <c r="J44" s="2" t="inlineStr"/>
      <c r="K44" s="6" t="inlineStr">
        <is>
          <t>no comparable value</t>
        </is>
      </c>
      <c r="L44" s="2" t="inlineStr">
        <is>
          <t>neutral</t>
        </is>
      </c>
      <c r="M44" s="2" t="inlineStr">
        <is>
          <t>low</t>
        </is>
      </c>
      <c r="N44" s="2" t="inlineStr"/>
    </row>
    <row r="45">
      <c r="A45" s="4" t="inlineStr">
        <is>
          <t>3a. Outputs - Dedicated Vessel</t>
        </is>
      </c>
      <c r="B45" s="2" t="inlineStr">
        <is>
          <t>B26</t>
        </is>
      </c>
      <c r="C45" s="2" t="inlineStr">
        <is>
          <t>Usable fraction of fuel tank</t>
        </is>
      </c>
      <c r="D45" s="2" t="n">
        <v>0.9</v>
      </c>
      <c r="E45" s="2" t="inlineStr">
        <is>
          <t>fraction</t>
        </is>
      </c>
      <c r="F45" s="2" t="inlineStr">
        <is>
          <t>Assumption (typed): 'Tanks are not run dry; 90% usable.'</t>
        </is>
      </c>
      <c r="G45" s="2" t="n">
        <v>1</v>
      </c>
      <c r="H45" s="2" t="n">
        <v>0.8</v>
      </c>
      <c r="I45" s="2" t="n">
        <v>0.9</v>
      </c>
      <c r="J45" s="2" t="inlineStr">
        <is>
          <t>0.8 to 0.8</t>
        </is>
      </c>
      <c r="K45" s="7" t="inlineStr">
        <is>
          <t>within</t>
        </is>
      </c>
      <c r="L45" s="2" t="inlineStr">
        <is>
          <t>neutral</t>
        </is>
      </c>
      <c r="M45" s="2" t="inlineStr">
        <is>
          <t>low</t>
        </is>
      </c>
      <c r="N45" s="2" t="inlineStr">
        <is>
          <t>Mrzljak et al. 2023</t>
        </is>
      </c>
    </row>
    <row r="46">
      <c r="A46" s="4" t="inlineStr">
        <is>
          <t>3b. Outputs - Ship Piggyback</t>
        </is>
      </c>
      <c r="B46" s="2" t="inlineStr">
        <is>
          <t>B10</t>
        </is>
      </c>
      <c r="C46" s="2" t="inlineStr">
        <is>
          <t>Deck-slot rental per vessel per year (ship-owner fee)</t>
        </is>
      </c>
      <c r="D46" s="2" t="n">
        <v>2000000</v>
      </c>
      <c r="E46" s="2" t="inlineStr">
        <is>
          <t>$/vessel/yr</t>
        </is>
      </c>
      <c r="F46" s="2" t="inlineStr">
        <is>
          <t>Assumption.</t>
        </is>
      </c>
      <c r="G46" s="2" t="n">
        <v>1</v>
      </c>
      <c r="H46" s="2" t="n">
        <v>5426</v>
      </c>
      <c r="I46" s="2" t="n">
        <v>9026</v>
      </c>
      <c r="J46" s="2" t="inlineStr">
        <is>
          <t>9026 to 9026</t>
        </is>
      </c>
      <c r="K46" s="6" t="inlineStr">
        <is>
          <t>no comparable value</t>
        </is>
      </c>
      <c r="L46" s="2" t="inlineStr">
        <is>
          <t>no</t>
        </is>
      </c>
      <c r="M46" s="2" t="inlineStr">
        <is>
          <t>low</t>
        </is>
      </c>
      <c r="N46" s="2" t="inlineStr">
        <is>
          <t>UNCTAD RMT 2024</t>
        </is>
      </c>
    </row>
    <row r="47">
      <c r="A47" s="4" t="inlineStr">
        <is>
          <t>3b. Outputs - Ship Piggyback</t>
        </is>
      </c>
      <c r="B47" s="2" t="inlineStr">
        <is>
          <t>B11</t>
        </is>
      </c>
      <c r="C47" s="2" t="inlineStr">
        <is>
          <t>Seawater skid, containerized (pumps, filtration, UV)</t>
        </is>
      </c>
      <c r="D47" s="2" t="n">
        <v>80000</v>
      </c>
      <c r="E47" s="2" t="inlineStr">
        <is>
          <t>$/vessel</t>
        </is>
      </c>
      <c r="F47" s="2" t="inlineStr">
        <is>
          <t>Typed (until 10/07 inside row-22 formula); no source.</t>
        </is>
      </c>
      <c r="G47" s="2" t="n">
        <v>0</v>
      </c>
      <c r="H47" s="2" t="inlineStr"/>
      <c r="I47" s="2" t="inlineStr"/>
      <c r="J47" s="2" t="inlineStr"/>
      <c r="K47" s="6" t="inlineStr">
        <is>
          <t>no comparable value</t>
        </is>
      </c>
      <c r="L47" s="2" t="inlineStr">
        <is>
          <t>neutral</t>
        </is>
      </c>
      <c r="M47" s="2" t="inlineStr">
        <is>
          <t>low</t>
        </is>
      </c>
      <c r="N47" s="2" t="inlineStr"/>
    </row>
    <row r="48">
      <c r="A48" s="4" t="inlineStr">
        <is>
          <t>3b. Outputs - Ship Piggyback</t>
        </is>
      </c>
      <c r="B48" s="2" t="inlineStr">
        <is>
          <t>B13</t>
        </is>
      </c>
      <c r="C48" s="2" t="inlineStr">
        <is>
          <t>Spray time - moving (underway), container-ship host</t>
        </is>
      </c>
      <c r="D48" s="2" t="n">
        <v>0.365296803652968</v>
      </c>
      <c r="E48" s="2" t="inlineStr">
        <is>
          <t>fraction of year</t>
        </is>
      </c>
      <c r="F48" s="2" t="inlineStr">
        <is>
          <t>Assumption: host vessel underway on its route regardless.</t>
        </is>
      </c>
      <c r="G48" s="2" t="n">
        <v>1</v>
      </c>
      <c r="H48" s="2" t="n">
        <v>0.5753424657534246</v>
      </c>
      <c r="I48" s="2" t="n">
        <v>0.7150684931506849</v>
      </c>
      <c r="J48" s="2" t="inlineStr">
        <is>
          <t>0.643288 to 0.643288</t>
        </is>
      </c>
      <c r="K48" s="7" t="inlineStr">
        <is>
          <t>within</t>
        </is>
      </c>
      <c r="L48" s="2" t="inlineStr">
        <is>
          <t>neutral</t>
        </is>
      </c>
      <c r="M48" s="2" t="inlineStr">
        <is>
          <t>medium</t>
        </is>
      </c>
      <c r="N48" s="2" t="inlineStr">
        <is>
          <t>IMO 2020 (Fourth IMO GHG Study)</t>
        </is>
      </c>
    </row>
    <row r="49">
      <c r="A49" s="4" t="inlineStr">
        <is>
          <t>3b. Outputs - Ship Piggyback</t>
        </is>
      </c>
      <c r="B49" s="2" t="inlineStr">
        <is>
          <t>B14</t>
        </is>
      </c>
      <c r="C49" s="2" t="inlineStr">
        <is>
          <t>Spray time - on station (zero, piggyback)</t>
        </is>
      </c>
      <c r="D49" s="2" t="n">
        <v>0</v>
      </c>
      <c r="E49" s="2" t="inlineStr">
        <is>
          <t>fraction</t>
        </is>
      </c>
      <c r="F49" s="2" t="inlineStr"/>
      <c r="G49" s="2" t="n">
        <v>0</v>
      </c>
      <c r="H49" s="2" t="inlineStr"/>
      <c r="I49" s="2" t="inlineStr"/>
      <c r="J49" s="2" t="inlineStr"/>
      <c r="K49" s="2" t="inlineStr">
        <is>
          <t>definitional</t>
        </is>
      </c>
      <c r="L49" s="2" t="inlineStr">
        <is>
          <t>n/a</t>
        </is>
      </c>
      <c r="M49" s="2" t="inlineStr">
        <is>
          <t>high</t>
        </is>
      </c>
      <c r="N49" s="2" t="inlineStr"/>
    </row>
    <row r="50">
      <c r="A50" s="4" t="inlineStr">
        <is>
          <t>3b. Outputs - Ship Piggyback</t>
        </is>
      </c>
      <c r="B50" s="2" t="inlineStr">
        <is>
          <t>B15</t>
        </is>
      </c>
      <c r="C50" s="2" t="inlineStr">
        <is>
          <t>Transit time (zero, piggyback)</t>
        </is>
      </c>
      <c r="D50" s="2" t="n">
        <v>0</v>
      </c>
      <c r="E50" s="2" t="inlineStr">
        <is>
          <t>fraction</t>
        </is>
      </c>
      <c r="F50" s="2" t="inlineStr"/>
      <c r="G50" s="2" t="n">
        <v>0</v>
      </c>
      <c r="H50" s="2" t="inlineStr"/>
      <c r="I50" s="2" t="inlineStr"/>
      <c r="J50" s="2" t="inlineStr"/>
      <c r="K50" s="2" t="inlineStr">
        <is>
          <t>definitional</t>
        </is>
      </c>
      <c r="L50" s="2" t="inlineStr">
        <is>
          <t>n/a</t>
        </is>
      </c>
      <c r="M50" s="2" t="inlineStr">
        <is>
          <t>high</t>
        </is>
      </c>
      <c r="N50" s="2" t="inlineStr"/>
    </row>
    <row r="51">
      <c r="A51" s="4" t="inlineStr">
        <is>
          <t>3b. Outputs - Ship Piggyback</t>
        </is>
      </c>
      <c r="B51" s="2" t="inlineStr">
        <is>
          <t>B41</t>
        </is>
      </c>
      <c r="C51" s="2" t="inlineStr">
        <is>
          <t>Power per host ship, own gensets (host auxiliary power at sea for comparison)</t>
        </is>
      </c>
      <c r="D51" s="2" t="n">
        <v>4500</v>
      </c>
      <c r="E51" s="2" t="inlineStr">
        <is>
          <t>kW</t>
        </is>
      </c>
      <c r="F51" s="2" t="inlineStr">
        <is>
          <t>Workbook note D41: 4.5 MW = 3-5 forty-foot genset boxes.</t>
        </is>
      </c>
      <c r="G51" s="2" t="n">
        <v>1</v>
      </c>
      <c r="H51" s="2" t="n">
        <v>900</v>
      </c>
      <c r="I51" s="2" t="n">
        <v>2300</v>
      </c>
      <c r="J51" s="2" t="inlineStr">
        <is>
          <t>1450 to 1450</t>
        </is>
      </c>
      <c r="K51" s="5" t="inlineStr">
        <is>
          <t>above range</t>
        </is>
      </c>
      <c r="L51" s="2" t="inlineStr">
        <is>
          <t>neutral</t>
        </is>
      </c>
      <c r="M51" s="2" t="inlineStr">
        <is>
          <t>medium</t>
        </is>
      </c>
      <c r="N51" s="2" t="inlineStr">
        <is>
          <t>IMO 2020 (Fourth IMO GHG Study)</t>
        </is>
      </c>
    </row>
    <row r="52">
      <c r="A52" s="4" t="inlineStr">
        <is>
          <t>3b. Outputs - Ship Piggyback</t>
        </is>
      </c>
      <c r="B52" s="2" t="inlineStr">
        <is>
          <t>B5</t>
        </is>
      </c>
      <c r="C52" s="2" t="inlineStr">
        <is>
          <t>Containerized mounting capital per vessel</t>
        </is>
      </c>
      <c r="D52" s="2" t="n">
        <v>100000</v>
      </c>
      <c r="E52" s="2" t="inlineStr">
        <is>
          <t>$/vessel</t>
        </is>
      </c>
      <c r="F52" s="2" t="inlineStr">
        <is>
          <t>Assumption: gear mounting and integration only.</t>
        </is>
      </c>
      <c r="G52" s="2" t="n">
        <v>1</v>
      </c>
      <c r="H52" s="2" t="inlineStr"/>
      <c r="I52" s="2" t="inlineStr"/>
      <c r="J52" s="2" t="inlineStr"/>
      <c r="K52" s="6" t="inlineStr">
        <is>
          <t>no comparable value</t>
        </is>
      </c>
      <c r="L52" s="2" t="inlineStr">
        <is>
          <t>neutral</t>
        </is>
      </c>
      <c r="M52" s="2" t="inlineStr">
        <is>
          <t>low; medium</t>
        </is>
      </c>
      <c r="N52" s="2" t="inlineStr">
        <is>
          <t>Latham et al. 2012</t>
        </is>
      </c>
    </row>
    <row r="53">
      <c r="A53" s="4" t="inlineStr">
        <is>
          <t>3b. Outputs - Ship Piggyback</t>
        </is>
      </c>
      <c r="B53" s="2" t="inlineStr">
        <is>
          <t>B6</t>
        </is>
      </c>
      <c r="C53" s="2" t="inlineStr">
        <is>
          <t>Technicians per vessel</t>
        </is>
      </c>
      <c r="D53" s="2" t="n">
        <v>3</v>
      </c>
      <c r="E53" s="2" t="inlineStr">
        <is>
          <t>people</t>
        </is>
      </c>
      <c r="F53" s="2" t="inlineStr">
        <is>
          <t>Assumption: 3 technicians per vessel.</t>
        </is>
      </c>
      <c r="G53" s="2" t="n">
        <v>0</v>
      </c>
      <c r="H53" s="2" t="inlineStr"/>
      <c r="I53" s="2" t="inlineStr"/>
      <c r="J53" s="2" t="inlineStr"/>
      <c r="K53" s="6" t="inlineStr">
        <is>
          <t>no comparable value</t>
        </is>
      </c>
      <c r="L53" s="2" t="inlineStr">
        <is>
          <t>neutral</t>
        </is>
      </c>
      <c r="M53" s="2" t="inlineStr">
        <is>
          <t>low</t>
        </is>
      </c>
      <c r="N53" s="2" t="inlineStr"/>
    </row>
    <row r="54">
      <c r="A54" s="4" t="inlineStr">
        <is>
          <t>3b. Outputs - Ship Piggyback</t>
        </is>
      </c>
      <c r="B54" s="2" t="inlineStr">
        <is>
          <t>B7</t>
        </is>
      </c>
      <c r="C54" s="2" t="inlineStr">
        <is>
          <t>Technician annual cost (loaded)</t>
        </is>
      </c>
      <c r="D54" s="2" t="n">
        <v>180000</v>
      </c>
      <c r="E54" s="2" t="inlineStr">
        <is>
          <t>$/person</t>
        </is>
      </c>
      <c r="F54" s="2" t="inlineStr">
        <is>
          <t>Assumption (loaded annual cost).</t>
        </is>
      </c>
      <c r="G54" s="2" t="n">
        <v>1</v>
      </c>
      <c r="H54" s="2" t="n">
        <v>49110</v>
      </c>
      <c r="I54" s="2" t="n">
        <v>88090</v>
      </c>
      <c r="J54" s="2" t="inlineStr">
        <is>
          <t>62580 to 62580</t>
        </is>
      </c>
      <c r="K54" s="5" t="inlineStr">
        <is>
          <t>above range</t>
        </is>
      </c>
      <c r="L54" s="2" t="inlineStr">
        <is>
          <t>no</t>
        </is>
      </c>
      <c r="M54" s="2" t="inlineStr">
        <is>
          <t>medium</t>
        </is>
      </c>
      <c r="N54" s="2" t="inlineStr">
        <is>
          <t>BLS OOH Wind Turbine Technicians</t>
        </is>
      </c>
    </row>
    <row r="55">
      <c r="A55" s="4" t="inlineStr">
        <is>
          <t>3c. Outputs - Fixed Platform</t>
        </is>
      </c>
      <c r="B55" s="2" t="inlineStr">
        <is>
          <t>A2</t>
        </is>
      </c>
      <c r="C55" s="2" t="inlineStr">
        <is>
          <t>Subsea HVAC export cable cost (supply, 132-220 kV)</t>
        </is>
      </c>
      <c r="D55" s="2" t="inlineStr">
        <is>
          <t>0.8-1.5 M$/km</t>
        </is>
      </c>
      <c r="E55" s="2" t="inlineStr">
        <is>
          <t>$/km</t>
        </is>
      </c>
      <c r="F55" s="2" t="inlineStr">
        <is>
          <t>Text in A2: '~$0.8-1.5M/km HVAC export, install +30-60%, 2025-26 market data'.</t>
        </is>
      </c>
      <c r="G55" s="2" t="n">
        <v>4</v>
      </c>
      <c r="H55" s="2" t="n">
        <v>0.2272727272727273</v>
      </c>
      <c r="I55" s="2" t="n">
        <v>1500902</v>
      </c>
      <c r="J55" s="2" t="inlineStr">
        <is>
          <t>0.227273 to 932902</t>
        </is>
      </c>
      <c r="K55" s="2" t="inlineStr">
        <is>
          <t>above range; below range; no comparable value; within</t>
        </is>
      </c>
      <c r="L55" s="2" t="inlineStr">
        <is>
          <t>n/a; neutral; yes</t>
        </is>
      </c>
      <c r="M55" s="2" t="inlineStr">
        <is>
          <t>high; low; medium</t>
        </is>
      </c>
      <c r="N55" s="2" t="inlineStr">
        <is>
          <t>'$0.8-1.5M/km HVAC export, install +30-60%, 2025-26 market data'; BVG Associates 2023 (Guide to a Floating Offshore Wind Farm); Kikuchi &amp; Ishihara 2023; NREL ORBIT cable library</t>
        </is>
      </c>
    </row>
    <row r="56">
      <c r="A56" s="4" t="inlineStr">
        <is>
          <t>3c. Outputs - Fixed Platform</t>
        </is>
      </c>
      <c r="B56" s="2" t="inlineStr">
        <is>
          <t>B10</t>
        </is>
      </c>
      <c r="C56" s="2" t="inlineStr">
        <is>
          <t>Mooring + station-keeping O&amp;M</t>
        </is>
      </c>
      <c r="D56" s="2" t="n">
        <v>60000</v>
      </c>
      <c r="E56" s="2" t="inlineStr">
        <is>
          <t>$/platform/yr</t>
        </is>
      </c>
      <c r="F56" s="2" t="inlineStr">
        <is>
          <t>Assumption.</t>
        </is>
      </c>
      <c r="G56" s="2" t="n">
        <v>1</v>
      </c>
      <c r="H56" s="2" t="n">
        <v>200000</v>
      </c>
      <c r="I56" s="2" t="n">
        <v>500000</v>
      </c>
      <c r="J56" s="2" t="inlineStr">
        <is>
          <t>350000 to 350000</t>
        </is>
      </c>
      <c r="K56" s="5" t="inlineStr">
        <is>
          <t>below range</t>
        </is>
      </c>
      <c r="L56" s="2" t="inlineStr">
        <is>
          <t>yes</t>
        </is>
      </c>
      <c r="M56" s="2" t="inlineStr">
        <is>
          <t>low</t>
        </is>
      </c>
      <c r="N56" s="2" t="inlineStr">
        <is>
          <t>Detrick et al. 2000 (DEOS moored buoy study)</t>
        </is>
      </c>
    </row>
    <row r="57">
      <c r="A57" s="4" t="inlineStr">
        <is>
          <t>3c. Outputs - Fixed Platform</t>
        </is>
      </c>
      <c r="B57" s="2" t="inlineStr">
        <is>
          <t>B13</t>
        </is>
      </c>
      <c r="C57" s="2" t="inlineStr">
        <is>
          <t>Spray time - moving (zero, fixed platform)</t>
        </is>
      </c>
      <c r="D57" s="2" t="n">
        <v>0</v>
      </c>
      <c r="E57" s="2" t="inlineStr">
        <is>
          <t>fraction</t>
        </is>
      </c>
      <c r="F57" s="2" t="inlineStr"/>
      <c r="G57" s="2" t="n">
        <v>0</v>
      </c>
      <c r="H57" s="2" t="inlineStr"/>
      <c r="I57" s="2" t="inlineStr"/>
      <c r="J57" s="2" t="inlineStr"/>
      <c r="K57" s="2" t="inlineStr">
        <is>
          <t>definitional</t>
        </is>
      </c>
      <c r="L57" s="2" t="inlineStr">
        <is>
          <t>n/a</t>
        </is>
      </c>
      <c r="M57" s="2" t="inlineStr">
        <is>
          <t>high</t>
        </is>
      </c>
      <c r="N57" s="2" t="inlineStr"/>
    </row>
    <row r="58">
      <c r="A58" s="4" t="inlineStr">
        <is>
          <t>3c. Outputs - Fixed Platform</t>
        </is>
      </c>
      <c r="B58" s="2" t="inlineStr">
        <is>
          <t>B14</t>
        </is>
      </c>
      <c r="C58" s="2" t="inlineStr">
        <is>
          <t>Spray time - on station, fixed platform</t>
        </is>
      </c>
      <c r="D58" s="2" t="n">
        <v>0.365296803652968</v>
      </c>
      <c r="E58" s="2" t="inlineStr">
        <is>
          <t>fraction of year</t>
        </is>
      </c>
      <c r="F58" s="2" t="inlineStr">
        <is>
          <t>Assumption: platform permanently on station.</t>
        </is>
      </c>
      <c r="G58" s="2" t="n">
        <v>0</v>
      </c>
      <c r="H58" s="2" t="inlineStr"/>
      <c r="I58" s="2" t="inlineStr"/>
      <c r="J58" s="2" t="inlineStr"/>
      <c r="K58" s="6" t="inlineStr">
        <is>
          <t>no comparable value</t>
        </is>
      </c>
      <c r="L58" s="2" t="inlineStr">
        <is>
          <t>neutral</t>
        </is>
      </c>
      <c r="M58" s="2" t="inlineStr">
        <is>
          <t>low</t>
        </is>
      </c>
      <c r="N58" s="2" t="inlineStr"/>
    </row>
    <row r="59">
      <c r="A59" s="4" t="inlineStr">
        <is>
          <t>3c. Outputs - Fixed Platform</t>
        </is>
      </c>
      <c r="B59" s="2" t="inlineStr">
        <is>
          <t>B15</t>
        </is>
      </c>
      <c r="C59" s="2" t="inlineStr">
        <is>
          <t>Transit time (zero, fixed platform)</t>
        </is>
      </c>
      <c r="D59" s="2" t="n">
        <v>0</v>
      </c>
      <c r="E59" s="2" t="inlineStr">
        <is>
          <t>fraction</t>
        </is>
      </c>
      <c r="F59" s="2" t="inlineStr"/>
      <c r="G59" s="2" t="n">
        <v>0</v>
      </c>
      <c r="H59" s="2" t="inlineStr"/>
      <c r="I59" s="2" t="inlineStr"/>
      <c r="J59" s="2" t="inlineStr"/>
      <c r="K59" s="2" t="inlineStr">
        <is>
          <t>definitional</t>
        </is>
      </c>
      <c r="L59" s="2" t="inlineStr">
        <is>
          <t>n/a</t>
        </is>
      </c>
      <c r="M59" s="2" t="inlineStr">
        <is>
          <t>high</t>
        </is>
      </c>
      <c r="N59" s="2" t="inlineStr"/>
    </row>
    <row r="60">
      <c r="A60" s="4" t="inlineStr">
        <is>
          <t>3c. Outputs - Fixed Platform</t>
        </is>
      </c>
      <c r="B60" s="2" t="inlineStr">
        <is>
          <t>B5</t>
        </is>
      </c>
      <c r="C60" s="2" t="inlineStr">
        <is>
          <t>Platform capital per unit (mooring system alone, per floating unit)</t>
        </is>
      </c>
      <c r="D60" s="2" t="n">
        <v>3000000</v>
      </c>
      <c r="E60" s="2" t="inlineStr">
        <is>
          <t>$/platform (workbook) vs GBP/unit (BVG)</t>
        </is>
      </c>
      <c r="F60" s="2" t="inlineStr">
        <is>
          <t>Assumption: moored buoy / small jack-up / repurposed barge with mooring.</t>
        </is>
      </c>
      <c r="G60" s="2" t="n">
        <v>1</v>
      </c>
      <c r="H60" s="2" t="n">
        <v>566666.6666666666</v>
      </c>
      <c r="I60" s="2" t="n">
        <v>2666666.666666667</v>
      </c>
      <c r="J60" s="2" t="inlineStr">
        <is>
          <t>2.66667e+06 to 1.43333e+07</t>
        </is>
      </c>
      <c r="K60" s="2" t="inlineStr">
        <is>
          <t>above range; no comparable value</t>
        </is>
      </c>
      <c r="L60" s="2" t="inlineStr">
        <is>
          <t>neutral; yes</t>
        </is>
      </c>
      <c r="M60" s="2" t="inlineStr">
        <is>
          <t>low</t>
        </is>
      </c>
      <c r="N60" s="2" t="inlineStr">
        <is>
          <t>BVG Associates 2023 (Guide to a Floating Offshore Wind Farm)</t>
        </is>
      </c>
    </row>
    <row r="61">
      <c r="A61" s="4" t="inlineStr">
        <is>
          <t>3c. Outputs - Fixed Platform</t>
        </is>
      </c>
      <c r="B61" s="2" t="inlineStr">
        <is>
          <t>B6</t>
        </is>
      </c>
      <c r="C61" s="2" t="inlineStr">
        <is>
          <t>Technicians per platform</t>
        </is>
      </c>
      <c r="D61" s="2" t="n">
        <v>1</v>
      </c>
      <c r="E61" s="2" t="inlineStr">
        <is>
          <t>people</t>
        </is>
      </c>
      <c r="F61" s="2" t="inlineStr">
        <is>
          <t>Assumption: largely automated.</t>
        </is>
      </c>
      <c r="G61" s="2" t="n">
        <v>0</v>
      </c>
      <c r="H61" s="2" t="inlineStr"/>
      <c r="I61" s="2" t="inlineStr"/>
      <c r="J61" s="2" t="inlineStr"/>
      <c r="K61" s="6" t="inlineStr">
        <is>
          <t>no comparable value</t>
        </is>
      </c>
      <c r="L61" s="2" t="inlineStr">
        <is>
          <t>yes</t>
        </is>
      </c>
      <c r="M61" s="2" t="inlineStr">
        <is>
          <t>low</t>
        </is>
      </c>
      <c r="N61" s="2" t="inlineStr"/>
    </row>
    <row r="62">
      <c r="A62" s="4" t="inlineStr">
        <is>
          <t>3c. Outputs - Fixed Platform</t>
        </is>
      </c>
      <c r="B62" s="2" t="inlineStr">
        <is>
          <t>B7</t>
        </is>
      </c>
      <c r="C62" s="2" t="inlineStr">
        <is>
          <t>Technician annual cost (loaded)</t>
        </is>
      </c>
      <c r="D62" s="2" t="n">
        <v>180000</v>
      </c>
      <c r="E62" s="2" t="inlineStr">
        <is>
          <t>$/person</t>
        </is>
      </c>
      <c r="F62" s="2" t="inlineStr">
        <is>
          <t>Assumption (loaded annual cost).</t>
        </is>
      </c>
      <c r="G62" s="2" t="n">
        <v>1</v>
      </c>
      <c r="H62" s="2" t="n">
        <v>49110</v>
      </c>
      <c r="I62" s="2" t="n">
        <v>88090</v>
      </c>
      <c r="J62" s="2" t="inlineStr">
        <is>
          <t>62580 to 62580</t>
        </is>
      </c>
      <c r="K62" s="5" t="inlineStr">
        <is>
          <t>above range</t>
        </is>
      </c>
      <c r="L62" s="2" t="inlineStr">
        <is>
          <t>no</t>
        </is>
      </c>
      <c r="M62" s="2" t="inlineStr">
        <is>
          <t>medium</t>
        </is>
      </c>
      <c r="N62" s="2" t="inlineStr">
        <is>
          <t>BLS OOH Wind Turbine Technicians</t>
        </is>
      </c>
    </row>
    <row r="63">
      <c r="A63" s="4" t="inlineStr">
        <is>
          <t>3c. Outputs - Fixed Platform</t>
        </is>
      </c>
      <c r="B63" s="2" t="inlineStr">
        <is>
          <t>B8</t>
        </is>
      </c>
      <c r="C63" s="2" t="inlineStr">
        <is>
          <t>Shore power price</t>
        </is>
      </c>
      <c r="D63" s="2" t="n">
        <v>0.15</v>
      </c>
      <c r="E63" s="2" t="inlineStr">
        <is>
          <t>$/kWh</t>
        </is>
      </c>
      <c r="F63" s="2" t="inlineStr">
        <is>
          <t>Assumption: shore power; set 0.30 for diesel gensets.</t>
        </is>
      </c>
      <c r="G63" s="2" t="n">
        <v>1</v>
      </c>
      <c r="H63" s="2" t="n">
        <v>0.0896</v>
      </c>
      <c r="I63" s="2" t="n">
        <v>0.3002</v>
      </c>
      <c r="J63" s="2" t="inlineStr">
        <is>
          <t>0.1447 to 0.1447</t>
        </is>
      </c>
      <c r="K63" s="7" t="inlineStr">
        <is>
          <t>within</t>
        </is>
      </c>
      <c r="L63" s="2" t="inlineStr">
        <is>
          <t>neutral</t>
        </is>
      </c>
      <c r="M63" s="2" t="inlineStr">
        <is>
          <t>medium</t>
        </is>
      </c>
      <c r="N63" s="2" t="inlineStr">
        <is>
          <t>EIA Electric Power Monthly Table 5.6.A</t>
        </is>
      </c>
    </row>
    <row r="64">
      <c r="A64" s="4" t="inlineStr">
        <is>
          <t>3c. Outputs - Fixed Platform</t>
        </is>
      </c>
      <c r="B64" s="2" t="inlineStr">
        <is>
          <t>B9</t>
        </is>
      </c>
      <c r="C64" s="2" t="inlineStr">
        <is>
          <t>Siting + permitting per platform</t>
        </is>
      </c>
      <c r="D64" s="2" t="n">
        <v>250000</v>
      </c>
      <c r="E64" s="2" t="inlineStr">
        <is>
          <t>$/platform</t>
        </is>
      </c>
      <c r="F64" s="2" t="inlineStr">
        <is>
          <t>Assumption: environmental review, marine permits, consultation.</t>
        </is>
      </c>
      <c r="G64" s="2" t="n">
        <v>1</v>
      </c>
      <c r="H64" s="2" t="inlineStr"/>
      <c r="I64" s="2" t="inlineStr"/>
      <c r="J64" s="2" t="inlineStr">
        <is>
          <t>4.6e+06 to 4.6e+06</t>
        </is>
      </c>
      <c r="K64" s="6" t="inlineStr">
        <is>
          <t>no comparable value</t>
        </is>
      </c>
      <c r="L64" s="2" t="inlineStr">
        <is>
          <t>neutral</t>
        </is>
      </c>
      <c r="M64" s="2" t="inlineStr">
        <is>
          <t>low</t>
        </is>
      </c>
      <c r="N64" s="2" t="inlineStr">
        <is>
          <t>BVG Associates 2023 (Guide to a Floating Offshore Wind Farm)</t>
        </is>
      </c>
    </row>
    <row r="65">
      <c r="A65" s="4" t="inlineStr">
        <is>
          <t>3d. Outputs - Stationary Vessel</t>
        </is>
      </c>
      <c r="B65" s="2" t="inlineStr">
        <is>
          <t>B4</t>
        </is>
      </c>
      <c r="C65" s="2" t="inlineStr">
        <is>
          <t>Spray time - moving (zero, stationary vessel)</t>
        </is>
      </c>
      <c r="D65" s="2" t="n">
        <v>0</v>
      </c>
      <c r="E65" s="2" t="inlineStr">
        <is>
          <t>fraction</t>
        </is>
      </c>
      <c r="F65" s="2" t="inlineStr"/>
      <c r="G65" s="2" t="n">
        <v>0</v>
      </c>
      <c r="H65" s="2" t="inlineStr"/>
      <c r="I65" s="2" t="inlineStr"/>
      <c r="J65" s="2" t="inlineStr"/>
      <c r="K65" s="2" t="inlineStr">
        <is>
          <t>definitional</t>
        </is>
      </c>
      <c r="L65" s="2" t="inlineStr">
        <is>
          <t>n/a</t>
        </is>
      </c>
      <c r="M65" s="2" t="inlineStr">
        <is>
          <t>high</t>
        </is>
      </c>
      <c r="N65" s="2" t="inlineStr"/>
    </row>
    <row r="66">
      <c r="A66" s="4" t="inlineStr">
        <is>
          <t>3d. Outputs - Stationary Vessel</t>
        </is>
      </c>
      <c r="B66" s="2" t="inlineStr">
        <is>
          <t>B5</t>
        </is>
      </c>
      <c r="C66" s="2" t="inlineStr">
        <is>
          <t>Spray time - on station, stationary vessel</t>
        </is>
      </c>
      <c r="D66" s="2" t="n">
        <v>0.365296803652968</v>
      </c>
      <c r="E66" s="2" t="inlineStr">
        <is>
          <t>fraction of year</t>
        </is>
      </c>
      <c r="F66" s="2" t="inlineStr">
        <is>
          <t>Assumption: sprays while holding station.</t>
        </is>
      </c>
      <c r="G66" s="2" t="n">
        <v>0</v>
      </c>
      <c r="H66" s="2" t="inlineStr"/>
      <c r="I66" s="2" t="inlineStr"/>
      <c r="J66" s="2" t="inlineStr"/>
      <c r="K66" s="6" t="inlineStr">
        <is>
          <t>no comparable value</t>
        </is>
      </c>
      <c r="L66" s="2" t="inlineStr">
        <is>
          <t>neutral</t>
        </is>
      </c>
      <c r="M66" s="2" t="inlineStr">
        <is>
          <t>low</t>
        </is>
      </c>
      <c r="N66" s="2" t="inlineStr"/>
    </row>
    <row r="67">
      <c r="A67" s="4" t="inlineStr">
        <is>
          <t>3d. Outputs - Stationary Vessel</t>
        </is>
      </c>
      <c r="B67" s="2" t="inlineStr">
        <is>
          <t>B6</t>
        </is>
      </c>
      <c r="C67" s="2" t="inlineStr">
        <is>
          <t>Transit time (no spray), stationary vessel</t>
        </is>
      </c>
      <c r="D67" s="2" t="n">
        <v>0.0121765601217656</v>
      </c>
      <c r="E67" s="2" t="inlineStr">
        <is>
          <t>fraction of year</t>
        </is>
      </c>
      <c r="F67" s="2" t="inlineStr">
        <is>
          <t>Assumption: steam out and back, one round trip per year.</t>
        </is>
      </c>
      <c r="G67" s="2" t="n">
        <v>0</v>
      </c>
      <c r="H67" s="2" t="inlineStr"/>
      <c r="I67" s="2" t="inlineStr"/>
      <c r="J67" s="2" t="inlineStr"/>
      <c r="K67" s="6" t="inlineStr">
        <is>
          <t>no comparable value</t>
        </is>
      </c>
      <c r="L67" s="2" t="inlineStr">
        <is>
          <t>neutral</t>
        </is>
      </c>
      <c r="M67" s="2" t="inlineStr">
        <is>
          <t>low</t>
        </is>
      </c>
      <c r="N67" s="2" t="inlineStr"/>
    </row>
    <row r="68">
      <c r="A68" s="4" t="inlineStr">
        <is>
          <t>3d. Outputs - Stationary Vessel</t>
        </is>
      </c>
      <c r="B68" s="2" t="inlineStr">
        <is>
          <t>B9</t>
        </is>
      </c>
      <c r="C68" s="2" t="inlineStr">
        <is>
          <t>Station-keeping fuel (dynamic positioning) for stationary vessel (workbook uses hotel burn only; tab 2 B26 = 2,700 L/day)</t>
        </is>
      </c>
      <c r="D68" s="2" t="inlineStr">
        <is>
          <t>hotel burn only</t>
        </is>
      </c>
      <c r="E68" s="2" t="inlineStr">
        <is>
          <t>t/day MGO</t>
        </is>
      </c>
      <c r="F68" s="2" t="inlineStr">
        <is>
          <t>Tab 3d notes: '90% of tank at hotel burn only - about 11 months on station'.</t>
        </is>
      </c>
      <c r="G68" s="2" t="n">
        <v>1</v>
      </c>
      <c r="H68" s="2" t="n">
        <v>1</v>
      </c>
      <c r="I68" s="2" t="n">
        <v>15</v>
      </c>
      <c r="J68" s="2" t="inlineStr">
        <is>
          <t>6 to 6</t>
        </is>
      </c>
      <c r="K68" s="5" t="inlineStr">
        <is>
          <t>above range</t>
        </is>
      </c>
      <c r="L68" s="2" t="inlineStr">
        <is>
          <t>yes</t>
        </is>
      </c>
      <c r="M68" s="2" t="inlineStr">
        <is>
          <t>low</t>
        </is>
      </c>
      <c r="N68" s="2" t="inlineStr">
        <is>
          <t>Britoil BOS Precious spec sheet</t>
        </is>
      </c>
    </row>
    <row r="69">
      <c r="A69" s="4" t="inlineStr">
        <is>
          <t>5a. Cooling Model - Local</t>
        </is>
      </c>
      <c r="B69" s="2" t="inlineStr">
        <is>
          <t>B12</t>
        </is>
      </c>
      <c r="C69" s="2" t="inlineStr">
        <is>
          <t>Critical activation diameter (Kohler threshold)</t>
        </is>
      </c>
      <c r="D69" s="2" t="n">
        <v>50</v>
      </c>
      <c r="E69" s="2" t="inlineStr">
        <is>
          <t>nm</t>
        </is>
      </c>
      <c r="F69" s="2" t="inlineStr">
        <is>
          <t>ERL 2025 p.9: ~50 nm at 0.5% SS, ~73 nm at 0.2% SS</t>
        </is>
      </c>
      <c r="G69" s="2" t="n">
        <v>3</v>
      </c>
      <c r="H69" s="2" t="n">
        <v>0.3</v>
      </c>
      <c r="I69" s="2" t="n">
        <v>73</v>
      </c>
      <c r="J69" s="2" t="inlineStr">
        <is>
          <t>0.4 to 112</t>
        </is>
      </c>
      <c r="K69" s="2" t="inlineStr">
        <is>
          <t>below range; within</t>
        </is>
      </c>
      <c r="L69" s="2" t="inlineStr">
        <is>
          <t>yes</t>
        </is>
      </c>
      <c r="M69" s="2" t="inlineStr">
        <is>
          <t>high; medium</t>
        </is>
      </c>
      <c r="N69" s="2" t="inlineStr">
        <is>
          <t>Harrison et al. 2025 (RRAP CS-06); Hernandez-Jaramillo et al. 2025 (ERL); Hirasawa et al. 2026 (EGUsphere preprint)</t>
        </is>
      </c>
    </row>
    <row r="70">
      <c r="A70" s="4" t="inlineStr">
        <is>
          <t>5a. Cooling Model - Local</t>
        </is>
      </c>
      <c r="B70" s="2" t="inlineStr">
        <is>
          <t>B13</t>
        </is>
      </c>
      <c r="C70" s="2" t="inlineStr">
        <is>
          <t>Unused input (superseded by cloud availability)</t>
        </is>
      </c>
      <c r="D70" s="2" t="n">
        <v>0.43</v>
      </c>
      <c r="E70" s="2" t="inlineStr">
        <is>
          <t>fraction</t>
        </is>
      </c>
      <c r="F70" s="2" t="inlineStr">
        <is>
          <t>Neutralized 2026-09-09; no formulas reference it</t>
        </is>
      </c>
      <c r="G70" s="2" t="n">
        <v>0</v>
      </c>
      <c r="H70" s="2" t="inlineStr"/>
      <c r="I70" s="2" t="inlineStr"/>
      <c r="J70" s="2" t="inlineStr"/>
      <c r="K70" s="2" t="inlineStr">
        <is>
          <t>definitional</t>
        </is>
      </c>
      <c r="L70" s="2" t="inlineStr">
        <is>
          <t>n/a</t>
        </is>
      </c>
      <c r="M70" s="2" t="inlineStr">
        <is>
          <t>high</t>
        </is>
      </c>
      <c r="N70" s="2" t="inlineStr"/>
    </row>
    <row r="71">
      <c r="A71" s="4" t="inlineStr">
        <is>
          <t>5a. Cooling Model - Local</t>
        </is>
      </c>
      <c r="B71" s="2" t="inlineStr">
        <is>
          <t>B16</t>
        </is>
      </c>
      <c r="C71" s="2" t="inlineStr">
        <is>
          <t>Cloud-top shortwave (labelled daytime)</t>
        </is>
      </c>
      <c r="D71" s="2" t="n">
        <v>475</v>
      </c>
      <c r="E71" s="2" t="inlineStr">
        <is>
          <t>W/m2</t>
        </is>
      </c>
      <c r="F71" s="2" t="inlineStr">
        <is>
          <t>Assumption (daytime marine cloud-top shortwave)</t>
        </is>
      </c>
      <c r="G71" s="2" t="n">
        <v>2</v>
      </c>
      <c r="H71" s="2" t="n">
        <v>460</v>
      </c>
      <c r="I71" s="2" t="n">
        <v>491</v>
      </c>
      <c r="J71" s="2" t="inlineStr">
        <is>
          <t>380 to 475</t>
        </is>
      </c>
      <c r="K71" s="2" t="inlineStr">
        <is>
          <t>above range; within</t>
        </is>
      </c>
      <c r="L71" s="2" t="inlineStr">
        <is>
          <t>no; yes</t>
        </is>
      </c>
      <c r="M71" s="2" t="inlineStr">
        <is>
          <t>high; medium</t>
        </is>
      </c>
      <c r="N71" s="2" t="inlineStr">
        <is>
          <t>NASA POWER 2026 (CERES SYN1deg climatology 2001-2025); Wood 2021</t>
        </is>
      </c>
    </row>
    <row r="72">
      <c r="A72" s="4" t="inlineStr">
        <is>
          <t>5a. Cooling Model - Local</t>
        </is>
      </c>
      <c r="B72" s="2" t="inlineStr">
        <is>
          <t>B17</t>
        </is>
      </c>
      <c r="C72" s="2" t="inlineStr">
        <is>
          <t>Marine cloud albedo</t>
        </is>
      </c>
      <c r="D72" s="2" t="n">
        <v>0.4</v>
      </c>
      <c r="E72" s="2" t="inlineStr">
        <is>
          <t>-</t>
        </is>
      </c>
      <c r="F72" s="2" t="inlineStr">
        <is>
          <t>Assumption: literature-typical stratocumulus albedo; Graham suggested 0.30 lower range (D17 says ~0.5)</t>
        </is>
      </c>
      <c r="G72" s="2" t="n">
        <v>3</v>
      </c>
      <c r="H72" s="2" t="n">
        <v>0.1</v>
      </c>
      <c r="I72" s="2" t="n">
        <v>0.7</v>
      </c>
      <c r="J72" s="2" t="inlineStr">
        <is>
          <t>0.2 to 0.56</t>
        </is>
      </c>
      <c r="K72" s="2" t="inlineStr">
        <is>
          <t>above range; no comparable value; within</t>
        </is>
      </c>
      <c r="L72" s="2" t="inlineStr">
        <is>
          <t>n/a; neutral; yes</t>
        </is>
      </c>
      <c r="M72" s="2" t="inlineStr">
        <is>
          <t>low; medium</t>
        </is>
      </c>
      <c r="N72" s="2" t="inlineStr">
        <is>
          <t>Harrison et al. 2019 (RRAP T14); Wood 2021; Zhao et al. 2026 (EGUsphere preprint)</t>
        </is>
      </c>
    </row>
    <row r="73">
      <c r="A73" s="4" t="inlineStr">
        <is>
          <t>5a. Cooling Model - Local</t>
        </is>
      </c>
      <c r="B73" s="2" t="inlineStr">
        <is>
          <t>B18</t>
        </is>
      </c>
      <c r="C73" s="2" t="inlineStr">
        <is>
          <t>Droplet-number enhancement (Nd ratio)</t>
        </is>
      </c>
      <c r="D73" s="2" t="n">
        <v>1.3</v>
      </c>
      <c r="E73" s="2" t="inlineStr">
        <is>
          <t>x</t>
        </is>
      </c>
      <c r="F73" s="2" t="inlineStr">
        <is>
          <t>D18: capped at measured ~200/cm3 ceiling (CS-06 p.34) = 2.0x here (inconsistent with 1.3 entered)</t>
        </is>
      </c>
      <c r="G73" s="2" t="n">
        <v>5</v>
      </c>
      <c r="H73" s="2" t="n">
        <v>1</v>
      </c>
      <c r="I73" s="2" t="n">
        <v>2</v>
      </c>
      <c r="J73" s="2" t="inlineStr">
        <is>
          <t>1.25 to 3</t>
        </is>
      </c>
      <c r="K73" s="2" t="inlineStr">
        <is>
          <t>below range; within</t>
        </is>
      </c>
      <c r="L73" s="2" t="inlineStr">
        <is>
          <t>n/a; neutral; yes</t>
        </is>
      </c>
      <c r="M73" s="2" t="inlineStr">
        <is>
          <t>high; medium</t>
        </is>
      </c>
      <c r="N73" s="2" t="inlineStr">
        <is>
          <t>Harrison et al. 2025 (RRAP CS-06); Hernandez-Jaramillo et al. 2025 (ERL); Stjern et al. 2018; Wood 2021; Zhao et al. 2026 (EGUsphere preprint)</t>
        </is>
      </c>
    </row>
    <row r="74">
      <c r="A74" s="4" t="inlineStr">
        <is>
          <t>5a. Cooling Model - Local</t>
        </is>
      </c>
      <c r="B74" s="2" t="inlineStr">
        <is>
          <t>B19</t>
        </is>
      </c>
      <c r="C74" s="2" t="inlineStr">
        <is>
          <t>Cloud adjustment multiplier on Twomey forcing (implicit 1.0 in B19)</t>
        </is>
      </c>
      <c r="D74" s="2" t="n">
        <v>1</v>
      </c>
      <c r="E74" s="2" t="inlineStr">
        <is>
          <t>x Twomey</t>
        </is>
      </c>
      <c r="F74" s="2" t="inlineStr">
        <is>
          <t>Twomey: Fsw x Ac x (1-Ac) x (1/3) x ln(Nd ratio); no LWP or cloud-fraction adjustment</t>
        </is>
      </c>
      <c r="G74" s="2" t="n">
        <v>7</v>
      </c>
      <c r="H74" s="2" t="n">
        <v>0.1</v>
      </c>
      <c r="I74" s="2" t="n">
        <v>3</v>
      </c>
      <c r="J74" s="2" t="inlineStr">
        <is>
          <t>1 to 1</t>
        </is>
      </c>
      <c r="K74" s="2" t="inlineStr">
        <is>
          <t>no comparable value; within</t>
        </is>
      </c>
      <c r="L74" s="2" t="inlineStr">
        <is>
          <t>n/a; neutral</t>
        </is>
      </c>
      <c r="M74" s="2" t="inlineStr">
        <is>
          <t>medium</t>
        </is>
      </c>
      <c r="N74" s="2" t="inlineStr">
        <is>
          <t>Bellouin et al. 2020; Christensen et al. 2022; Diamond et al. 2020; Glassmeier et al. 2021; Hirasawa et al. 2026 (EGUsphere preprint); Manshausen et al. 2022; Zhao et al. 2026 (EGUsphere preprint)</t>
        </is>
      </c>
    </row>
    <row r="75">
      <c r="A75" s="4" t="inlineStr">
        <is>
          <t>5a. Cooling Model - Local</t>
        </is>
      </c>
      <c r="B75" s="2" t="inlineStr">
        <is>
          <t>B20</t>
        </is>
      </c>
      <c r="C75" s="2" t="inlineStr">
        <is>
          <t>Daytime averaging factor</t>
        </is>
      </c>
      <c r="D75" s="2" t="n">
        <v>0.4</v>
      </c>
      <c r="E75" s="2" t="inlineStr">
        <is>
          <t>fraction</t>
        </is>
      </c>
      <c r="F75" s="2" t="inlineStr">
        <is>
          <t>Assumption (daytime-averaging factor ~0.4)</t>
        </is>
      </c>
      <c r="G75" s="2" t="n">
        <v>2</v>
      </c>
      <c r="H75" s="2" t="n">
        <v>0.52</v>
      </c>
      <c r="I75" s="2" t="n">
        <v>1</v>
      </c>
      <c r="J75" s="2" t="inlineStr">
        <is>
          <t>1 to 1</t>
        </is>
      </c>
      <c r="K75" s="5" t="inlineStr">
        <is>
          <t>below range</t>
        </is>
      </c>
      <c r="L75" s="2" t="inlineStr">
        <is>
          <t>no</t>
        </is>
      </c>
      <c r="M75" s="2" t="inlineStr">
        <is>
          <t>high</t>
        </is>
      </c>
      <c r="N75" s="2" t="inlineStr">
        <is>
          <t>NASA POWER 2026 (CERES SYN1deg climatology 2001-2025); Wood 2021</t>
        </is>
      </c>
    </row>
    <row r="76">
      <c r="A76" s="4" t="inlineStr">
        <is>
          <t>5a. Cooling Model - Local</t>
        </is>
      </c>
      <c r="B76" s="2" t="inlineStr">
        <is>
          <t>B21</t>
        </is>
      </c>
      <c r="C76" s="2" t="inlineStr">
        <is>
          <t>Cloud availability (susceptible low cloud)</t>
        </is>
      </c>
      <c r="D76" s="2" t="n">
        <v>0.2</v>
      </c>
      <c r="E76" s="2" t="inlineStr">
        <is>
          <t>fraction</t>
        </is>
      </c>
      <c r="F76" s="2" t="inlineStr">
        <is>
          <t>CS-01 2025 p.11: susceptible low cloud in summer '20% at the north and increases to 55% at the south'</t>
        </is>
      </c>
      <c r="G76" s="2" t="n">
        <v>4</v>
      </c>
      <c r="H76" s="2" t="n">
        <v>0.2</v>
      </c>
      <c r="I76" s="2" t="n">
        <v>0.68</v>
      </c>
      <c r="J76" s="2" t="inlineStr">
        <is>
          <t>0.07 to 0.33</t>
        </is>
      </c>
      <c r="K76" s="2" t="inlineStr">
        <is>
          <t>above range; below range; no comparable value; within</t>
        </is>
      </c>
      <c r="L76" s="2" t="inlineStr">
        <is>
          <t>n/a; no; yes</t>
        </is>
      </c>
      <c r="M76" s="2" t="inlineStr">
        <is>
          <t>high; low; medium</t>
        </is>
      </c>
      <c r="N76" s="2" t="inlineStr">
        <is>
          <t>Harrison et al. 2019 (RRAP T14); Harrison et al. 2025 (RRAP CS-01); Wood 2021; Zhao et al. 2026 (EGUsphere preprint)</t>
        </is>
      </c>
    </row>
    <row r="77">
      <c r="A77" s="4" t="inlineStr">
        <is>
          <t>5a. Cooling Model - Local</t>
        </is>
      </c>
      <c r="B77" s="2" t="inlineStr">
        <is>
          <t>B22</t>
        </is>
      </c>
      <c r="C77" s="2" t="inlineStr">
        <is>
          <t>Realization factor (B20 x B21)</t>
        </is>
      </c>
      <c r="D77" s="2" t="n">
        <v>0.08</v>
      </c>
      <c r="E77" s="2" t="inlineStr">
        <is>
          <t>fraction</t>
        </is>
      </c>
      <c r="F77" s="2" t="inlineStr">
        <is>
          <t>Daytime averaging x cloud availability</t>
        </is>
      </c>
      <c r="G77" s="2" t="n">
        <v>1</v>
      </c>
      <c r="H77" s="2" t="n">
        <v>0.104</v>
      </c>
      <c r="I77" s="2" t="n">
        <v>0.55</v>
      </c>
      <c r="J77" s="2" t="inlineStr">
        <is>
          <t>0.2 to 0.2</t>
        </is>
      </c>
      <c r="K77" s="5" t="inlineStr">
        <is>
          <t>below range</t>
        </is>
      </c>
      <c r="L77" s="2" t="inlineStr">
        <is>
          <t>no</t>
        </is>
      </c>
      <c r="M77" s="2" t="inlineStr">
        <is>
          <t>medium</t>
        </is>
      </c>
      <c r="N77" s="2" t="inlineStr">
        <is>
          <t>NASA POWER 2026 (CERES SYN1deg climatology 2001-2025)</t>
        </is>
      </c>
    </row>
    <row r="78">
      <c r="A78" s="4" t="inlineStr">
        <is>
          <t>5a. Cooling Model - Local</t>
        </is>
      </c>
      <c r="B78" s="2" t="inlineStr">
        <is>
          <t>B24</t>
        </is>
      </c>
      <c r="C78" s="2" t="inlineStr">
        <is>
          <t>Aerosol lifetime</t>
        </is>
      </c>
      <c r="D78" s="2" t="n">
        <v>3</v>
      </c>
      <c r="E78" s="2" t="inlineStr">
        <is>
          <t>days</t>
        </is>
      </c>
      <c r="F78" s="2" t="inlineStr">
        <is>
          <t>Assumption (boundary-layer residence; uncertain)</t>
        </is>
      </c>
      <c r="G78" s="2" t="n">
        <v>2</v>
      </c>
      <c r="H78" s="2" t="n">
        <v>2.5</v>
      </c>
      <c r="I78" s="2" t="n">
        <v>7</v>
      </c>
      <c r="J78" s="2" t="inlineStr">
        <is>
          <t>2 to 3.5</t>
        </is>
      </c>
      <c r="K78" s="2" t="inlineStr">
        <is>
          <t>above range; within</t>
        </is>
      </c>
      <c r="L78" s="2" t="inlineStr">
        <is>
          <t>neutral; yes</t>
        </is>
      </c>
      <c r="M78" s="2" t="inlineStr">
        <is>
          <t>high; medium</t>
        </is>
      </c>
      <c r="N78" s="2" t="inlineStr">
        <is>
          <t>Hirasawa et al. 2026 (EGUsphere preprint); Wood 2021</t>
        </is>
      </c>
    </row>
    <row r="79">
      <c r="A79" s="4" t="inlineStr">
        <is>
          <t>5a. Cooling Model - Local</t>
        </is>
      </c>
      <c r="B79" s="2" t="inlineStr">
        <is>
          <t>B25</t>
        </is>
      </c>
      <c r="C79" s="2" t="inlineStr">
        <is>
          <t>Local temperature sensitivity (SST per W/m2 SW reduction)</t>
        </is>
      </c>
      <c r="D79" s="2" t="n">
        <v>0.0225</v>
      </c>
      <c r="E79" s="2" t="inlineStr">
        <is>
          <t>degC/(W/m2)</t>
        </is>
      </c>
      <c r="F79" s="2" t="inlineStr">
        <is>
          <t>Harrison et al. 2019 (T14), pp.32-33: 0.225 C per 10 W/m2</t>
        </is>
      </c>
      <c r="G79" s="2" t="n">
        <v>2</v>
      </c>
      <c r="H79" s="2" t="n">
        <v>0.018</v>
      </c>
      <c r="I79" s="2" t="n">
        <v>0.0315</v>
      </c>
      <c r="J79" s="2" t="inlineStr">
        <is>
          <t>0.0225 to 0.0225</t>
        </is>
      </c>
      <c r="K79" s="2" t="inlineStr">
        <is>
          <t>no comparable value; within</t>
        </is>
      </c>
      <c r="L79" s="2" t="inlineStr">
        <is>
          <t>n/a; neutral</t>
        </is>
      </c>
      <c r="M79" s="2" t="inlineStr">
        <is>
          <t>low; medium</t>
        </is>
      </c>
      <c r="N79" s="2" t="inlineStr">
        <is>
          <t>Harrison et al. 2019 (RRAP T14); Zhao et al. 2026 (EGUsphere preprint)</t>
        </is>
      </c>
    </row>
    <row r="80">
      <c r="A80" s="4" t="inlineStr">
        <is>
          <t>5a. Cooling Model - Local</t>
        </is>
      </c>
      <c r="B80" s="2" t="inlineStr">
        <is>
          <t>B5</t>
        </is>
      </c>
      <c r="C80" s="2" t="inlineStr">
        <is>
          <t>Survival factor (plume coagulation/deposition to cloud base)</t>
        </is>
      </c>
      <c r="D80" s="2" t="n">
        <v>0.3</v>
      </c>
      <c r="E80" s="2" t="inlineStr">
        <is>
          <t>fraction</t>
        </is>
      </c>
      <c r="F80" s="2" t="inlineStr">
        <is>
          <t>Hernandez-Jaramillo et al. 2025a Front. Mar. Sci. p.1 (open research gap; 0.3 is a scenario choice); range 0.1-0.5</t>
        </is>
      </c>
      <c r="G80" s="2" t="n">
        <v>4</v>
      </c>
      <c r="H80" s="2" t="n">
        <v>0.1</v>
      </c>
      <c r="I80" s="2" t="n">
        <v>0.9</v>
      </c>
      <c r="J80" s="2" t="inlineStr">
        <is>
          <t>0.5 to 1.25</t>
        </is>
      </c>
      <c r="K80" s="2" t="inlineStr">
        <is>
          <t>no comparable value; within</t>
        </is>
      </c>
      <c r="L80" s="2" t="inlineStr">
        <is>
          <t>n/a; no</t>
        </is>
      </c>
      <c r="M80" s="2" t="inlineStr">
        <is>
          <t>high; medium</t>
        </is>
      </c>
      <c r="N80" s="2" t="inlineStr">
        <is>
          <t>Hernandez-Jaramillo et al. 2025 (ERL); Hernandez-Jaramillo et al. 2025 (Front. Mar. Sci.); Stuart et al. 2013; Wood 2021</t>
        </is>
      </c>
    </row>
    <row r="81">
      <c r="A81" s="4" t="inlineStr">
        <is>
          <t>5a. Cooling Model - Local</t>
        </is>
      </c>
      <c r="B81" s="2" t="inlineStr">
        <is>
          <t>B6</t>
        </is>
      </c>
      <c r="C81" s="2" t="inlineStr">
        <is>
          <t>Boundary-layer mixing depth</t>
        </is>
      </c>
      <c r="D81" s="2" t="n">
        <v>900</v>
      </c>
      <c r="E81" s="2" t="inlineStr">
        <is>
          <t>m</t>
        </is>
      </c>
      <c r="F81" s="2" t="inlineStr">
        <is>
          <t>CS-06 2025 p.2 (plumes reached cloud base 800-900 m); ERL 2025 abstract (700-900 m)</t>
        </is>
      </c>
      <c r="G81" s="2" t="n">
        <v>3</v>
      </c>
      <c r="H81" s="2" t="n">
        <v>350</v>
      </c>
      <c r="I81" s="2" t="n">
        <v>1500</v>
      </c>
      <c r="J81" s="2" t="inlineStr">
        <is>
          <t>800 to 1000</t>
        </is>
      </c>
      <c r="K81" s="7" t="inlineStr">
        <is>
          <t>within</t>
        </is>
      </c>
      <c r="L81" s="2" t="inlineStr">
        <is>
          <t>neutral</t>
        </is>
      </c>
      <c r="M81" s="2" t="inlineStr">
        <is>
          <t>high; medium</t>
        </is>
      </c>
      <c r="N81" s="2" t="inlineStr">
        <is>
          <t>Harrison et al. 2025 (RRAP CS-06); Hernandez-Jaramillo et al. 2025 (ERL); Wood 2021</t>
        </is>
      </c>
    </row>
    <row r="82">
      <c r="A82" s="4" t="inlineStr">
        <is>
          <t>5a. Cooling Model - Local</t>
        </is>
      </c>
      <c r="B82" s="2" t="inlineStr">
        <is>
          <t>B9</t>
        </is>
      </c>
      <c r="C82" s="2" t="inlineStr">
        <is>
          <t>Background cloud droplet number</t>
        </is>
      </c>
      <c r="D82" s="2" t="n">
        <v>100</v>
      </c>
      <c r="E82" s="2" t="inlineStr">
        <is>
          <t>/cm3</t>
        </is>
      </c>
      <c r="F82" s="2" t="inlineStr">
        <is>
          <t>CS-06 2025 pp.25-26: background CCN 50-200 cm-3, most common ~100</t>
        </is>
      </c>
      <c r="G82" s="2" t="n">
        <v>3</v>
      </c>
      <c r="H82" s="2" t="n">
        <v>50</v>
      </c>
      <c r="I82" s="2" t="n">
        <v>200</v>
      </c>
      <c r="J82" s="2" t="inlineStr">
        <is>
          <t>100 to 100</t>
        </is>
      </c>
      <c r="K82" s="7" t="inlineStr">
        <is>
          <t>within</t>
        </is>
      </c>
      <c r="L82" s="2" t="inlineStr">
        <is>
          <t>neutral</t>
        </is>
      </c>
      <c r="M82" s="2" t="inlineStr">
        <is>
          <t>high; medium</t>
        </is>
      </c>
      <c r="N82" s="2" t="inlineStr">
        <is>
          <t>Harrison et al. 2025 (RRAP CS-01); Harrison et al. 2025 (RRAP CS-06); Wood 2021</t>
        </is>
      </c>
    </row>
    <row r="83">
      <c r="A83" s="4" t="inlineStr">
        <is>
          <t>5b. Cooling-Value Sensitivity</t>
        </is>
      </c>
      <c r="B83" s="2" t="inlineStr">
        <is>
          <t>B12/D12</t>
        </is>
      </c>
      <c r="C83" s="2" t="inlineStr">
        <is>
          <t>Sensitivity bounds: cloud-top shortwave (400 to 550 W/m2; base 475)</t>
        </is>
      </c>
      <c r="D83" s="2" t="inlineStr">
        <is>
          <t>400 / 550</t>
        </is>
      </c>
      <c r="E83" s="2" t="inlineStr">
        <is>
          <t>W/m2</t>
        </is>
      </c>
      <c r="F83" s="2" t="inlineStr">
        <is>
          <t>Sensitivity bounds around tab 5a base</t>
        </is>
      </c>
      <c r="G83" s="2" t="n">
        <v>1</v>
      </c>
      <c r="H83" s="2" t="n">
        <v>387</v>
      </c>
      <c r="I83" s="2" t="n">
        <v>491</v>
      </c>
      <c r="J83" s="2" t="inlineStr">
        <is>
          <t>475 to 475</t>
        </is>
      </c>
      <c r="K83" s="7" t="inlineStr">
        <is>
          <t>within</t>
        </is>
      </c>
      <c r="L83" s="2" t="inlineStr">
        <is>
          <t>neutral</t>
        </is>
      </c>
      <c r="M83" s="2" t="inlineStr">
        <is>
          <t>high</t>
        </is>
      </c>
      <c r="N83" s="2" t="inlineStr">
        <is>
          <t>NASA POWER 2026 (CERES SYN1deg climatology 2001-2025)</t>
        </is>
      </c>
    </row>
    <row r="84">
      <c r="A84" s="4" t="inlineStr">
        <is>
          <t>5b. Cooling-Value Sensitivity</t>
        </is>
      </c>
      <c r="B84" s="2" t="inlineStr">
        <is>
          <t>B13/D13</t>
        </is>
      </c>
      <c r="C84" s="2" t="inlineStr">
        <is>
          <t>Sensitivity bounds: droplet-number enhancement (2 to 4; base 1.3)</t>
        </is>
      </c>
      <c r="D84" s="2" t="inlineStr">
        <is>
          <t>2 / 4</t>
        </is>
      </c>
      <c r="E84" s="2" t="inlineStr">
        <is>
          <t>x</t>
        </is>
      </c>
      <c r="F84" s="2" t="inlineStr"/>
      <c r="G84" s="2" t="n">
        <v>1</v>
      </c>
      <c r="H84" s="2" t="n">
        <v>1.139</v>
      </c>
      <c r="I84" s="2" t="n">
        <v>1.727</v>
      </c>
      <c r="J84" s="2" t="inlineStr">
        <is>
          <t>1.323 to 1.323</t>
        </is>
      </c>
      <c r="K84" s="5" t="inlineStr">
        <is>
          <t>above range</t>
        </is>
      </c>
      <c r="L84" s="2" t="inlineStr">
        <is>
          <t>yes</t>
        </is>
      </c>
      <c r="M84" s="2" t="inlineStr">
        <is>
          <t>medium</t>
        </is>
      </c>
      <c r="N84" s="2" t="inlineStr">
        <is>
          <t>Zhao et al. 2026 (EGUsphere preprint)</t>
        </is>
      </c>
    </row>
    <row r="85">
      <c r="A85" s="4" t="inlineStr">
        <is>
          <t>5b. Cooling-Value Sensitivity</t>
        </is>
      </c>
      <c r="B85" s="2" t="inlineStr">
        <is>
          <t>B14/D14</t>
        </is>
      </c>
      <c r="C85" s="2" t="inlineStr">
        <is>
          <t>Sensitivity bounds: aerosol lifetime (2 to 4 d; base 3)</t>
        </is>
      </c>
      <c r="D85" s="2" t="inlineStr">
        <is>
          <t>2 / 4</t>
        </is>
      </c>
      <c r="E85" s="2" t="inlineStr">
        <is>
          <t>days</t>
        </is>
      </c>
      <c r="F85" s="2" t="inlineStr"/>
      <c r="G85" s="2" t="n">
        <v>1</v>
      </c>
      <c r="H85" s="2" t="n">
        <v>2.5</v>
      </c>
      <c r="I85" s="2" t="n">
        <v>7</v>
      </c>
      <c r="J85" s="2" t="inlineStr">
        <is>
          <t>3.5 to 3.5</t>
        </is>
      </c>
      <c r="K85" s="7" t="inlineStr">
        <is>
          <t>within</t>
        </is>
      </c>
      <c r="L85" s="2" t="inlineStr">
        <is>
          <t>neutral</t>
        </is>
      </c>
      <c r="M85" s="2" t="inlineStr">
        <is>
          <t>high</t>
        </is>
      </c>
      <c r="N85" s="2" t="inlineStr">
        <is>
          <t>Hirasawa et al. 2026 (EGUsphere preprint)</t>
        </is>
      </c>
    </row>
    <row r="86">
      <c r="A86" s="4" t="inlineStr">
        <is>
          <t>5b. Cooling-Value Sensitivity</t>
        </is>
      </c>
      <c r="B86" s="2" t="inlineStr">
        <is>
          <t>B15/D15</t>
        </is>
      </c>
      <c r="C86" s="2" t="inlineStr">
        <is>
          <t>Sensitivity bounds: local temperature sensitivity (0.015 to 0.032; base 0.0225)</t>
        </is>
      </c>
      <c r="D86" s="2" t="inlineStr">
        <is>
          <t>0.015 / 0.032</t>
        </is>
      </c>
      <c r="E86" s="2" t="inlineStr">
        <is>
          <t>degC/(W/m2)</t>
        </is>
      </c>
      <c r="F86" s="2" t="inlineStr"/>
      <c r="G86" s="2" t="n">
        <v>1</v>
      </c>
      <c r="H86" s="2" t="n">
        <v>0.018</v>
      </c>
      <c r="I86" s="2" t="n">
        <v>0.0315</v>
      </c>
      <c r="J86" s="2" t="inlineStr">
        <is>
          <t>0.0225 to 0.0225</t>
        </is>
      </c>
      <c r="K86" s="7" t="inlineStr">
        <is>
          <t>within</t>
        </is>
      </c>
      <c r="L86" s="2" t="inlineStr">
        <is>
          <t>neutral</t>
        </is>
      </c>
      <c r="M86" s="2" t="inlineStr">
        <is>
          <t>medium</t>
        </is>
      </c>
      <c r="N86" s="2" t="inlineStr">
        <is>
          <t>Harrison et al. 2019 (RRAP T14)</t>
        </is>
      </c>
    </row>
    <row r="87">
      <c r="A87" s="4" t="inlineStr">
        <is>
          <t>5b. Cooling-Value Sensitivity</t>
        </is>
      </c>
      <c r="B87" s="2" t="inlineStr">
        <is>
          <t>B17/D17</t>
        </is>
      </c>
      <c r="C87" s="2" t="inlineStr">
        <is>
          <t>Sensitivity bounds: survival factor (0.1 to 0.5; base 0.3)</t>
        </is>
      </c>
      <c r="D87" s="2" t="inlineStr">
        <is>
          <t>0.1 / 0.5</t>
        </is>
      </c>
      <c r="E87" s="2" t="inlineStr">
        <is>
          <t>fraction</t>
        </is>
      </c>
      <c r="F87" s="2" t="inlineStr"/>
      <c r="G87" s="2" t="n">
        <v>1</v>
      </c>
      <c r="H87" s="2" t="n">
        <v>0.1</v>
      </c>
      <c r="I87" s="2" t="n">
        <v>0.9</v>
      </c>
      <c r="J87" s="2" t="inlineStr">
        <is>
          <t>0.5 to 0.5</t>
        </is>
      </c>
      <c r="K87" s="7" t="inlineStr">
        <is>
          <t>within</t>
        </is>
      </c>
      <c r="L87" s="2" t="inlineStr">
        <is>
          <t>no</t>
        </is>
      </c>
      <c r="M87" s="2" t="inlineStr">
        <is>
          <t>medium</t>
        </is>
      </c>
      <c r="N87" s="2" t="inlineStr">
        <is>
          <t>Stuart et al. 2013</t>
        </is>
      </c>
    </row>
    <row r="88">
      <c r="A88" s="4" t="inlineStr">
        <is>
          <t>5b. Cooling-Value Sensitivity</t>
        </is>
      </c>
      <c r="B88" s="2" t="inlineStr">
        <is>
          <t>B6/D6</t>
        </is>
      </c>
      <c r="C88" s="2" t="inlineStr">
        <is>
          <t>Sensitivity bounds: marine cloud albedo (0.3 to 0.6; base 0.4)</t>
        </is>
      </c>
      <c r="D88" s="2" t="inlineStr">
        <is>
          <t>0.3 / 0.6</t>
        </is>
      </c>
      <c r="E88" s="2" t="inlineStr">
        <is>
          <t>-</t>
        </is>
      </c>
      <c r="F88" s="2" t="inlineStr">
        <is>
          <t>Sensitivity bounds around tab 5a base; see tab 5a Sources</t>
        </is>
      </c>
      <c r="G88" s="2" t="n">
        <v>1</v>
      </c>
      <c r="H88" s="2" t="n">
        <v>0.1</v>
      </c>
      <c r="I88" s="2" t="n">
        <v>0.3</v>
      </c>
      <c r="J88" s="2" t="inlineStr">
        <is>
          <t>0.2 to 0.2</t>
        </is>
      </c>
      <c r="K88" s="5" t="inlineStr">
        <is>
          <t>above range</t>
        </is>
      </c>
      <c r="L88" s="2" t="inlineStr">
        <is>
          <t>yes</t>
        </is>
      </c>
      <c r="M88" s="2" t="inlineStr">
        <is>
          <t>medium</t>
        </is>
      </c>
      <c r="N88" s="2" t="inlineStr">
        <is>
          <t>Harrison et al. 2019 (RRAP T14)</t>
        </is>
      </c>
    </row>
    <row r="89">
      <c r="A89" s="4" t="inlineStr">
        <is>
          <t>5c-alt. Benefit - Reef (Zhao)</t>
        </is>
      </c>
      <c r="B89" s="2" t="inlineStr">
        <is>
          <t>B12</t>
        </is>
      </c>
      <c r="C89" s="2" t="inlineStr">
        <is>
          <t>Marine heatwave / bleaching season length</t>
        </is>
      </c>
      <c r="D89" s="2" t="n">
        <v>151</v>
      </c>
      <c r="E89" s="2" t="inlineStr">
        <is>
          <t>days</t>
        </is>
      </c>
      <c r="F89" s="2" t="inlineStr">
        <is>
          <t>Harrison 2019 (T14) p.39: 1 Dec to 30 Apr.</t>
        </is>
      </c>
      <c r="G89" s="2" t="n">
        <v>1</v>
      </c>
      <c r="H89" s="2" t="n">
        <v>151</v>
      </c>
      <c r="I89" s="2" t="n">
        <v>151</v>
      </c>
      <c r="J89" s="2" t="inlineStr">
        <is>
          <t>151 to 151</t>
        </is>
      </c>
      <c r="K89" s="7" t="inlineStr">
        <is>
          <t>within</t>
        </is>
      </c>
      <c r="L89" s="2" t="inlineStr">
        <is>
          <t>no</t>
        </is>
      </c>
      <c r="M89" s="2" t="inlineStr">
        <is>
          <t>high</t>
        </is>
      </c>
      <c r="N89" s="2" t="inlineStr">
        <is>
          <t>T14</t>
        </is>
      </c>
    </row>
    <row r="90">
      <c r="A90" s="4" t="inlineStr">
        <is>
          <t>5c-alt. Benefit - Reef (Zhao)</t>
        </is>
      </c>
      <c r="B90" s="2" t="inlineStr">
        <is>
          <t>B14</t>
        </is>
      </c>
      <c r="C90" s="2" t="inlineStr">
        <is>
          <t>Cloud-top shortwave, 24-h average</t>
        </is>
      </c>
      <c r="D90" s="2" t="n">
        <v>340</v>
      </c>
      <c r="E90" s="2" t="inlineStr">
        <is>
          <t>W/m2</t>
        </is>
      </c>
      <c r="F90" s="2" t="inlineStr">
        <is>
          <t>Assumption (24-h mean cloud-top shortwave, GBR summer)</t>
        </is>
      </c>
      <c r="G90" s="2" t="n">
        <v>1</v>
      </c>
      <c r="H90" s="2" t="n">
        <v>322</v>
      </c>
      <c r="I90" s="2" t="n">
        <v>491</v>
      </c>
      <c r="J90" s="2" t="inlineStr">
        <is>
          <t>441 to 441</t>
        </is>
      </c>
      <c r="K90" s="5" t="inlineStr">
        <is>
          <t>below range</t>
        </is>
      </c>
      <c r="L90" s="2" t="inlineStr">
        <is>
          <t>no</t>
        </is>
      </c>
      <c r="M90" s="2" t="inlineStr">
        <is>
          <t>medium</t>
        </is>
      </c>
      <c r="N90" s="2" t="inlineStr">
        <is>
          <t>KoppLean11</t>
        </is>
      </c>
    </row>
    <row r="91">
      <c r="A91" s="4" t="inlineStr">
        <is>
          <t>5c-alt. Benefit - Reef (Zhao)</t>
        </is>
      </c>
      <c r="B91" s="2" t="inlineStr">
        <is>
          <t>B16</t>
        </is>
      </c>
      <c r="C91" s="2" t="inlineStr">
        <is>
          <t>Cloud availability</t>
        </is>
      </c>
      <c r="D91" s="2" t="n">
        <v>0.225</v>
      </c>
      <c r="E91" s="2" t="inlineStr">
        <is>
          <t>fraction</t>
        </is>
      </c>
      <c r="F91" s="2" t="inlineStr">
        <is>
          <t>Harrison et al. 2019 (T14), scenario D0.0676 basis</t>
        </is>
      </c>
      <c r="G91" s="2" t="n">
        <v>2</v>
      </c>
      <c r="H91" s="2" t="n">
        <v>0.2</v>
      </c>
      <c r="I91" s="2" t="n">
        <v>0.55</v>
      </c>
      <c r="J91" s="2" t="inlineStr">
        <is>
          <t>0.2253 to 0.2253</t>
        </is>
      </c>
      <c r="K91" s="7" t="inlineStr">
        <is>
          <t>within</t>
        </is>
      </c>
      <c r="L91" s="2" t="inlineStr">
        <is>
          <t>neutral; no</t>
        </is>
      </c>
      <c r="M91" s="2" t="inlineStr">
        <is>
          <t>medium</t>
        </is>
      </c>
      <c r="N91" s="2" t="inlineStr">
        <is>
          <t>CS01; T14</t>
        </is>
      </c>
    </row>
    <row r="92">
      <c r="A92" s="4" t="inlineStr">
        <is>
          <t>5c-alt. Benefit - Reef (Zhao)</t>
        </is>
      </c>
      <c r="B92" s="2" t="inlineStr">
        <is>
          <t>B27</t>
        </is>
      </c>
      <c r="C92" s="2" t="inlineStr">
        <is>
          <t>Spray-time fraction</t>
        </is>
      </c>
      <c r="D92" s="2" t="n">
        <v>0.95</v>
      </c>
      <c r="E92" s="2" t="inlineStr">
        <is>
          <t>fraction</t>
        </is>
      </c>
      <c r="F92" s="2" t="inlineStr">
        <is>
          <t>Assumption (spray uptime within events).</t>
        </is>
      </c>
      <c r="G92" s="2" t="n">
        <v>0</v>
      </c>
      <c r="H92" s="2" t="inlineStr"/>
      <c r="I92" s="2" t="inlineStr"/>
      <c r="J92" s="2" t="inlineStr"/>
      <c r="K92" s="6" t="inlineStr">
        <is>
          <t>no comparable value</t>
        </is>
      </c>
      <c r="L92" s="2" t="inlineStr">
        <is>
          <t>n/a</t>
        </is>
      </c>
      <c r="M92" s="2" t="inlineStr">
        <is>
          <t>low</t>
        </is>
      </c>
      <c r="N92" s="2" t="inlineStr"/>
    </row>
    <row r="93">
      <c r="A93" s="4" t="inlineStr">
        <is>
          <t>5c-alt. Benefit - Reef (Zhao)</t>
        </is>
      </c>
      <c r="B93" s="2" t="inlineStr">
        <is>
          <t>B6</t>
        </is>
      </c>
      <c r="C93" s="2" t="inlineStr">
        <is>
          <t>Station count</t>
        </is>
      </c>
      <c r="D93" s="2" t="n">
        <v>75</v>
      </c>
      <c r="E93" s="2" t="inlineStr">
        <is>
          <t>stations</t>
        </is>
      </c>
      <c r="F93" s="2" t="inlineStr">
        <is>
          <t>Zhao et al. 2026 preprint p.6</t>
        </is>
      </c>
      <c r="G93" s="2" t="n">
        <v>1</v>
      </c>
      <c r="H93" s="2" t="n">
        <v>75</v>
      </c>
      <c r="I93" s="2" t="n">
        <v>75</v>
      </c>
      <c r="J93" s="2" t="inlineStr">
        <is>
          <t>75 to 75</t>
        </is>
      </c>
      <c r="K93" s="7" t="inlineStr">
        <is>
          <t>within</t>
        </is>
      </c>
      <c r="L93" s="2" t="inlineStr">
        <is>
          <t>neutral</t>
        </is>
      </c>
      <c r="M93" s="2" t="inlineStr">
        <is>
          <t>high</t>
        </is>
      </c>
      <c r="N93" s="2" t="inlineStr">
        <is>
          <t>Zhao26</t>
        </is>
      </c>
    </row>
    <row r="94">
      <c r="A94" s="4" t="inlineStr">
        <is>
          <t>5c-alt. Benefit - Reef (Zhao)</t>
        </is>
      </c>
      <c r="B94" s="2" t="inlineStr">
        <is>
          <t>B7</t>
        </is>
      </c>
      <c r="C94" s="2" t="inlineStr">
        <is>
          <t>Station spacing</t>
        </is>
      </c>
      <c r="D94" s="2" t="n">
        <v>20</v>
      </c>
      <c r="E94" s="2" t="inlineStr">
        <is>
          <t>km</t>
        </is>
      </c>
      <c r="F94" s="2" t="inlineStr">
        <is>
          <t>Zhao et al. 2026 preprint p.6</t>
        </is>
      </c>
      <c r="G94" s="2" t="n">
        <v>1</v>
      </c>
      <c r="H94" s="2" t="n">
        <v>20</v>
      </c>
      <c r="I94" s="2" t="n">
        <v>20</v>
      </c>
      <c r="J94" s="2" t="inlineStr">
        <is>
          <t>20 to 20</t>
        </is>
      </c>
      <c r="K94" s="7" t="inlineStr">
        <is>
          <t>within</t>
        </is>
      </c>
      <c r="L94" s="2" t="inlineStr">
        <is>
          <t>neutral</t>
        </is>
      </c>
      <c r="M94" s="2" t="inlineStr">
        <is>
          <t>high</t>
        </is>
      </c>
      <c r="N94" s="2" t="inlineStr">
        <is>
          <t>Zhao26</t>
        </is>
      </c>
    </row>
    <row r="95">
      <c r="A95" s="4" t="inlineStr">
        <is>
          <t>5c-alt. Benefit - Reef (Zhao)</t>
        </is>
      </c>
      <c r="B95" s="2" t="inlineStr">
        <is>
          <t>B8</t>
        </is>
      </c>
      <c r="C95" s="2" t="inlineStr">
        <is>
          <t>Emission per station</t>
        </is>
      </c>
      <c r="D95" s="2" t="n">
        <v>1e+16</v>
      </c>
      <c r="E95" s="2" t="inlineStr">
        <is>
          <t>particles/s</t>
        </is>
      </c>
      <c r="F95" s="2" t="inlineStr">
        <is>
          <t>Zhao et al. 2026 preprint p.6</t>
        </is>
      </c>
      <c r="G95" s="2" t="n">
        <v>1</v>
      </c>
      <c r="H95" s="2" t="n">
        <v>1e+16</v>
      </c>
      <c r="I95" s="2" t="n">
        <v>1e+16</v>
      </c>
      <c r="J95" s="2" t="inlineStr">
        <is>
          <t>1e+16 to 1e+16</t>
        </is>
      </c>
      <c r="K95" s="7" t="inlineStr">
        <is>
          <t>within</t>
        </is>
      </c>
      <c r="L95" s="2" t="inlineStr">
        <is>
          <t>neutral</t>
        </is>
      </c>
      <c r="M95" s="2" t="inlineStr">
        <is>
          <t>high</t>
        </is>
      </c>
      <c r="N95" s="2" t="inlineStr">
        <is>
          <t>Zhao26</t>
        </is>
      </c>
    </row>
    <row r="96">
      <c r="A96" s="4" t="inlineStr">
        <is>
          <t>5c. Benefit - Local - Reef</t>
        </is>
      </c>
      <c r="B96" s="2" t="inlineStr">
        <is>
          <t>B24</t>
        </is>
      </c>
      <c r="C96" s="2" t="inlineStr">
        <is>
          <t>Bleaching-stress relief, 2015/16 event</t>
        </is>
      </c>
      <c r="D96" s="2" t="n">
        <v>0.5</v>
      </c>
      <c r="E96" s="2" t="inlineStr">
        <is>
          <t>fraction</t>
        </is>
      </c>
      <c r="F96" s="2" t="inlineStr">
        <is>
          <t>Harrison et al. 2019 (T14) p.57.</t>
        </is>
      </c>
      <c r="G96" s="2" t="n">
        <v>1</v>
      </c>
      <c r="H96" s="2" t="n">
        <v>0.23</v>
      </c>
      <c r="I96" s="2" t="n">
        <v>0.6899999999999999</v>
      </c>
      <c r="J96" s="2" t="inlineStr">
        <is>
          <t>0.476 to 0.476</t>
        </is>
      </c>
      <c r="K96" s="7" t="inlineStr">
        <is>
          <t>within</t>
        </is>
      </c>
      <c r="L96" s="2" t="inlineStr">
        <is>
          <t>neutral</t>
        </is>
      </c>
      <c r="M96" s="2" t="inlineStr">
        <is>
          <t>high</t>
        </is>
      </c>
      <c r="N96" s="2" t="inlineStr">
        <is>
          <t>T14</t>
        </is>
      </c>
    </row>
    <row r="97">
      <c r="A97" s="4" t="inlineStr">
        <is>
          <t>5c. Benefit - Local - Reef</t>
        </is>
      </c>
      <c r="B97" s="2" t="inlineStr">
        <is>
          <t>B25</t>
        </is>
      </c>
      <c r="C97" s="2" t="inlineStr">
        <is>
          <t>Bleaching-stress relief, 2016/17 event</t>
        </is>
      </c>
      <c r="D97" s="2" t="n">
        <v>0.65</v>
      </c>
      <c r="E97" s="2" t="inlineStr">
        <is>
          <t>fraction</t>
        </is>
      </c>
      <c r="F97" s="2" t="inlineStr">
        <is>
          <t>Harrison et al. 2019 (T14) p.57.</t>
        </is>
      </c>
      <c r="G97" s="2" t="n">
        <v>1</v>
      </c>
      <c r="H97" s="2" t="n">
        <v>0.33</v>
      </c>
      <c r="I97" s="2" t="n">
        <v>0.85</v>
      </c>
      <c r="J97" s="2" t="inlineStr">
        <is>
          <t>0.674 to 0.674</t>
        </is>
      </c>
      <c r="K97" s="7" t="inlineStr">
        <is>
          <t>within</t>
        </is>
      </c>
      <c r="L97" s="2" t="inlineStr">
        <is>
          <t>neutral</t>
        </is>
      </c>
      <c r="M97" s="2" t="inlineStr">
        <is>
          <t>high</t>
        </is>
      </c>
      <c r="N97" s="2" t="inlineStr">
        <is>
          <t>T14</t>
        </is>
      </c>
    </row>
    <row r="98">
      <c r="A98" s="4" t="inlineStr">
        <is>
          <t>5c. Benefit - Local - Reef</t>
        </is>
      </c>
      <c r="B98" s="2" t="inlineStr">
        <is>
          <t>B26</t>
        </is>
      </c>
      <c r="C98" s="2" t="inlineStr">
        <is>
          <t>Adopted relief (Harrison)</t>
        </is>
      </c>
      <c r="D98" s="2" t="n">
        <v>0.57</v>
      </c>
      <c r="E98" s="2" t="inlineStr">
        <is>
          <t>fraction</t>
        </is>
      </c>
      <c r="F98" s="2" t="inlineStr">
        <is>
          <t>Average of the two events.</t>
        </is>
      </c>
      <c r="G98" s="2" t="n">
        <v>2</v>
      </c>
      <c r="H98" s="2" t="n">
        <v>0.447</v>
      </c>
      <c r="I98" s="2" t="n">
        <v>0.575</v>
      </c>
      <c r="J98" s="2" t="inlineStr">
        <is>
          <t>0.575 to 0.575</t>
        </is>
      </c>
      <c r="K98" s="2" t="inlineStr">
        <is>
          <t>no comparable value; within</t>
        </is>
      </c>
      <c r="L98" s="2" t="inlineStr">
        <is>
          <t>n/a; yes</t>
        </is>
      </c>
      <c r="M98" s="2" t="inlineStr">
        <is>
          <t>high; medium</t>
        </is>
      </c>
      <c r="N98" s="2" t="inlineStr">
        <is>
          <t>Hughes18N; T14</t>
        </is>
      </c>
    </row>
    <row r="99">
      <c r="A99" s="4" t="inlineStr">
        <is>
          <t>5c. Benefit - Local - Reef</t>
        </is>
      </c>
      <c r="B99" s="2" t="inlineStr">
        <is>
          <t>B3</t>
        </is>
      </c>
      <c r="C99" s="2" t="inlineStr">
        <is>
          <t>Local on-target delivery factor</t>
        </is>
      </c>
      <c r="D99" s="2" t="n">
        <v>0.5</v>
      </c>
      <c r="E99" s="2" t="inlineStr">
        <is>
          <t>fraction</t>
        </is>
      </c>
      <c r="F99" s="2" t="inlineStr">
        <is>
          <t>Assumption (same factor as 5d).</t>
        </is>
      </c>
      <c r="G99" s="2" t="n">
        <v>1</v>
      </c>
      <c r="H99" s="2" t="inlineStr"/>
      <c r="I99" s="2" t="inlineStr"/>
      <c r="J99" s="2" t="inlineStr"/>
      <c r="K99" s="6" t="inlineStr">
        <is>
          <t>no comparable value</t>
        </is>
      </c>
      <c r="L99" s="2" t="inlineStr">
        <is>
          <t>n/a</t>
        </is>
      </c>
      <c r="M99" s="2" t="inlineStr">
        <is>
          <t>low</t>
        </is>
      </c>
      <c r="N99" s="2" t="inlineStr">
        <is>
          <t>T14</t>
        </is>
      </c>
    </row>
    <row r="100">
      <c r="A100" s="4" t="inlineStr">
        <is>
          <t>5c. Benefit - Local - Reef</t>
        </is>
      </c>
      <c r="B100" s="2" t="inlineStr">
        <is>
          <t>B31</t>
        </is>
      </c>
      <c r="C100" s="2" t="inlineStr">
        <is>
          <t>GBR asset valuation</t>
        </is>
      </c>
      <c r="D100" s="2" t="n">
        <v>95</v>
      </c>
      <c r="E100" s="2" t="inlineStr">
        <is>
          <t>A$ billion</t>
        </is>
      </c>
      <c r="F100" s="2" t="inlineStr">
        <is>
          <t>Deloitte 'At What Cost?' 2025.</t>
        </is>
      </c>
      <c r="G100" s="2" t="n">
        <v>2</v>
      </c>
      <c r="H100" s="2" t="inlineStr"/>
      <c r="I100" s="2" t="inlineStr"/>
      <c r="J100" s="2" t="inlineStr">
        <is>
          <t>56 to 95</t>
        </is>
      </c>
      <c r="K100" s="2" t="inlineStr">
        <is>
          <t>above range; within</t>
        </is>
      </c>
      <c r="L100" s="2" t="inlineStr">
        <is>
          <t>neutral; yes</t>
        </is>
      </c>
      <c r="M100" s="2" t="inlineStr">
        <is>
          <t>high; medium</t>
        </is>
      </c>
      <c r="N100" s="2" t="inlineStr">
        <is>
          <t>Deloitte17; Deloitte25</t>
        </is>
      </c>
    </row>
    <row r="101">
      <c r="A101" s="4" t="inlineStr">
        <is>
          <t>5c. Benefit - Local - Reef</t>
        </is>
      </c>
      <c r="B101" s="2" t="inlineStr">
        <is>
          <t>B32</t>
        </is>
      </c>
      <c r="C101" s="2" t="inlineStr">
        <is>
          <t>Share of reef value at risk in a severe bleaching event</t>
        </is>
      </c>
      <c r="D101" s="2" t="n">
        <v>0.2</v>
      </c>
      <c r="E101" s="2" t="inlineStr">
        <is>
          <t>fraction</t>
        </is>
      </c>
      <c r="F101" s="2" t="inlineStr">
        <is>
          <t>Assumption (~20%).</t>
        </is>
      </c>
      <c r="G101" s="2" t="n">
        <v>3</v>
      </c>
      <c r="H101" s="2" t="n">
        <v>0.14</v>
      </c>
      <c r="I101" s="2" t="n">
        <v>0.3</v>
      </c>
      <c r="J101" s="2" t="inlineStr">
        <is>
          <t>0.6 to 6</t>
        </is>
      </c>
      <c r="K101" s="6" t="inlineStr">
        <is>
          <t>no comparable value</t>
        </is>
      </c>
      <c r="L101" s="2" t="inlineStr">
        <is>
          <t>n/a; yes</t>
        </is>
      </c>
      <c r="M101" s="2" t="inlineStr">
        <is>
          <t>high; low</t>
        </is>
      </c>
      <c r="N101" s="2" t="inlineStr">
        <is>
          <t>AIMS25; Hughes17; Hughes18S</t>
        </is>
      </c>
    </row>
    <row r="102">
      <c r="A102" s="4" t="inlineStr">
        <is>
          <t>5c. Benefit - Local - Reef</t>
        </is>
      </c>
      <c r="B102" s="2" t="inlineStr">
        <is>
          <t>B35</t>
        </is>
      </c>
      <c r="C102" s="2" t="inlineStr">
        <is>
          <t>Event-average forcing achieved (Harrison)</t>
        </is>
      </c>
      <c r="D102" s="2" t="n">
        <v>22</v>
      </c>
      <c r="E102" s="2" t="inlineStr">
        <is>
          <t>W/m2</t>
        </is>
      </c>
      <c r="F102" s="2" t="inlineStr">
        <is>
          <t>Coupled-model result: ~6.8% reef-wide dimming.</t>
        </is>
      </c>
      <c r="G102" s="2" t="n">
        <v>1</v>
      </c>
      <c r="H102" s="2" t="n">
        <v>12</v>
      </c>
      <c r="I102" s="2" t="n">
        <v>35.2</v>
      </c>
      <c r="J102" s="2" t="inlineStr">
        <is>
          <t>23 to 23</t>
        </is>
      </c>
      <c r="K102" s="7" t="inlineStr">
        <is>
          <t>within</t>
        </is>
      </c>
      <c r="L102" s="2" t="inlineStr">
        <is>
          <t>yes</t>
        </is>
      </c>
      <c r="M102" s="2" t="inlineStr">
        <is>
          <t>high</t>
        </is>
      </c>
      <c r="N102" s="2" t="inlineStr">
        <is>
          <t>T14</t>
        </is>
      </c>
    </row>
    <row r="103">
      <c r="A103" s="4" t="inlineStr">
        <is>
          <t>5c. Benefit - Local - Reef</t>
        </is>
      </c>
      <c r="B103" s="2" t="inlineStr">
        <is>
          <t>B6</t>
        </is>
      </c>
      <c r="C103" s="2" t="inlineStr">
        <is>
          <t>Reef area cooled</t>
        </is>
      </c>
      <c r="D103" s="2" t="n">
        <v>30000</v>
      </c>
      <c r="E103" s="2" t="inlineStr">
        <is>
          <t>km2</t>
        </is>
      </c>
      <c r="F103" s="2" t="inlineStr">
        <is>
          <t>Harrison 2019 reef-wide domain; GBR shallow reef ~3 million ha.</t>
        </is>
      </c>
      <c r="G103" s="2" t="n">
        <v>1</v>
      </c>
      <c r="H103" s="2" t="n">
        <v>21573</v>
      </c>
      <c r="I103" s="2" t="n">
        <v>28261</v>
      </c>
      <c r="J103" s="2" t="inlineStr">
        <is>
          <t>28261 to 28261</t>
        </is>
      </c>
      <c r="K103" s="5" t="inlineStr">
        <is>
          <t>above range</t>
        </is>
      </c>
      <c r="L103" s="2" t="inlineStr">
        <is>
          <t>no</t>
        </is>
      </c>
      <c r="M103" s="2" t="inlineStr">
        <is>
          <t>medium</t>
        </is>
      </c>
      <c r="N103" s="2" t="inlineStr">
        <is>
          <t>Roelfsema21</t>
        </is>
      </c>
    </row>
    <row r="104">
      <c r="A104" s="4" t="inlineStr">
        <is>
          <t>5c. Benefit - Local - Reef</t>
        </is>
      </c>
      <c r="B104" s="2" t="inlineStr">
        <is>
          <t>B7</t>
        </is>
      </c>
      <c r="C104" s="2" t="inlineStr">
        <is>
          <t>Marine heatwave / bleaching season length</t>
        </is>
      </c>
      <c r="D104" s="2" t="n">
        <v>151</v>
      </c>
      <c r="E104" s="2" t="inlineStr">
        <is>
          <t>days</t>
        </is>
      </c>
      <c r="F104" s="2" t="inlineStr">
        <is>
          <t>Harrison 2019 (T14) p.39: 1 Dec to 30 Apr.</t>
        </is>
      </c>
      <c r="G104" s="2" t="n">
        <v>1</v>
      </c>
      <c r="H104" s="2" t="n">
        <v>151</v>
      </c>
      <c r="I104" s="2" t="n">
        <v>151</v>
      </c>
      <c r="J104" s="2" t="inlineStr">
        <is>
          <t>151 to 151</t>
        </is>
      </c>
      <c r="K104" s="7" t="inlineStr">
        <is>
          <t>within</t>
        </is>
      </c>
      <c r="L104" s="2" t="inlineStr">
        <is>
          <t>no</t>
        </is>
      </c>
      <c r="M104" s="2" t="inlineStr">
        <is>
          <t>high</t>
        </is>
      </c>
      <c r="N104" s="2" t="inlineStr">
        <is>
          <t>T14</t>
        </is>
      </c>
    </row>
    <row r="105">
      <c r="A105" s="4" t="inlineStr">
        <is>
          <t>5c. Benefit - Local - Reef</t>
        </is>
      </c>
      <c r="B105" s="2" t="inlineStr">
        <is>
          <t>D27; D31; A31</t>
        </is>
      </c>
      <c r="C105" s="2" t="inlineStr">
        <is>
          <t>REFERENCE AUDIT (cited in notes, NOT in References tab)</t>
        </is>
      </c>
      <c r="D105" s="2" t="inlineStr">
        <is>
          <t>GBR valued A$95B (x0.7 USD/AUD)</t>
        </is>
      </c>
      <c r="E105" s="2" t="inlineStr"/>
      <c r="F105" s="2" t="inlineStr">
        <is>
          <t>Deloitte Access Economics 2025 'At What Cost?'</t>
        </is>
      </c>
      <c r="G105" s="2" t="n">
        <v>1</v>
      </c>
      <c r="H105" s="2" t="inlineStr"/>
      <c r="I105" s="2" t="inlineStr"/>
      <c r="J105" s="2" t="inlineStr"/>
      <c r="K105" s="6" t="inlineStr">
        <is>
          <t>no comparable value</t>
        </is>
      </c>
      <c r="L105" s="2" t="inlineStr">
        <is>
          <t>n/a</t>
        </is>
      </c>
      <c r="M105" s="2" t="inlineStr">
        <is>
          <t>low</t>
        </is>
      </c>
      <c r="N105" s="2" t="inlineStr">
        <is>
          <t>Deloitte Access Economics 2025 'At What Cost?'</t>
        </is>
      </c>
    </row>
    <row r="106">
      <c r="A106" s="4" t="inlineStr">
        <is>
          <t>5c. Benefit - Local - Reef</t>
        </is>
      </c>
      <c r="B106" s="2" t="inlineStr">
        <is>
          <t>D28</t>
        </is>
      </c>
      <c r="C106" s="2" t="inlineStr">
        <is>
          <t>Discount rate (workbook applies none to reef value)</t>
        </is>
      </c>
      <c r="D106" s="2" t="inlineStr">
        <is>
          <t>none</t>
        </is>
      </c>
      <c r="E106" s="2" t="inlineStr">
        <is>
          <t>%</t>
        </is>
      </c>
      <c r="F106" s="2" t="inlineStr">
        <is>
          <t>A$95B already blends present + future value; no further discounting.</t>
        </is>
      </c>
      <c r="G106" s="2" t="n">
        <v>1</v>
      </c>
      <c r="H106" s="2" t="inlineStr"/>
      <c r="I106" s="2" t="inlineStr"/>
      <c r="J106" s="2" t="inlineStr">
        <is>
          <t>3.7 to 3.7</t>
        </is>
      </c>
      <c r="K106" s="6" t="inlineStr">
        <is>
          <t>no comparable value</t>
        </is>
      </c>
      <c r="L106" s="2" t="inlineStr">
        <is>
          <t>n/a</t>
        </is>
      </c>
      <c r="M106" s="2" t="inlineStr">
        <is>
          <t>medium</t>
        </is>
      </c>
      <c r="N106" s="2" t="inlineStr">
        <is>
          <t>Deloitte17</t>
        </is>
      </c>
    </row>
    <row r="107">
      <c r="A107" s="4" t="inlineStr">
        <is>
          <t>5d. Benefit - Local - City</t>
        </is>
      </c>
      <c r="B107" s="2" t="inlineStr">
        <is>
          <t>B22</t>
        </is>
      </c>
      <c r="C107" s="2" t="inlineStr">
        <is>
          <t>City population</t>
        </is>
      </c>
      <c r="D107" s="2" t="n">
        <v>2000000</v>
      </c>
      <c r="E107" s="2" t="inlineStr">
        <is>
          <t>people</t>
        </is>
      </c>
      <c r="F107" s="2" t="inlineStr">
        <is>
          <t>Assumption (mid-large city).</t>
        </is>
      </c>
      <c r="G107" s="2" t="n">
        <v>0</v>
      </c>
      <c r="H107" s="2" t="inlineStr"/>
      <c r="I107" s="2" t="inlineStr"/>
      <c r="J107" s="2" t="inlineStr"/>
      <c r="K107" s="2" t="inlineStr">
        <is>
          <t>definitional</t>
        </is>
      </c>
      <c r="L107" s="2" t="inlineStr">
        <is>
          <t>n/a</t>
        </is>
      </c>
      <c r="M107" s="2" t="inlineStr">
        <is>
          <t>high</t>
        </is>
      </c>
      <c r="N107" s="2" t="inlineStr"/>
    </row>
    <row r="108">
      <c r="A108" s="4" t="inlineStr">
        <is>
          <t>5d. Benefit - Local - City</t>
        </is>
      </c>
      <c r="B108" s="2" t="inlineStr">
        <is>
          <t>B23</t>
        </is>
      </c>
      <c r="C108" s="2" t="inlineStr">
        <is>
          <t>Baseline heat deaths / extreme season</t>
        </is>
      </c>
      <c r="D108" s="2" t="n">
        <v>200</v>
      </c>
      <c r="E108" s="2" t="inlineStr">
        <is>
          <t>deaths</t>
        </is>
      </c>
      <c r="F108" s="2" t="inlineStr">
        <is>
          <t>Assumption.</t>
        </is>
      </c>
      <c r="G108" s="2" t="n">
        <v>4</v>
      </c>
      <c r="H108" s="2" t="n">
        <v>7.47</v>
      </c>
      <c r="I108" s="2" t="n">
        <v>205.4</v>
      </c>
      <c r="J108" s="2" t="inlineStr">
        <is>
          <t>7.55065 to 137.4</t>
        </is>
      </c>
      <c r="K108" s="2" t="inlineStr">
        <is>
          <t>above range; no comparable value</t>
        </is>
      </c>
      <c r="L108" s="2" t="inlineStr">
        <is>
          <t>n/a; yes</t>
        </is>
      </c>
      <c r="M108" s="2" t="inlineStr">
        <is>
          <t>high; medium</t>
        </is>
      </c>
      <c r="N108" s="2" t="inlineStr">
        <is>
          <t>Gasparrini15; Kephart22; WB_CDR; ZhaoQ21</t>
        </is>
      </c>
    </row>
    <row r="109">
      <c r="A109" s="4" t="inlineStr">
        <is>
          <t>5d. Benefit - Local - City</t>
        </is>
      </c>
      <c r="B109" s="2" t="inlineStr">
        <is>
          <t>B24</t>
        </is>
      </c>
      <c r="C109" s="2" t="inlineStr">
        <is>
          <t>Mortality rise per degC above threshold</t>
        </is>
      </c>
      <c r="D109" s="2" t="n">
        <v>0.057</v>
      </c>
      <c r="E109" s="2" t="inlineStr">
        <is>
          <t>per degC</t>
        </is>
      </c>
      <c r="F109" s="2" t="inlineStr">
        <is>
          <t>RR 1.057 per 1C (326-city study).</t>
        </is>
      </c>
      <c r="G109" s="2" t="n">
        <v>1</v>
      </c>
      <c r="H109" s="2" t="n">
        <v>0.046</v>
      </c>
      <c r="I109" s="2" t="n">
        <v>0.067</v>
      </c>
      <c r="J109" s="2" t="inlineStr">
        <is>
          <t>0.057 to 0.057</t>
        </is>
      </c>
      <c r="K109" s="7" t="inlineStr">
        <is>
          <t>within</t>
        </is>
      </c>
      <c r="L109" s="2" t="inlineStr">
        <is>
          <t>neutral</t>
        </is>
      </c>
      <c r="M109" s="2" t="inlineStr">
        <is>
          <t>high</t>
        </is>
      </c>
      <c r="N109" s="2" t="inlineStr">
        <is>
          <t>Kephart22</t>
        </is>
      </c>
    </row>
    <row r="110">
      <c r="A110" s="4" t="inlineStr">
        <is>
          <t>5d. Benefit - Local - City</t>
        </is>
      </c>
      <c r="B110" s="2" t="inlineStr">
        <is>
          <t>B27</t>
        </is>
      </c>
      <c r="C110" s="2" t="inlineStr">
        <is>
          <t>Value of a statistical life</t>
        </is>
      </c>
      <c r="D110" s="2" t="n">
        <v>10000000</v>
      </c>
      <c r="E110" s="2" t="inlineStr">
        <is>
          <t>$/life</t>
        </is>
      </c>
      <c r="F110" s="2" t="inlineStr">
        <is>
          <t>Assumption (US federal range).</t>
        </is>
      </c>
      <c r="G110" s="2" t="n">
        <v>4</v>
      </c>
      <c r="H110" s="2" t="n">
        <v>45000</v>
      </c>
      <c r="I110" s="2" t="n">
        <v>18300000</v>
      </c>
      <c r="J110" s="2" t="inlineStr">
        <is>
          <t>7.4e+06 to 1.32e+07</t>
        </is>
      </c>
      <c r="K110" s="2" t="inlineStr">
        <is>
          <t>below range; no comparable value; within</t>
        </is>
      </c>
      <c r="L110" s="2" t="inlineStr">
        <is>
          <t>n/a; neutral; no; yes</t>
        </is>
      </c>
      <c r="M110" s="2" t="inlineStr">
        <is>
          <t>high; low; medium</t>
        </is>
      </c>
      <c r="N110" s="2" t="inlineStr">
        <is>
          <t>DOT_VSL; EPA_VSL; OECD12; VM17</t>
        </is>
      </c>
    </row>
    <row r="111">
      <c r="A111" s="4" t="inlineStr">
        <is>
          <t>5d. Benefit - Local - City</t>
        </is>
      </c>
      <c r="B111" s="2" t="inlineStr">
        <is>
          <t>B3</t>
        </is>
      </c>
      <c r="C111" s="2" t="inlineStr">
        <is>
          <t>Local on-target delivery factor</t>
        </is>
      </c>
      <c r="D111" s="2" t="n">
        <v>0.5</v>
      </c>
      <c r="E111" s="2" t="inlineStr">
        <is>
          <t>fraction</t>
        </is>
      </c>
      <c r="F111" s="2" t="inlineStr">
        <is>
          <t>Assumption (same factor as 5c).</t>
        </is>
      </c>
      <c r="G111" s="2" t="n">
        <v>0</v>
      </c>
      <c r="H111" s="2" t="inlineStr"/>
      <c r="I111" s="2" t="inlineStr"/>
      <c r="J111" s="2" t="inlineStr"/>
      <c r="K111" s="6" t="inlineStr">
        <is>
          <t>no comparable value</t>
        </is>
      </c>
      <c r="L111" s="2" t="inlineStr">
        <is>
          <t>n/a</t>
        </is>
      </c>
      <c r="M111" s="2" t="inlineStr">
        <is>
          <t>low</t>
        </is>
      </c>
      <c r="N111" s="2" t="inlineStr"/>
    </row>
    <row r="112">
      <c r="A112" s="4" t="inlineStr">
        <is>
          <t>5d. Benefit - Local - City</t>
        </is>
      </c>
      <c r="B112" s="2" t="inlineStr">
        <is>
          <t>B30</t>
        </is>
      </c>
      <c r="C112" s="2" t="inlineStr">
        <is>
          <t>Peak to daily-mean conversion</t>
        </is>
      </c>
      <c r="D112" s="2" t="n">
        <v>0.44</v>
      </c>
      <c r="E112" s="2" t="inlineStr">
        <is>
          <t>fraction</t>
        </is>
      </c>
      <c r="F112" s="2" t="inlineStr">
        <is>
          <t>Assumption.</t>
        </is>
      </c>
      <c r="G112" s="2" t="n">
        <v>0</v>
      </c>
      <c r="H112" s="2" t="inlineStr"/>
      <c r="I112" s="2" t="inlineStr"/>
      <c r="J112" s="2" t="inlineStr"/>
      <c r="K112" s="6" t="inlineStr">
        <is>
          <t>no comparable value</t>
        </is>
      </c>
      <c r="L112" s="2" t="inlineStr">
        <is>
          <t>n/a</t>
        </is>
      </c>
      <c r="M112" s="2" t="inlineStr">
        <is>
          <t>low</t>
        </is>
      </c>
      <c r="N112" s="2" t="inlineStr"/>
    </row>
    <row r="113">
      <c r="A113" s="4" t="inlineStr">
        <is>
          <t>5d. Benefit - Local - City</t>
        </is>
      </c>
      <c r="B113" s="2" t="inlineStr">
        <is>
          <t>B35</t>
        </is>
      </c>
      <c r="C113" s="2" t="inlineStr">
        <is>
          <t>Solar geoengineering mortality benefit:risk</t>
        </is>
      </c>
      <c r="D113" s="2" t="n">
        <v>13</v>
      </c>
      <c r="E113" s="2" t="inlineStr">
        <is>
          <t>x</t>
        </is>
      </c>
      <c r="F113" s="2" t="inlineStr">
        <is>
          <t>Harding, Keith, Vecchi &amp; Yang 2024 (PNAS).</t>
        </is>
      </c>
      <c r="G113" s="2" t="n">
        <v>1</v>
      </c>
      <c r="H113" s="2" t="inlineStr"/>
      <c r="I113" s="2" t="inlineStr"/>
      <c r="J113" s="2" t="inlineStr">
        <is>
          <t>13 to 13</t>
        </is>
      </c>
      <c r="K113" s="7" t="inlineStr">
        <is>
          <t>within</t>
        </is>
      </c>
      <c r="L113" s="2" t="inlineStr">
        <is>
          <t>yes</t>
        </is>
      </c>
      <c r="M113" s="2" t="inlineStr">
        <is>
          <t>high</t>
        </is>
      </c>
      <c r="N113" s="2" t="inlineStr">
        <is>
          <t>Harding24</t>
        </is>
      </c>
    </row>
    <row r="114">
      <c r="A114" s="4" t="inlineStr">
        <is>
          <t>5d. Benefit - Local - City</t>
        </is>
      </c>
      <c r="B114" s="2" t="inlineStr">
        <is>
          <t>B35; D35; G35</t>
        </is>
      </c>
      <c r="C114" s="2" t="inlineStr">
        <is>
          <t>REFERENCE AUDIT (cited in notes, NOT in References tab)</t>
        </is>
      </c>
      <c r="D114" s="2" t="inlineStr">
        <is>
          <t>benefit:risk 13x</t>
        </is>
      </c>
      <c r="E114" s="2" t="inlineStr"/>
      <c r="F114" s="2" t="inlineStr">
        <is>
          <t>Harding, Keith, Vecchi &amp; Yang 2024 PNAS</t>
        </is>
      </c>
      <c r="G114" s="2" t="n">
        <v>1</v>
      </c>
      <c r="H114" s="2" t="inlineStr"/>
      <c r="I114" s="2" t="inlineStr"/>
      <c r="J114" s="2" t="inlineStr"/>
      <c r="K114" s="7" t="inlineStr">
        <is>
          <t>within</t>
        </is>
      </c>
      <c r="L114" s="2" t="inlineStr">
        <is>
          <t>yes</t>
        </is>
      </c>
      <c r="M114" s="2" t="inlineStr">
        <is>
          <t>high</t>
        </is>
      </c>
      <c r="N114" s="2" t="inlineStr">
        <is>
          <t>Harding, Keith, Vecchi &amp; Yang 2024 PNAS</t>
        </is>
      </c>
    </row>
    <row r="115">
      <c r="A115" s="4" t="inlineStr">
        <is>
          <t>5d. Benefit - Local - City</t>
        </is>
      </c>
      <c r="B115" s="2" t="inlineStr">
        <is>
          <t>B7</t>
        </is>
      </c>
      <c r="C115" s="2" t="inlineStr">
        <is>
          <t>City area to cool</t>
        </is>
      </c>
      <c r="D115" s="2" t="n">
        <v>50000</v>
      </c>
      <c r="E115" s="2" t="inlineStr">
        <is>
          <t>ha</t>
        </is>
      </c>
      <c r="F115" s="2" t="inlineStr">
        <is>
          <t>Assumption (large metro core).</t>
        </is>
      </c>
      <c r="G115" s="2" t="n">
        <v>0</v>
      </c>
      <c r="H115" s="2" t="inlineStr"/>
      <c r="I115" s="2" t="inlineStr"/>
      <c r="J115" s="2" t="inlineStr"/>
      <c r="K115" s="2" t="inlineStr">
        <is>
          <t>definitional</t>
        </is>
      </c>
      <c r="L115" s="2" t="inlineStr">
        <is>
          <t>n/a</t>
        </is>
      </c>
      <c r="M115" s="2" t="inlineStr">
        <is>
          <t>high</t>
        </is>
      </c>
      <c r="N115" s="2" t="inlineStr"/>
    </row>
    <row r="116">
      <c r="A116" s="4" t="inlineStr">
        <is>
          <t>5d. Benefit - Local - City</t>
        </is>
      </c>
      <c r="B116" s="2" t="inlineStr">
        <is>
          <t>B8</t>
        </is>
      </c>
      <c r="C116" s="2" t="inlineStr">
        <is>
          <t>Peak cooling delivered</t>
        </is>
      </c>
      <c r="D116" s="2" t="n">
        <v>0.8</v>
      </c>
      <c r="E116" s="2" t="inlineStr">
        <is>
          <t>degC</t>
        </is>
      </c>
      <c r="F116" s="2" t="inlineStr">
        <is>
          <t>Assumption.</t>
        </is>
      </c>
      <c r="G116" s="2" t="n">
        <v>0</v>
      </c>
      <c r="H116" s="2" t="inlineStr"/>
      <c r="I116" s="2" t="inlineStr"/>
      <c r="J116" s="2" t="inlineStr"/>
      <c r="K116" s="6" t="inlineStr">
        <is>
          <t>no comparable value</t>
        </is>
      </c>
      <c r="L116" s="2" t="inlineStr">
        <is>
          <t>n/a</t>
        </is>
      </c>
      <c r="M116" s="2" t="inlineStr">
        <is>
          <t>low</t>
        </is>
      </c>
      <c r="N116" s="2" t="inlineStr"/>
    </row>
    <row r="117">
      <c r="A117" s="4" t="inlineStr">
        <is>
          <t>5d. Benefit - Local - City</t>
        </is>
      </c>
      <c r="B117" s="2" t="inlineStr">
        <is>
          <t>B9</t>
        </is>
      </c>
      <c r="C117" s="2" t="inlineStr">
        <is>
          <t>Extreme-heat days per year</t>
        </is>
      </c>
      <c r="D117" s="2" t="n">
        <v>14</v>
      </c>
      <c r="E117" s="2" t="inlineStr">
        <is>
          <t>days</t>
        </is>
      </c>
      <c r="F117" s="2" t="inlineStr">
        <is>
          <t>~13.7 heatwave days/yr global 2010s (blank citation in G9).</t>
        </is>
      </c>
      <c r="G117" s="2" t="n">
        <v>2</v>
      </c>
      <c r="H117" s="2" t="n">
        <v>1</v>
      </c>
      <c r="I117" s="2" t="n">
        <v>5</v>
      </c>
      <c r="J117" s="2" t="inlineStr">
        <is>
          <t>18 to 18</t>
        </is>
      </c>
      <c r="K117" s="2" t="inlineStr">
        <is>
          <t>below range; no comparable value</t>
        </is>
      </c>
      <c r="L117" s="2" t="inlineStr">
        <is>
          <t>n/a; yes</t>
        </is>
      </c>
      <c r="M117" s="2" t="inlineStr">
        <is>
          <t>medium</t>
        </is>
      </c>
      <c r="N117" s="2" t="inlineStr">
        <is>
          <t>Kephart22; PK20</t>
        </is>
      </c>
    </row>
    <row r="118">
      <c r="A118" s="4" t="inlineStr">
        <is>
          <t>5d. Benefit - Local - City</t>
        </is>
      </c>
      <c r="B118" s="2" t="inlineStr">
        <is>
          <t>B9; D9; G9</t>
        </is>
      </c>
      <c r="C118" s="2" t="inlineStr">
        <is>
          <t>REFERENCE AUDIT (cited in notes, NOT in References tab)</t>
        </is>
      </c>
      <c r="D118" s="2" t="inlineStr">
        <is>
          <t>14 days/yr extreme-heat days</t>
        </is>
      </c>
      <c r="E118" s="2" t="inlineStr"/>
      <c r="F118" s="2" t="inlineStr">
        <is>
          <t>'~13.7 heatwave days/yr global average in 2010s'</t>
        </is>
      </c>
      <c r="G118" s="2" t="n">
        <v>1</v>
      </c>
      <c r="H118" s="2" t="inlineStr"/>
      <c r="I118" s="2" t="inlineStr"/>
      <c r="J118" s="2" t="inlineStr"/>
      <c r="K118" s="6" t="inlineStr">
        <is>
          <t>no comparable value</t>
        </is>
      </c>
      <c r="L118" s="2" t="inlineStr">
        <is>
          <t>n/a</t>
        </is>
      </c>
      <c r="M118" s="2" t="inlineStr">
        <is>
          <t>high</t>
        </is>
      </c>
      <c r="N118" s="2" t="inlineStr">
        <is>
          <t>'~13.7 heatwave days/yr global average in 2010s'</t>
        </is>
      </c>
    </row>
    <row r="119">
      <c r="A119" s="4" t="inlineStr">
        <is>
          <t>6a. Cooling Model - Global</t>
        </is>
      </c>
      <c r="B119" s="2" t="inlineStr">
        <is>
          <t>A23 (6b); A32 (6c); G44</t>
        </is>
      </c>
      <c r="C119" s="2" t="inlineStr">
        <is>
          <t>REFERENCE AUDIT (cited in notes, NOT in References tab)</t>
        </is>
      </c>
      <c r="D119" s="2" t="inlineStr">
        <is>
          <t>(replaced by Burke 2015)</t>
        </is>
      </c>
      <c r="E119" s="2" t="inlineStr"/>
      <c r="F119" s="2" t="inlineStr">
        <is>
          <t>Kotz et al. 2024 (Nature) - noted as retracted</t>
        </is>
      </c>
      <c r="G119" s="2" t="n">
        <v>1</v>
      </c>
      <c r="H119" s="2" t="inlineStr"/>
      <c r="I119" s="2" t="inlineStr"/>
      <c r="J119" s="2" t="inlineStr"/>
      <c r="K119" s="2" t="inlineStr">
        <is>
          <t>definitional</t>
        </is>
      </c>
      <c r="L119" s="2" t="inlineStr">
        <is>
          <t>n/a</t>
        </is>
      </c>
      <c r="M119" s="2" t="inlineStr">
        <is>
          <t>high</t>
        </is>
      </c>
      <c r="N119" s="2" t="inlineStr">
        <is>
          <t>Kotz et al. 2024 (Nature) - noted as retracted</t>
        </is>
      </c>
    </row>
    <row r="120">
      <c r="A120" s="4" t="inlineStr">
        <is>
          <t>6a. Cooling Model - Global</t>
        </is>
      </c>
      <c r="B120" s="2" t="inlineStr">
        <is>
          <t>B16</t>
        </is>
      </c>
      <c r="C120" s="2" t="inlineStr">
        <is>
          <t>CESM2 emitted particle diameter</t>
        </is>
      </c>
      <c r="D120" s="2" t="n">
        <v>90</v>
      </c>
      <c r="E120" s="2" t="inlineStr">
        <is>
          <t>nm</t>
        </is>
      </c>
      <c r="F120" s="2" t="inlineStr">
        <is>
          <t>Hirasawa 2026, J. Climate (90 nm / 172 nm)</t>
        </is>
      </c>
      <c r="G120" s="2" t="n">
        <v>2</v>
      </c>
      <c r="H120" s="2" t="n">
        <v>67.59999999999999</v>
      </c>
      <c r="I120" s="2" t="n">
        <v>94.2</v>
      </c>
      <c r="J120" s="2" t="inlineStr">
        <is>
          <t>90 to 94.2</t>
        </is>
      </c>
      <c r="K120" s="7" t="inlineStr">
        <is>
          <t>within</t>
        </is>
      </c>
      <c r="L120" s="2" t="inlineStr">
        <is>
          <t>neutral; no</t>
        </is>
      </c>
      <c r="M120" s="2" t="inlineStr">
        <is>
          <t>high</t>
        </is>
      </c>
      <c r="N120" s="2" t="inlineStr">
        <is>
          <t>Hirasawa et al. 2026 (EGUsphere preprint); Hirasawa et al. 2026 (J. Clim.)</t>
        </is>
      </c>
    </row>
    <row r="121">
      <c r="A121" s="4" t="inlineStr">
        <is>
          <t>6a. Cooling Model - Global</t>
        </is>
      </c>
      <c r="B121" s="2" t="inlineStr">
        <is>
          <t>B17</t>
        </is>
      </c>
      <c r="C121" s="2" t="inlineStr">
        <is>
          <t>CESM2-Ghosh emitted particle diameter</t>
        </is>
      </c>
      <c r="D121" s="2" t="n">
        <v>90</v>
      </c>
      <c r="E121" s="2" t="inlineStr">
        <is>
          <t>nm</t>
        </is>
      </c>
      <c r="F121" s="2" t="inlineStr">
        <is>
          <t>Hirasawa 2026, J. Climate (90 nm / 172 nm)</t>
        </is>
      </c>
      <c r="G121" s="2" t="n">
        <v>1</v>
      </c>
      <c r="H121" s="2" t="n">
        <v>67.59999999999999</v>
      </c>
      <c r="I121" s="2" t="n">
        <v>94.2</v>
      </c>
      <c r="J121" s="2" t="inlineStr">
        <is>
          <t>94.2 to 94.2</t>
        </is>
      </c>
      <c r="K121" s="7" t="inlineStr">
        <is>
          <t>within</t>
        </is>
      </c>
      <c r="L121" s="2" t="inlineStr">
        <is>
          <t>no</t>
        </is>
      </c>
      <c r="M121" s="2" t="inlineStr">
        <is>
          <t>high</t>
        </is>
      </c>
      <c r="N121" s="2" t="inlineStr">
        <is>
          <t>Hirasawa et al. 2026 (EGUsphere preprint)</t>
        </is>
      </c>
    </row>
    <row r="122">
      <c r="A122" s="4" t="inlineStr">
        <is>
          <t>6a. Cooling Model - Global</t>
        </is>
      </c>
      <c r="B122" s="2" t="inlineStr">
        <is>
          <t>B18</t>
        </is>
      </c>
      <c r="C122" s="2" t="inlineStr">
        <is>
          <t>E3SMv2 emitted particle diameter</t>
        </is>
      </c>
      <c r="D122" s="2" t="n">
        <v>90</v>
      </c>
      <c r="E122" s="2" t="inlineStr">
        <is>
          <t>nm</t>
        </is>
      </c>
      <c r="F122" s="2" t="inlineStr">
        <is>
          <t>Hirasawa 2026, J. Climate (90 nm / 172 nm)</t>
        </is>
      </c>
      <c r="G122" s="2" t="n">
        <v>1</v>
      </c>
      <c r="H122" s="2" t="n">
        <v>56.2</v>
      </c>
      <c r="I122" s="2" t="n">
        <v>94.2</v>
      </c>
      <c r="J122" s="2" t="inlineStr">
        <is>
          <t>94.2 to 94.2</t>
        </is>
      </c>
      <c r="K122" s="7" t="inlineStr">
        <is>
          <t>within</t>
        </is>
      </c>
      <c r="L122" s="2" t="inlineStr">
        <is>
          <t>no</t>
        </is>
      </c>
      <c r="M122" s="2" t="inlineStr">
        <is>
          <t>high</t>
        </is>
      </c>
      <c r="N122" s="2" t="inlineStr">
        <is>
          <t>Hirasawa et al. 2026 (EGUsphere preprint)</t>
        </is>
      </c>
    </row>
    <row r="123">
      <c r="A123" s="4" t="inlineStr">
        <is>
          <t>6a. Cooling Model - Global</t>
        </is>
      </c>
      <c r="B123" s="2" t="inlineStr">
        <is>
          <t>B19</t>
        </is>
      </c>
      <c r="C123" s="2" t="inlineStr">
        <is>
          <t>UKESM1.0 emitted particle diameter</t>
        </is>
      </c>
      <c r="D123" s="2" t="n">
        <v>172</v>
      </c>
      <c r="E123" s="2" t="inlineStr">
        <is>
          <t>nm</t>
        </is>
      </c>
      <c r="F123" s="2" t="inlineStr">
        <is>
          <t>Hirasawa 2026, J. Climate (90 nm / 172 nm)</t>
        </is>
      </c>
      <c r="G123" s="2" t="n">
        <v>1</v>
      </c>
      <c r="H123" s="2" t="n">
        <v>145</v>
      </c>
      <c r="I123" s="2" t="n">
        <v>171.8</v>
      </c>
      <c r="J123" s="2" t="inlineStr">
        <is>
          <t>171.8 to 171.8</t>
        </is>
      </c>
      <c r="K123" s="7" t="inlineStr">
        <is>
          <t>within</t>
        </is>
      </c>
      <c r="L123" s="2" t="inlineStr">
        <is>
          <t>neutral</t>
        </is>
      </c>
      <c r="M123" s="2" t="inlineStr">
        <is>
          <t>high</t>
        </is>
      </c>
      <c r="N123" s="2" t="inlineStr">
        <is>
          <t>Hirasawa et al. 2026 (EGUsphere preprint)</t>
        </is>
      </c>
    </row>
    <row r="124">
      <c r="A124" s="4" t="inlineStr">
        <is>
          <t>6a. Cooling Model - Global</t>
        </is>
      </c>
      <c r="B124" s="2" t="inlineStr">
        <is>
          <t>B25</t>
        </is>
      </c>
      <c r="C124" s="2" t="inlineStr">
        <is>
          <t>CESM2 implied forcing efficiency</t>
        </is>
      </c>
      <c r="D124" s="2" t="n">
        <v>0.24</v>
      </c>
      <c r="E124" s="2" t="inlineStr">
        <is>
          <t>W/m2 per Tg/yr</t>
        </is>
      </c>
      <c r="F124" s="2" t="inlineStr">
        <is>
          <t>Rasch 2024 nominal (derived in workbook)</t>
        </is>
      </c>
      <c r="G124" s="2" t="n">
        <v>1</v>
      </c>
      <c r="H124" s="2" t="n">
        <v>0.0209</v>
      </c>
      <c r="I124" s="2" t="n">
        <v>0.277</v>
      </c>
      <c r="J124" s="2" t="inlineStr">
        <is>
          <t>0.0452 to 0.0452</t>
        </is>
      </c>
      <c r="K124" s="7" t="inlineStr">
        <is>
          <t>within</t>
        </is>
      </c>
      <c r="L124" s="2" t="inlineStr">
        <is>
          <t>yes</t>
        </is>
      </c>
      <c r="M124" s="2" t="inlineStr">
        <is>
          <t>high</t>
        </is>
      </c>
      <c r="N124" s="2" t="inlineStr">
        <is>
          <t>Hirasawa et al. 2026 (EGUsphere preprint)</t>
        </is>
      </c>
    </row>
    <row r="125">
      <c r="A125" s="4" t="inlineStr">
        <is>
          <t>6a. Cooling Model - Global</t>
        </is>
      </c>
      <c r="B125" s="2" t="inlineStr">
        <is>
          <t>B25:B27</t>
        </is>
      </c>
      <c r="C125" s="2" t="inlineStr">
        <is>
          <t>ESM forcing efficiency (other MCB ensembles)</t>
        </is>
      </c>
      <c r="D125" s="2" t="n"/>
      <c r="E125" s="2" t="inlineStr">
        <is>
          <t>W/m2 per Tg/yr</t>
        </is>
      </c>
      <c r="F125" s="2" t="inlineStr"/>
      <c r="G125" s="2" t="n">
        <v>4</v>
      </c>
      <c r="H125" s="2" t="n">
        <v>0.0034</v>
      </c>
      <c r="I125" s="2" t="n">
        <v>0.01</v>
      </c>
      <c r="J125" s="2" t="inlineStr">
        <is>
          <t>0.008 to 0.008</t>
        </is>
      </c>
      <c r="K125" s="6" t="inlineStr">
        <is>
          <t>no comparable value</t>
        </is>
      </c>
      <c r="L125" s="2" t="inlineStr">
        <is>
          <t>n/a</t>
        </is>
      </c>
      <c r="M125" s="2" t="inlineStr">
        <is>
          <t>high; medium</t>
        </is>
      </c>
      <c r="N125" s="2" t="inlineStr">
        <is>
          <t>Ahlm et al. 2017; Haywood et al. 2023; Jones, Haywood &amp; Boucher 2009; Stuart et al. 2013</t>
        </is>
      </c>
    </row>
    <row r="126">
      <c r="A126" s="4" t="inlineStr">
        <is>
          <t>6a. Cooling Model - Global</t>
        </is>
      </c>
      <c r="B126" s="2" t="inlineStr">
        <is>
          <t>B26</t>
        </is>
      </c>
      <c r="C126" s="2" t="inlineStr">
        <is>
          <t>E3SMv2 implied forcing efficiency</t>
        </is>
      </c>
      <c r="D126" s="2" t="n">
        <v>0.0364</v>
      </c>
      <c r="E126" s="2" t="inlineStr">
        <is>
          <t>W/m2 per Tg/yr</t>
        </is>
      </c>
      <c r="F126" s="2" t="inlineStr">
        <is>
          <t>Rasch 2024 nominal (derived in workbook)</t>
        </is>
      </c>
      <c r="G126" s="2" t="n">
        <v>1</v>
      </c>
      <c r="H126" s="2" t="n">
        <v>0.0209</v>
      </c>
      <c r="I126" s="2" t="n">
        <v>0.277</v>
      </c>
      <c r="J126" s="2" t="inlineStr">
        <is>
          <t>0.0452 to 0.0452</t>
        </is>
      </c>
      <c r="K126" s="7" t="inlineStr">
        <is>
          <t>within</t>
        </is>
      </c>
      <c r="L126" s="2" t="inlineStr">
        <is>
          <t>yes</t>
        </is>
      </c>
      <c r="M126" s="2" t="inlineStr">
        <is>
          <t>high</t>
        </is>
      </c>
      <c r="N126" s="2" t="inlineStr">
        <is>
          <t>Hirasawa et al. 2026 (EGUsphere preprint)</t>
        </is>
      </c>
    </row>
    <row r="127">
      <c r="A127" s="4" t="inlineStr">
        <is>
          <t>6a. Cooling Model - Global</t>
        </is>
      </c>
      <c r="B127" s="2" t="inlineStr">
        <is>
          <t>B27</t>
        </is>
      </c>
      <c r="C127" s="2" t="inlineStr">
        <is>
          <t>UKESM1.0 implied forcing efficiency</t>
        </is>
      </c>
      <c r="D127" s="2" t="n">
        <v>0.012</v>
      </c>
      <c r="E127" s="2" t="inlineStr">
        <is>
          <t>W/m2 per Tg/yr</t>
        </is>
      </c>
      <c r="F127" s="2" t="inlineStr">
        <is>
          <t>Rasch 2024 nominal (derived in workbook)</t>
        </is>
      </c>
      <c r="G127" s="2" t="n">
        <v>1</v>
      </c>
      <c r="H127" s="2" t="n">
        <v>0.0209</v>
      </c>
      <c r="I127" s="2" t="n">
        <v>0.277</v>
      </c>
      <c r="J127" s="2" t="inlineStr">
        <is>
          <t>0.0452 to 0.0452</t>
        </is>
      </c>
      <c r="K127" s="7" t="inlineStr">
        <is>
          <t>within</t>
        </is>
      </c>
      <c r="L127" s="2" t="inlineStr">
        <is>
          <t>no</t>
        </is>
      </c>
      <c r="M127" s="2" t="inlineStr">
        <is>
          <t>high</t>
        </is>
      </c>
      <c r="N127" s="2" t="inlineStr">
        <is>
          <t>Hirasawa et al. 2026 (EGUsphere preprint)</t>
        </is>
      </c>
    </row>
    <row r="128">
      <c r="A128" s="4" t="inlineStr">
        <is>
          <t>6a. Cooling Model - Global</t>
        </is>
      </c>
      <c r="B128" s="2" t="inlineStr">
        <is>
          <t>B30</t>
        </is>
      </c>
      <c r="C128" s="2" t="inlineStr">
        <is>
          <t>Targeted spraying bonus</t>
        </is>
      </c>
      <c r="D128" s="2" t="n">
        <v>1</v>
      </c>
      <c r="E128" s="2" t="inlineStr">
        <is>
          <t>fraction</t>
        </is>
      </c>
      <c r="F128" s="2" t="inlineStr">
        <is>
          <t>Structural default (neutral)</t>
        </is>
      </c>
      <c r="G128" s="2" t="n">
        <v>1</v>
      </c>
      <c r="H128" s="2" t="n">
        <v>1</v>
      </c>
      <c r="I128" s="2" t="n">
        <v>2.06</v>
      </c>
      <c r="J128" s="2" t="inlineStr"/>
      <c r="K128" s="7" t="inlineStr">
        <is>
          <t>within</t>
        </is>
      </c>
      <c r="L128" s="2" t="inlineStr">
        <is>
          <t>no</t>
        </is>
      </c>
      <c r="M128" s="2" t="inlineStr">
        <is>
          <t>medium</t>
        </is>
      </c>
      <c r="N128" s="2" t="inlineStr">
        <is>
          <t>Wood 2021</t>
        </is>
      </c>
    </row>
    <row r="129">
      <c r="A129" s="4" t="inlineStr">
        <is>
          <t>6a. Cooling Model - Global</t>
        </is>
      </c>
      <c r="B129" s="2" t="inlineStr">
        <is>
          <t>B31</t>
        </is>
      </c>
      <c r="C129" s="2" t="inlineStr">
        <is>
          <t>Target global cooling</t>
        </is>
      </c>
      <c r="D129" s="2" t="n">
        <v>1</v>
      </c>
      <c r="E129" s="2" t="inlineStr">
        <is>
          <t>K</t>
        </is>
      </c>
      <c r="F129" s="2" t="inlineStr">
        <is>
          <t>Structural default</t>
        </is>
      </c>
      <c r="G129" s="2" t="n">
        <v>0</v>
      </c>
      <c r="H129" s="2" t="inlineStr"/>
      <c r="I129" s="2" t="inlineStr"/>
      <c r="J129" s="2" t="inlineStr"/>
      <c r="K129" s="2" t="inlineStr">
        <is>
          <t>definitional</t>
        </is>
      </c>
      <c r="L129" s="2" t="inlineStr">
        <is>
          <t>n/a</t>
        </is>
      </c>
      <c r="M129" s="2" t="inlineStr">
        <is>
          <t>high</t>
        </is>
      </c>
      <c r="N129" s="2" t="inlineStr"/>
    </row>
    <row r="130">
      <c r="A130" s="4" t="inlineStr">
        <is>
          <t>6a. Cooling Model - Global</t>
        </is>
      </c>
      <c r="B130" s="2" t="inlineStr">
        <is>
          <t>B32</t>
        </is>
      </c>
      <c r="C130" s="2" t="inlineStr">
        <is>
          <t>Plume survival to cloud base (scenario)</t>
        </is>
      </c>
      <c r="D130" s="2" t="n">
        <v>0.3</v>
      </c>
      <c r="E130" s="2" t="inlineStr">
        <is>
          <t>fraction</t>
        </is>
      </c>
      <c r="F130" s="2" t="inlineStr">
        <is>
          <t>Same basis as tab 5a survival (Frontiers 2025 review; open gap)</t>
        </is>
      </c>
      <c r="G130" s="2" t="n">
        <v>2</v>
      </c>
      <c r="H130" s="2" t="n">
        <v>0.1</v>
      </c>
      <c r="I130" s="2" t="n">
        <v>0.9</v>
      </c>
      <c r="J130" s="2" t="inlineStr">
        <is>
          <t>0.5 to 0.5</t>
        </is>
      </c>
      <c r="K130" s="2" t="inlineStr">
        <is>
          <t>no comparable value; within</t>
        </is>
      </c>
      <c r="L130" s="2" t="inlineStr">
        <is>
          <t>no</t>
        </is>
      </c>
      <c r="M130" s="2" t="inlineStr">
        <is>
          <t>medium</t>
        </is>
      </c>
      <c r="N130" s="2" t="inlineStr">
        <is>
          <t>Stuart et al. 2013; Wood 2021</t>
        </is>
      </c>
    </row>
    <row r="131">
      <c r="A131" s="4" t="inlineStr">
        <is>
          <t>6a. Cooling Model - Global</t>
        </is>
      </c>
      <c r="B131" s="2" t="inlineStr">
        <is>
          <t>B34</t>
        </is>
      </c>
      <c r="C131" s="2" t="inlineStr">
        <is>
          <t>CESM2 midlatitude cooling efficiency used for tonnage</t>
        </is>
      </c>
      <c r="D131" s="2" t="n">
        <v>0.236</v>
      </c>
      <c r="E131" s="2" t="inlineStr">
        <is>
          <t>K per Tg/yr</t>
        </is>
      </c>
      <c r="F131" s="2" t="inlineStr">
        <is>
          <t>Hirasawa 2026 J. Clim. (via row 10-12)</t>
        </is>
      </c>
      <c r="G131" s="2" t="n">
        <v>1</v>
      </c>
      <c r="H131" s="2" t="n">
        <v>0.00754</v>
      </c>
      <c r="I131" s="2" t="n">
        <v>0.231</v>
      </c>
      <c r="J131" s="2" t="inlineStr">
        <is>
          <t>0.231 to 0.231</t>
        </is>
      </c>
      <c r="K131" s="5" t="inlineStr">
        <is>
          <t>above range</t>
        </is>
      </c>
      <c r="L131" s="2" t="inlineStr">
        <is>
          <t>yes</t>
        </is>
      </c>
      <c r="M131" s="2" t="inlineStr">
        <is>
          <t>high</t>
        </is>
      </c>
      <c r="N131" s="2" t="inlineStr">
        <is>
          <t>Hirasawa et al. 2026 (J. Clim.)</t>
        </is>
      </c>
    </row>
    <row r="132">
      <c r="A132" s="4" t="inlineStr">
        <is>
          <t>6a. Cooling Model - Global</t>
        </is>
      </c>
      <c r="B132" s="2" t="inlineStr">
        <is>
          <t>B36</t>
        </is>
      </c>
      <c r="C132" s="2" t="inlineStr">
        <is>
          <t>E3SMv2 midlatitude cooling efficiency used for tonnage</t>
        </is>
      </c>
      <c r="D132" s="2" t="n">
        <v>0.0372</v>
      </c>
      <c r="E132" s="2" t="inlineStr">
        <is>
          <t>K per Tg/yr</t>
        </is>
      </c>
      <c r="F132" s="2" t="inlineStr">
        <is>
          <t>Hirasawa 2026 J. Clim. (via row 10-12)</t>
        </is>
      </c>
      <c r="G132" s="2" t="n">
        <v>1</v>
      </c>
      <c r="H132" s="2" t="n">
        <v>0.00754</v>
      </c>
      <c r="I132" s="2" t="n">
        <v>0.231</v>
      </c>
      <c r="J132" s="2" t="inlineStr">
        <is>
          <t>0.0372 to 0.0372</t>
        </is>
      </c>
      <c r="K132" s="7" t="inlineStr">
        <is>
          <t>within</t>
        </is>
      </c>
      <c r="L132" s="2" t="inlineStr">
        <is>
          <t>neutral</t>
        </is>
      </c>
      <c r="M132" s="2" t="inlineStr">
        <is>
          <t>high</t>
        </is>
      </c>
      <c r="N132" s="2" t="inlineStr">
        <is>
          <t>Hirasawa et al. 2026 (J. Clim.)</t>
        </is>
      </c>
    </row>
    <row r="133">
      <c r="A133" s="4" t="inlineStr">
        <is>
          <t>6a. Cooling Model - Global</t>
        </is>
      </c>
      <c r="B133" s="2" t="inlineStr">
        <is>
          <t>B37</t>
        </is>
      </c>
      <c r="C133" s="2" t="inlineStr">
        <is>
          <t>UKESM1.0 midlatitude cooling efficiency used for tonnage</t>
        </is>
      </c>
      <c r="D133" s="2" t="n">
        <v>0.00754</v>
      </c>
      <c r="E133" s="2" t="inlineStr">
        <is>
          <t>K per Tg/yr</t>
        </is>
      </c>
      <c r="F133" s="2" t="inlineStr">
        <is>
          <t>Hirasawa 2026 J. Clim. (via row 10-12)</t>
        </is>
      </c>
      <c r="G133" s="2" t="n">
        <v>1</v>
      </c>
      <c r="H133" s="2" t="n">
        <v>0.00754</v>
      </c>
      <c r="I133" s="2" t="n">
        <v>0.231</v>
      </c>
      <c r="J133" s="2" t="inlineStr">
        <is>
          <t>0.00754 to 0.00754</t>
        </is>
      </c>
      <c r="K133" s="7" t="inlineStr">
        <is>
          <t>within</t>
        </is>
      </c>
      <c r="L133" s="2" t="inlineStr">
        <is>
          <t>neutral</t>
        </is>
      </c>
      <c r="M133" s="2" t="inlineStr">
        <is>
          <t>high</t>
        </is>
      </c>
      <c r="N133" s="2" t="inlineStr">
        <is>
          <t>Hirasawa et al. 2026 (J. Clim.)</t>
        </is>
      </c>
    </row>
    <row r="134">
      <c r="A134" s="4" t="inlineStr">
        <is>
          <t>6a. Cooling Model - Global</t>
        </is>
      </c>
      <c r="B134" s="2" t="inlineStr">
        <is>
          <t>B42</t>
        </is>
      </c>
      <c r="C134" s="2" t="inlineStr">
        <is>
          <t>Global GDP</t>
        </is>
      </c>
      <c r="D134" s="2" t="n">
        <v>110</v>
      </c>
      <c r="E134" s="2" t="inlineStr">
        <is>
          <t>$ trillion</t>
        </is>
      </c>
      <c r="F134" s="2" t="inlineStr">
        <is>
          <t>World GDP ~$110T (2025)</t>
        </is>
      </c>
      <c r="G134" s="2" t="n">
        <v>2</v>
      </c>
      <c r="H134" s="2" t="n">
        <v>107.35</v>
      </c>
      <c r="I134" s="2" t="n">
        <v>118.35</v>
      </c>
      <c r="J134" s="2" t="inlineStr">
        <is>
          <t>118.35 to 118.35</t>
        </is>
      </c>
      <c r="K134" s="5" t="inlineStr">
        <is>
          <t>below range</t>
        </is>
      </c>
      <c r="L134" s="2" t="inlineStr">
        <is>
          <t>no</t>
        </is>
      </c>
      <c r="M134" s="2" t="inlineStr">
        <is>
          <t>high</t>
        </is>
      </c>
      <c r="N134" s="2" t="inlineStr">
        <is>
          <t>WB_GDP; World Bank 2026 (WDI)</t>
        </is>
      </c>
    </row>
    <row r="135">
      <c r="A135" s="4" t="inlineStr">
        <is>
          <t>6a. Cooling Model - Global</t>
        </is>
      </c>
      <c r="B135" s="2" t="inlineStr">
        <is>
          <t>B43</t>
        </is>
      </c>
      <c r="C135" s="2" t="inlineStr">
        <is>
          <t>Damage: low (DICE)</t>
        </is>
      </c>
      <c r="D135" s="2" t="n">
        <v>0.6</v>
      </c>
      <c r="E135" s="2" t="inlineStr">
        <is>
          <t>% GDP per degC</t>
        </is>
      </c>
      <c r="F135" s="2" t="inlineStr">
        <is>
          <t>DICE-2016R: 0.227% GDP per degC^2</t>
        </is>
      </c>
      <c r="G135" s="2" t="n">
        <v>2</v>
      </c>
      <c r="H135" s="2" t="n">
        <v>0.206</v>
      </c>
      <c r="I135" s="2" t="n">
        <v>0.68</v>
      </c>
      <c r="J135" s="2" t="inlineStr">
        <is>
          <t>0.227 to 0.59</t>
        </is>
      </c>
      <c r="K135" s="7" t="inlineStr">
        <is>
          <t>within</t>
        </is>
      </c>
      <c r="L135" s="2" t="inlineStr">
        <is>
          <t>neutral</t>
        </is>
      </c>
      <c r="M135" s="2" t="inlineStr">
        <is>
          <t>high</t>
        </is>
      </c>
      <c r="N135" s="2" t="inlineStr">
        <is>
          <t>Nordhaus 2016 (DICE-2016R2); Nordhaus16</t>
        </is>
      </c>
    </row>
    <row r="136">
      <c r="A136" s="4" t="inlineStr">
        <is>
          <t>6a. Cooling Model - Global</t>
        </is>
      </c>
      <c r="B136" s="2" t="inlineStr">
        <is>
          <t>B43; G43</t>
        </is>
      </c>
      <c r="C136" s="2" t="inlineStr">
        <is>
          <t>REFERENCE AUDIT (cited in notes, NOT in References tab)</t>
        </is>
      </c>
      <c r="D136" s="2" t="inlineStr">
        <is>
          <t>0.227% GDP per C^2 -&gt; 3.6% at 4 C; low damage 0.6%/C</t>
        </is>
      </c>
      <c r="E136" s="2" t="inlineStr"/>
      <c r="F136" s="2" t="inlineStr">
        <is>
          <t>Nordhaus 2017 NBER w22933 (DICE-2016R)</t>
        </is>
      </c>
      <c r="G136" s="2" t="n">
        <v>1</v>
      </c>
      <c r="H136" s="2" t="inlineStr"/>
      <c r="I136" s="2" t="inlineStr"/>
      <c r="J136" s="2" t="inlineStr"/>
      <c r="K136" s="7" t="inlineStr">
        <is>
          <t>within</t>
        </is>
      </c>
      <c r="L136" s="2" t="inlineStr">
        <is>
          <t>neutral</t>
        </is>
      </c>
      <c r="M136" s="2" t="inlineStr">
        <is>
          <t>high</t>
        </is>
      </c>
      <c r="N136" s="2" t="inlineStr">
        <is>
          <t>Nordhaus 2017 NBER w22933 (DICE-2016R)</t>
        </is>
      </c>
    </row>
    <row r="137">
      <c r="A137" s="4" t="inlineStr">
        <is>
          <t>6a. Cooling Model - Global</t>
        </is>
      </c>
      <c r="B137" s="2" t="inlineStr">
        <is>
          <t>B44</t>
        </is>
      </c>
      <c r="C137" s="2" t="inlineStr">
        <is>
          <t>Damage: central (Burke 2015 anchor)</t>
        </is>
      </c>
      <c r="D137" s="2" t="n">
        <v>3.3</v>
      </c>
      <c r="E137" s="2" t="inlineStr">
        <is>
          <t>% GDP per degC</t>
        </is>
      </c>
      <c r="F137" s="2" t="inlineStr">
        <is>
          <t>Burke 2015: ~23% GDP/capita at ~3.7C (~6%/C)</t>
        </is>
      </c>
      <c r="G137" s="2" t="n">
        <v>6</v>
      </c>
      <c r="H137" s="2" t="n">
        <v>2</v>
      </c>
      <c r="I137" s="2" t="n">
        <v>4</v>
      </c>
      <c r="J137" s="2" t="inlineStr">
        <is>
          <t>3 to 6.2</t>
        </is>
      </c>
      <c r="K137" s="2" t="inlineStr">
        <is>
          <t>below range; no comparable value; within</t>
        </is>
      </c>
      <c r="L137" s="2" t="inlineStr">
        <is>
          <t>n/a; neutral; no</t>
        </is>
      </c>
      <c r="M137" s="2" t="inlineStr">
        <is>
          <t>high; low; medium</t>
        </is>
      </c>
      <c r="N137" s="2" t="inlineStr">
        <is>
          <t>Burke et al. 2015; Burke15; HS17; KW20; Kotz24; Tol24</t>
        </is>
      </c>
    </row>
    <row r="138">
      <c r="A138" s="4" t="inlineStr">
        <is>
          <t>6a. Cooling Model - Global</t>
        </is>
      </c>
      <c r="B138" s="2" t="inlineStr">
        <is>
          <t>B45</t>
        </is>
      </c>
      <c r="C138" s="2" t="inlineStr">
        <is>
          <t>Damage: high (Bilal-Kanzig)</t>
        </is>
      </c>
      <c r="D138" s="2" t="n">
        <v>12</v>
      </c>
      <c r="E138" s="2" t="inlineStr">
        <is>
          <t>% GDP per degC</t>
        </is>
      </c>
      <c r="F138" s="2" t="inlineStr">
        <is>
          <t>Bilal &amp; Kanzig 2024 (w32450): 12% GDP per degC</t>
        </is>
      </c>
      <c r="G138" s="2" t="n">
        <v>2</v>
      </c>
      <c r="H138" s="2" t="n">
        <v>6</v>
      </c>
      <c r="I138" s="2" t="n">
        <v>22</v>
      </c>
      <c r="J138" s="2" t="inlineStr">
        <is>
          <t>14 to 20</t>
        </is>
      </c>
      <c r="K138" s="2" t="inlineStr">
        <is>
          <t>below range; no comparable value</t>
        </is>
      </c>
      <c r="L138" s="2" t="inlineStr">
        <is>
          <t>no; yes</t>
        </is>
      </c>
      <c r="M138" s="2" t="inlineStr">
        <is>
          <t>high; medium</t>
        </is>
      </c>
      <c r="N138" s="2" t="inlineStr">
        <is>
          <t>BK24; Bilal &amp; Kanzig 2024 (rev. 2026)</t>
        </is>
      </c>
    </row>
    <row r="139">
      <c r="A139" s="4" t="inlineStr">
        <is>
          <t>6a. Cooling Model - Global</t>
        </is>
      </c>
      <c r="B139" s="2" t="inlineStr">
        <is>
          <t>B45; G45; A22/A45</t>
        </is>
      </c>
      <c r="C139" s="2" t="inlineStr">
        <is>
          <t>REFERENCE AUDIT (cited in notes, NOT in References tab)</t>
        </is>
      </c>
      <c r="D139" s="2" t="inlineStr">
        <is>
          <t>12% GDP per C (high damage)</t>
        </is>
      </c>
      <c r="E139" s="2" t="inlineStr"/>
      <c r="F139" s="2" t="inlineStr">
        <is>
          <t>Bilal &amp; Kanzig 2024 NBER w32450</t>
        </is>
      </c>
      <c r="G139" s="2" t="n">
        <v>1</v>
      </c>
      <c r="H139" s="2" t="inlineStr"/>
      <c r="I139" s="2" t="inlineStr"/>
      <c r="J139" s="2" t="inlineStr"/>
      <c r="K139" s="5" t="inlineStr">
        <is>
          <t>below range</t>
        </is>
      </c>
      <c r="L139" s="2" t="inlineStr">
        <is>
          <t>no</t>
        </is>
      </c>
      <c r="M139" s="2" t="inlineStr">
        <is>
          <t>medium</t>
        </is>
      </c>
      <c r="N139" s="2" t="inlineStr">
        <is>
          <t>Bilal &amp; Kanzig 2024 NBER w32450</t>
        </is>
      </c>
    </row>
    <row r="140">
      <c r="A140" s="4" t="inlineStr">
        <is>
          <t>6a. Cooling Model - Global</t>
        </is>
      </c>
      <c r="B140" s="2" t="inlineStr">
        <is>
          <t>C10</t>
        </is>
      </c>
      <c r="C140" s="2" t="inlineStr">
        <is>
          <t>Emission rate, Midlatitude (5 regions), CESM2</t>
        </is>
      </c>
      <c r="D140" s="2" t="n">
        <v>12.5</v>
      </c>
      <c r="E140" s="2" t="inlineStr">
        <is>
          <t>Tg/yr</t>
        </is>
      </c>
      <c r="F140" s="2" t="inlineStr">
        <is>
          <t>Hirasawa et al. 2026, J. Climate 39(2): 14 regions, 3 models, equal-forcing emissions</t>
        </is>
      </c>
      <c r="G140" s="2" t="n">
        <v>1</v>
      </c>
      <c r="H140" s="2" t="inlineStr"/>
      <c r="I140" s="2" t="inlineStr"/>
      <c r="J140" s="2" t="inlineStr">
        <is>
          <t>12.5 to 12.5</t>
        </is>
      </c>
      <c r="K140" s="7" t="inlineStr">
        <is>
          <t>within</t>
        </is>
      </c>
      <c r="L140" s="2" t="inlineStr">
        <is>
          <t>neutral</t>
        </is>
      </c>
      <c r="M140" s="2" t="inlineStr">
        <is>
          <t>high</t>
        </is>
      </c>
      <c r="N140" s="2" t="inlineStr">
        <is>
          <t>Hirasawa et al. 2026 (J. Clim.)</t>
        </is>
      </c>
    </row>
    <row r="141">
      <c r="A141" s="4" t="inlineStr">
        <is>
          <t>6a. Cooling Model - Global</t>
        </is>
      </c>
      <c r="B141" s="2" t="inlineStr">
        <is>
          <t>C11</t>
        </is>
      </c>
      <c r="C141" s="2" t="inlineStr">
        <is>
          <t>Emission rate, Midlatitude (5 regions), E3SMv2</t>
        </is>
      </c>
      <c r="D141" s="2" t="n">
        <v>82.5</v>
      </c>
      <c r="E141" s="2" t="inlineStr">
        <is>
          <t>Tg/yr</t>
        </is>
      </c>
      <c r="F141" s="2" t="inlineStr">
        <is>
          <t>Hirasawa et al. 2026, J. Climate 39(2): 14 regions, 3 models, equal-forcing emissions</t>
        </is>
      </c>
      <c r="G141" s="2" t="n">
        <v>1</v>
      </c>
      <c r="H141" s="2" t="inlineStr"/>
      <c r="I141" s="2" t="inlineStr"/>
      <c r="J141" s="2" t="inlineStr">
        <is>
          <t>82.5 to 82.5</t>
        </is>
      </c>
      <c r="K141" s="7" t="inlineStr">
        <is>
          <t>within</t>
        </is>
      </c>
      <c r="L141" s="2" t="inlineStr">
        <is>
          <t>neutral</t>
        </is>
      </c>
      <c r="M141" s="2" t="inlineStr">
        <is>
          <t>high</t>
        </is>
      </c>
      <c r="N141" s="2" t="inlineStr">
        <is>
          <t>Hirasawa et al. 2026 (J. Clim.)</t>
        </is>
      </c>
    </row>
    <row r="142">
      <c r="A142" s="4" t="inlineStr">
        <is>
          <t>6a. Cooling Model - Global</t>
        </is>
      </c>
      <c r="B142" s="2" t="inlineStr">
        <is>
          <t>C12</t>
        </is>
      </c>
      <c r="C142" s="2" t="inlineStr">
        <is>
          <t>Emission rate, Midlatitude (5 regions), UKESM1.0</t>
        </is>
      </c>
      <c r="D142" s="2" t="n">
        <v>250</v>
      </c>
      <c r="E142" s="2" t="inlineStr">
        <is>
          <t>Tg/yr</t>
        </is>
      </c>
      <c r="F142" s="2" t="inlineStr">
        <is>
          <t>Hirasawa et al. 2026, J. Climate 39(2): 14 regions, 3 models, equal-forcing emissions</t>
        </is>
      </c>
      <c r="G142" s="2" t="n">
        <v>1</v>
      </c>
      <c r="H142" s="2" t="inlineStr"/>
      <c r="I142" s="2" t="inlineStr"/>
      <c r="J142" s="2" t="inlineStr">
        <is>
          <t>250 to 250</t>
        </is>
      </c>
      <c r="K142" s="7" t="inlineStr">
        <is>
          <t>within</t>
        </is>
      </c>
      <c r="L142" s="2" t="inlineStr">
        <is>
          <t>neutral</t>
        </is>
      </c>
      <c r="M142" s="2" t="inlineStr">
        <is>
          <t>high</t>
        </is>
      </c>
      <c r="N142" s="2" t="inlineStr">
        <is>
          <t>Hirasawa et al. 2026 (J. Clim.)</t>
        </is>
      </c>
    </row>
    <row r="143">
      <c r="A143" s="4" t="inlineStr">
        <is>
          <t>6a. Cooling Model - Global</t>
        </is>
      </c>
      <c r="B143" s="2" t="inlineStr">
        <is>
          <t>C7</t>
        </is>
      </c>
      <c r="C143" s="2" t="inlineStr">
        <is>
          <t>Emission rate, Subtropical (3 regions), CESM2</t>
        </is>
      </c>
      <c r="D143" s="2" t="n">
        <v>7.5</v>
      </c>
      <c r="E143" s="2" t="inlineStr">
        <is>
          <t>Tg/yr</t>
        </is>
      </c>
      <c r="F143" s="2" t="inlineStr">
        <is>
          <t>Hirasawa et al. 2026, J. Climate 39(2): 14 regions, 3 models, equal-forcing emissions</t>
        </is>
      </c>
      <c r="G143" s="2" t="n">
        <v>2</v>
      </c>
      <c r="H143" s="2" t="inlineStr"/>
      <c r="I143" s="2" t="inlineStr"/>
      <c r="J143" s="2" t="inlineStr">
        <is>
          <t>7.5 to 7.5</t>
        </is>
      </c>
      <c r="K143" s="7" t="inlineStr">
        <is>
          <t>within</t>
        </is>
      </c>
      <c r="L143" s="2" t="inlineStr">
        <is>
          <t>neutral</t>
        </is>
      </c>
      <c r="M143" s="2" t="inlineStr">
        <is>
          <t>high</t>
        </is>
      </c>
      <c r="N143" s="2" t="inlineStr">
        <is>
          <t>Hirasawa et al. 2026 (J. Clim.); Rasch et al. 2024</t>
        </is>
      </c>
    </row>
    <row r="144">
      <c r="A144" s="4" t="inlineStr">
        <is>
          <t>6a. Cooling Model - Global</t>
        </is>
      </c>
      <c r="B144" s="2" t="inlineStr">
        <is>
          <t>C8</t>
        </is>
      </c>
      <c r="C144" s="2" t="inlineStr">
        <is>
          <t>Emission rate, Subtropical (3 regions), E3SMv2</t>
        </is>
      </c>
      <c r="D144" s="2" t="n">
        <v>49.5</v>
      </c>
      <c r="E144" s="2" t="inlineStr">
        <is>
          <t>Tg/yr</t>
        </is>
      </c>
      <c r="F144" s="2" t="inlineStr">
        <is>
          <t>Hirasawa et al. 2026, J. Climate 39(2): 14 regions, 3 models, equal-forcing emissions</t>
        </is>
      </c>
      <c r="G144" s="2" t="n">
        <v>1</v>
      </c>
      <c r="H144" s="2" t="inlineStr"/>
      <c r="I144" s="2" t="inlineStr"/>
      <c r="J144" s="2" t="inlineStr">
        <is>
          <t>49.5 to 49.5</t>
        </is>
      </c>
      <c r="K144" s="7" t="inlineStr">
        <is>
          <t>within</t>
        </is>
      </c>
      <c r="L144" s="2" t="inlineStr">
        <is>
          <t>neutral</t>
        </is>
      </c>
      <c r="M144" s="2" t="inlineStr">
        <is>
          <t>high</t>
        </is>
      </c>
      <c r="N144" s="2" t="inlineStr">
        <is>
          <t>Hirasawa et al. 2026 (J. Clim.)</t>
        </is>
      </c>
    </row>
    <row r="145">
      <c r="A145" s="4" t="inlineStr">
        <is>
          <t>6a. Cooling Model - Global</t>
        </is>
      </c>
      <c r="B145" s="2" t="inlineStr">
        <is>
          <t>C9</t>
        </is>
      </c>
      <c r="C145" s="2" t="inlineStr">
        <is>
          <t>Emission rate, Subtropical (3 regions), UKESM1.0</t>
        </is>
      </c>
      <c r="D145" s="2" t="n">
        <v>150</v>
      </c>
      <c r="E145" s="2" t="inlineStr">
        <is>
          <t>Tg/yr</t>
        </is>
      </c>
      <c r="F145" s="2" t="inlineStr">
        <is>
          <t>Hirasawa et al. 2026, J. Climate 39(2): 14 regions, 3 models, equal-forcing emissions</t>
        </is>
      </c>
      <c r="G145" s="2" t="n">
        <v>1</v>
      </c>
      <c r="H145" s="2" t="inlineStr"/>
      <c r="I145" s="2" t="inlineStr"/>
      <c r="J145" s="2" t="inlineStr">
        <is>
          <t>150 to 150</t>
        </is>
      </c>
      <c r="K145" s="7" t="inlineStr">
        <is>
          <t>within</t>
        </is>
      </c>
      <c r="L145" s="2" t="inlineStr">
        <is>
          <t>neutral</t>
        </is>
      </c>
      <c r="M145" s="2" t="inlineStr">
        <is>
          <t>high</t>
        </is>
      </c>
      <c r="N145" s="2" t="inlineStr">
        <is>
          <t>Hirasawa et al. 2026 (J. Clim.)</t>
        </is>
      </c>
    </row>
    <row r="146">
      <c r="A146" s="4" t="inlineStr">
        <is>
          <t>6a. Cooling Model - Global</t>
        </is>
      </c>
      <c r="B146" s="2" t="inlineStr">
        <is>
          <t>D13</t>
        </is>
      </c>
      <c r="C146" s="2" t="inlineStr">
        <is>
          <t>CESM2-Ghosh cooling scale factor (12.9/7.21 = 1.79x)</t>
        </is>
      </c>
      <c r="D146" s="2" t="n">
        <v>1.789</v>
      </c>
      <c r="E146" s="2" t="inlineStr">
        <is>
          <t>x</t>
        </is>
      </c>
      <c r="F146" s="2" t="inlineStr">
        <is>
          <t>Scaled from CESM2 by salt needed for -2 W/m2 (Hirasawa 2026 preprint Table 2)</t>
        </is>
      </c>
      <c r="G146" s="2" t="n">
        <v>1</v>
      </c>
      <c r="H146" s="2" t="n">
        <v>1.275</v>
      </c>
      <c r="I146" s="2" t="n">
        <v>1.789</v>
      </c>
      <c r="J146" s="2" t="inlineStr">
        <is>
          <t>1.275 to 1.275</t>
        </is>
      </c>
      <c r="K146" s="5" t="inlineStr">
        <is>
          <t>above range</t>
        </is>
      </c>
      <c r="L146" s="2" t="inlineStr">
        <is>
          <t>yes</t>
        </is>
      </c>
      <c r="M146" s="2" t="inlineStr">
        <is>
          <t>high</t>
        </is>
      </c>
      <c r="N146" s="2" t="inlineStr">
        <is>
          <t>Hirasawa et al. 2026 (EGUsphere preprint)</t>
        </is>
      </c>
    </row>
    <row r="147">
      <c r="A147" s="4" t="inlineStr">
        <is>
          <t>6a. Cooling Model - Global</t>
        </is>
      </c>
      <c r="B147" s="2" t="inlineStr">
        <is>
          <t>D16</t>
        </is>
      </c>
      <c r="C147" s="2" t="inlineStr">
        <is>
          <t>CESM2 CCN fraction</t>
        </is>
      </c>
      <c r="D147" s="2" t="n">
        <v>0.157</v>
      </c>
      <c r="E147" s="2" t="inlineStr">
        <is>
          <t>fraction</t>
        </is>
      </c>
      <c r="F147" s="2" t="inlineStr">
        <is>
          <t>Model CCN fraction (Hirasawa 2026 preprint, Table 1)</t>
        </is>
      </c>
      <c r="G147" s="2" t="n">
        <v>1</v>
      </c>
      <c r="H147" s="2" t="n">
        <v>0.131</v>
      </c>
      <c r="I147" s="2" t="n">
        <v>0.805</v>
      </c>
      <c r="J147" s="2" t="inlineStr">
        <is>
          <t>0.157 to 0.157</t>
        </is>
      </c>
      <c r="K147" s="7" t="inlineStr">
        <is>
          <t>within</t>
        </is>
      </c>
      <c r="L147" s="2" t="inlineStr">
        <is>
          <t>neutral</t>
        </is>
      </c>
      <c r="M147" s="2" t="inlineStr">
        <is>
          <t>high</t>
        </is>
      </c>
      <c r="N147" s="2" t="inlineStr">
        <is>
          <t>Hirasawa et al. 2026 (EGUsphere preprint)</t>
        </is>
      </c>
    </row>
    <row r="148">
      <c r="A148" s="4" t="inlineStr">
        <is>
          <t>6a. Cooling Model - Global</t>
        </is>
      </c>
      <c r="B148" s="2" t="inlineStr">
        <is>
          <t>D17</t>
        </is>
      </c>
      <c r="C148" s="2" t="inlineStr">
        <is>
          <t>CESM2-Ghosh CCN fraction</t>
        </is>
      </c>
      <c r="D148" s="2" t="n">
        <v>0.157</v>
      </c>
      <c r="E148" s="2" t="inlineStr">
        <is>
          <t>fraction</t>
        </is>
      </c>
      <c r="F148" s="2" t="inlineStr">
        <is>
          <t>Model CCN fraction (Hirasawa 2026 preprint, Table 1)</t>
        </is>
      </c>
      <c r="G148" s="2" t="n">
        <v>1</v>
      </c>
      <c r="H148" s="2" t="n">
        <v>0.131</v>
      </c>
      <c r="I148" s="2" t="n">
        <v>0.805</v>
      </c>
      <c r="J148" s="2" t="inlineStr">
        <is>
          <t>0.157 to 0.157</t>
        </is>
      </c>
      <c r="K148" s="7" t="inlineStr">
        <is>
          <t>within</t>
        </is>
      </c>
      <c r="L148" s="2" t="inlineStr">
        <is>
          <t>neutral</t>
        </is>
      </c>
      <c r="M148" s="2" t="inlineStr">
        <is>
          <t>high</t>
        </is>
      </c>
      <c r="N148" s="2" t="inlineStr">
        <is>
          <t>Hirasawa et al. 2026 (EGUsphere preprint)</t>
        </is>
      </c>
    </row>
    <row r="149">
      <c r="A149" s="4" t="inlineStr">
        <is>
          <t>6a. Cooling Model - Global</t>
        </is>
      </c>
      <c r="B149" s="2" t="inlineStr">
        <is>
          <t>D18</t>
        </is>
      </c>
      <c r="C149" s="2" t="inlineStr">
        <is>
          <t>E3SMv2 CCN fraction</t>
        </is>
      </c>
      <c r="D149" s="2" t="n">
        <v>0.131</v>
      </c>
      <c r="E149" s="2" t="inlineStr">
        <is>
          <t>fraction</t>
        </is>
      </c>
      <c r="F149" s="2" t="inlineStr">
        <is>
          <t>Model CCN fraction (Hirasawa 2026 preprint, Table 1)</t>
        </is>
      </c>
      <c r="G149" s="2" t="n">
        <v>1</v>
      </c>
      <c r="H149" s="2" t="n">
        <v>0.131</v>
      </c>
      <c r="I149" s="2" t="n">
        <v>0.805</v>
      </c>
      <c r="J149" s="2" t="inlineStr">
        <is>
          <t>0.131 to 0.131</t>
        </is>
      </c>
      <c r="K149" s="7" t="inlineStr">
        <is>
          <t>within</t>
        </is>
      </c>
      <c r="L149" s="2" t="inlineStr">
        <is>
          <t>neutral</t>
        </is>
      </c>
      <c r="M149" s="2" t="inlineStr">
        <is>
          <t>high</t>
        </is>
      </c>
      <c r="N149" s="2" t="inlineStr">
        <is>
          <t>Hirasawa et al. 2026 (EGUsphere preprint)</t>
        </is>
      </c>
    </row>
    <row r="150">
      <c r="A150" s="4" t="inlineStr">
        <is>
          <t>6a. Cooling Model - Global</t>
        </is>
      </c>
      <c r="B150" s="2" t="inlineStr">
        <is>
          <t>D19</t>
        </is>
      </c>
      <c r="C150" s="2" t="inlineStr">
        <is>
          <t>UKESM1.0 CCN fraction</t>
        </is>
      </c>
      <c r="D150" s="2" t="n">
        <v>0.805</v>
      </c>
      <c r="E150" s="2" t="inlineStr">
        <is>
          <t>fraction</t>
        </is>
      </c>
      <c r="F150" s="2" t="inlineStr">
        <is>
          <t>Model CCN fraction (Hirasawa 2026 preprint, Table 1)</t>
        </is>
      </c>
      <c r="G150" s="2" t="n">
        <v>1</v>
      </c>
      <c r="H150" s="2" t="n">
        <v>0.131</v>
      </c>
      <c r="I150" s="2" t="n">
        <v>0.805</v>
      </c>
      <c r="J150" s="2" t="inlineStr">
        <is>
          <t>0.805 to 0.805</t>
        </is>
      </c>
      <c r="K150" s="7" t="inlineStr">
        <is>
          <t>within</t>
        </is>
      </c>
      <c r="L150" s="2" t="inlineStr">
        <is>
          <t>neutral</t>
        </is>
      </c>
      <c r="M150" s="2" t="inlineStr">
        <is>
          <t>high</t>
        </is>
      </c>
      <c r="N150" s="2" t="inlineStr">
        <is>
          <t>Hirasawa et al. 2026 (EGUsphere preprint)</t>
        </is>
      </c>
    </row>
    <row r="151">
      <c r="A151" s="4" t="inlineStr">
        <is>
          <t>6a. Cooling Model - Global</t>
        </is>
      </c>
      <c r="B151" s="2" t="inlineStr">
        <is>
          <t>D7:D12</t>
        </is>
      </c>
      <c r="C151" s="2" t="inlineStr">
        <is>
          <t>Implied cooling per unit ERF of the ESM runs</t>
        </is>
      </c>
      <c r="D151" s="2" t="n">
        <v>0.58</v>
      </c>
      <c r="E151" s="2" t="inlineStr">
        <is>
          <t>K per W/m2</t>
        </is>
      </c>
      <c r="F151" s="2" t="inlineStr">
        <is>
          <t>Derived from 6a D7 and Rasch 2024 forcing</t>
        </is>
      </c>
      <c r="G151" s="2" t="n">
        <v>3</v>
      </c>
      <c r="H151" s="2" t="n">
        <v>0.36</v>
      </c>
      <c r="I151" s="2" t="n">
        <v>4.8</v>
      </c>
      <c r="J151" s="2" t="inlineStr">
        <is>
          <t>0.46 to 3.7</t>
        </is>
      </c>
      <c r="K151" s="5" t="inlineStr">
        <is>
          <t>above range</t>
        </is>
      </c>
      <c r="L151" s="2" t="inlineStr">
        <is>
          <t>yes</t>
        </is>
      </c>
      <c r="M151" s="2" t="inlineStr">
        <is>
          <t>high; medium</t>
        </is>
      </c>
      <c r="N151" s="2" t="inlineStr">
        <is>
          <t>Forster et al. 2021 (IPCC AR6 WG1 Ch7); Meehl et al. 2020; Stjern et al. 2018</t>
        </is>
      </c>
    </row>
    <row r="152">
      <c r="A152" s="4" t="inlineStr">
        <is>
          <t>6a. Cooling Model - Global</t>
        </is>
      </c>
      <c r="B152" s="2" t="inlineStr">
        <is>
          <t>D8</t>
        </is>
      </c>
      <c r="C152" s="2" t="inlineStr">
        <is>
          <t>Implied cooling per unit ERF (E3SMv2 sensitivity)</t>
        </is>
      </c>
      <c r="D152" s="2" t="n">
        <v>0.64</v>
      </c>
      <c r="E152" s="2" t="inlineStr">
        <is>
          <t>K per W/m2</t>
        </is>
      </c>
      <c r="F152" s="2" t="inlineStr">
        <is>
          <t>Derived</t>
        </is>
      </c>
      <c r="G152" s="2" t="n">
        <v>1</v>
      </c>
      <c r="H152" s="2" t="inlineStr"/>
      <c r="I152" s="2" t="inlineStr"/>
      <c r="J152" s="2" t="inlineStr">
        <is>
          <t>4 to 4</t>
        </is>
      </c>
      <c r="K152" s="5" t="inlineStr">
        <is>
          <t>above range</t>
        </is>
      </c>
      <c r="L152" s="2" t="inlineStr">
        <is>
          <t>yes</t>
        </is>
      </c>
      <c r="M152" s="2" t="inlineStr">
        <is>
          <t>high</t>
        </is>
      </c>
      <c r="N152" s="2" t="inlineStr">
        <is>
          <t>Golaz et al. 2022</t>
        </is>
      </c>
    </row>
    <row r="153">
      <c r="A153" s="4" t="inlineStr">
        <is>
          <t>6a. Cooling Model - Global</t>
        </is>
      </c>
      <c r="B153" s="2" t="inlineStr">
        <is>
          <t>E10</t>
        </is>
      </c>
      <c r="C153" s="2" t="inlineStr">
        <is>
          <t>Cooling efficiency, Midlatitude, CESM2</t>
        </is>
      </c>
      <c r="D153" s="2" t="n">
        <v>-0.236</v>
      </c>
      <c r="E153" s="2" t="inlineStr">
        <is>
          <t>K per Tg/yr</t>
        </is>
      </c>
      <c r="F153" s="2" t="inlineStr">
        <is>
          <t>Hirasawa et al. 2026, J. Climate 39(2): 14 regions, 3 models, equal-forcing emissions</t>
        </is>
      </c>
      <c r="G153" s="2" t="n">
        <v>1</v>
      </c>
      <c r="H153" s="2" t="n">
        <v>-0.231</v>
      </c>
      <c r="I153" s="2" t="n">
        <v>-0.00754</v>
      </c>
      <c r="J153" s="2" t="inlineStr">
        <is>
          <t>-0.231 to -0.231</t>
        </is>
      </c>
      <c r="K153" s="5" t="inlineStr">
        <is>
          <t>above range</t>
        </is>
      </c>
      <c r="L153" s="2" t="inlineStr">
        <is>
          <t>yes</t>
        </is>
      </c>
      <c r="M153" s="2" t="inlineStr">
        <is>
          <t>high</t>
        </is>
      </c>
      <c r="N153" s="2" t="inlineStr">
        <is>
          <t>Hirasawa et al. 2026 (J. Clim.)</t>
        </is>
      </c>
    </row>
    <row r="154">
      <c r="A154" s="4" t="inlineStr">
        <is>
          <t>6a. Cooling Model - Global</t>
        </is>
      </c>
      <c r="B154" s="2" t="inlineStr">
        <is>
          <t>E11</t>
        </is>
      </c>
      <c r="C154" s="2" t="inlineStr">
        <is>
          <t>Cooling efficiency, Midlatitude, E3SMv2</t>
        </is>
      </c>
      <c r="D154" s="2" t="n">
        <v>-0.0372</v>
      </c>
      <c r="E154" s="2" t="inlineStr">
        <is>
          <t>K per Tg/yr</t>
        </is>
      </c>
      <c r="F154" s="2" t="inlineStr">
        <is>
          <t>Hirasawa et al. 2026, J. Climate 39(2): 14 regions, 3 models, equal-forcing emissions</t>
        </is>
      </c>
      <c r="G154" s="2" t="n">
        <v>1</v>
      </c>
      <c r="H154" s="2" t="n">
        <v>-0.231</v>
      </c>
      <c r="I154" s="2" t="n">
        <v>-0.00754</v>
      </c>
      <c r="J154" s="2" t="inlineStr">
        <is>
          <t>-0.0372 to -0.0372</t>
        </is>
      </c>
      <c r="K154" s="7" t="inlineStr">
        <is>
          <t>within</t>
        </is>
      </c>
      <c r="L154" s="2" t="inlineStr">
        <is>
          <t>neutral</t>
        </is>
      </c>
      <c r="M154" s="2" t="inlineStr">
        <is>
          <t>high</t>
        </is>
      </c>
      <c r="N154" s="2" t="inlineStr">
        <is>
          <t>Hirasawa et al. 2026 (J. Clim.)</t>
        </is>
      </c>
    </row>
    <row r="155">
      <c r="A155" s="4" t="inlineStr">
        <is>
          <t>6a. Cooling Model - Global</t>
        </is>
      </c>
      <c r="B155" s="2" t="inlineStr">
        <is>
          <t>E12</t>
        </is>
      </c>
      <c r="C155" s="2" t="inlineStr">
        <is>
          <t>Cooling efficiency, Midlatitude, UKESM1.0</t>
        </is>
      </c>
      <c r="D155" s="2" t="n">
        <v>-0.00754</v>
      </c>
      <c r="E155" s="2" t="inlineStr">
        <is>
          <t>K per Tg/yr</t>
        </is>
      </c>
      <c r="F155" s="2" t="inlineStr">
        <is>
          <t>Hirasawa et al. 2026, J. Climate 39(2): 14 regions, 3 models, equal-forcing emissions</t>
        </is>
      </c>
      <c r="G155" s="2" t="n">
        <v>1</v>
      </c>
      <c r="H155" s="2" t="n">
        <v>-0.231</v>
      </c>
      <c r="I155" s="2" t="n">
        <v>-0.00754</v>
      </c>
      <c r="J155" s="2" t="inlineStr">
        <is>
          <t>-0.00754 to -0.00754</t>
        </is>
      </c>
      <c r="K155" s="7" t="inlineStr">
        <is>
          <t>within</t>
        </is>
      </c>
      <c r="L155" s="2" t="inlineStr">
        <is>
          <t>neutral</t>
        </is>
      </c>
      <c r="M155" s="2" t="inlineStr">
        <is>
          <t>high</t>
        </is>
      </c>
      <c r="N155" s="2" t="inlineStr">
        <is>
          <t>Hirasawa et al. 2026 (J. Clim.)</t>
        </is>
      </c>
    </row>
    <row r="156">
      <c r="A156" s="4" t="inlineStr">
        <is>
          <t>6a. Cooling Model - Global</t>
        </is>
      </c>
      <c r="B156" s="2" t="inlineStr">
        <is>
          <t>E7</t>
        </is>
      </c>
      <c r="C156" s="2" t="inlineStr">
        <is>
          <t>Cooling efficiency, Subtropical, CESM2</t>
        </is>
      </c>
      <c r="D156" s="2" t="n">
        <v>-0.14</v>
      </c>
      <c r="E156" s="2" t="inlineStr">
        <is>
          <t>K per Tg/yr</t>
        </is>
      </c>
      <c r="F156" s="2" t="inlineStr">
        <is>
          <t>Hirasawa et al. 2026, J. Climate 39(2): 14 regions, 3 models, equal-forcing emissions</t>
        </is>
      </c>
      <c r="G156" s="2" t="n">
        <v>1</v>
      </c>
      <c r="H156" s="2" t="n">
        <v>-0.14</v>
      </c>
      <c r="I156" s="2" t="n">
        <v>-0.00756</v>
      </c>
      <c r="J156" s="2" t="inlineStr">
        <is>
          <t>-0.14 to -0.14</t>
        </is>
      </c>
      <c r="K156" s="7" t="inlineStr">
        <is>
          <t>within</t>
        </is>
      </c>
      <c r="L156" s="2" t="inlineStr">
        <is>
          <t>neutral</t>
        </is>
      </c>
      <c r="M156" s="2" t="inlineStr">
        <is>
          <t>high</t>
        </is>
      </c>
      <c r="N156" s="2" t="inlineStr">
        <is>
          <t>Hirasawa et al. 2026 (J. Clim.)</t>
        </is>
      </c>
    </row>
    <row r="157">
      <c r="A157" s="4" t="inlineStr">
        <is>
          <t>6a. Cooling Model - Global</t>
        </is>
      </c>
      <c r="B157" s="2" t="inlineStr">
        <is>
          <t>E8</t>
        </is>
      </c>
      <c r="C157" s="2" t="inlineStr">
        <is>
          <t>Cooling efficiency, Subtropical, E3SMv2</t>
        </is>
      </c>
      <c r="D157" s="2" t="n">
        <v>-0.0231</v>
      </c>
      <c r="E157" s="2" t="inlineStr">
        <is>
          <t>K per Tg/yr</t>
        </is>
      </c>
      <c r="F157" s="2" t="inlineStr">
        <is>
          <t>Hirasawa et al. 2026, J. Climate 39(2): 14 regions, 3 models, equal-forcing emissions</t>
        </is>
      </c>
      <c r="G157" s="2" t="n">
        <v>1</v>
      </c>
      <c r="H157" s="2" t="n">
        <v>-0.14</v>
      </c>
      <c r="I157" s="2" t="n">
        <v>-0.00756</v>
      </c>
      <c r="J157" s="2" t="inlineStr">
        <is>
          <t>-0.0231 to -0.0231</t>
        </is>
      </c>
      <c r="K157" s="7" t="inlineStr">
        <is>
          <t>within</t>
        </is>
      </c>
      <c r="L157" s="2" t="inlineStr">
        <is>
          <t>neutral</t>
        </is>
      </c>
      <c r="M157" s="2" t="inlineStr">
        <is>
          <t>high</t>
        </is>
      </c>
      <c r="N157" s="2" t="inlineStr">
        <is>
          <t>Hirasawa et al. 2026 (J. Clim.)</t>
        </is>
      </c>
    </row>
    <row r="158">
      <c r="A158" s="4" t="inlineStr">
        <is>
          <t>6a. Cooling Model - Global</t>
        </is>
      </c>
      <c r="B158" s="2" t="inlineStr">
        <is>
          <t>E9</t>
        </is>
      </c>
      <c r="C158" s="2" t="inlineStr">
        <is>
          <t>Cooling efficiency, Subtropical, UKESM1.0</t>
        </is>
      </c>
      <c r="D158" s="2" t="n">
        <v>-0.00756</v>
      </c>
      <c r="E158" s="2" t="inlineStr">
        <is>
          <t>K per Tg/yr</t>
        </is>
      </c>
      <c r="F158" s="2" t="inlineStr">
        <is>
          <t>Hirasawa et al. 2026, J. Climate 39(2): 14 regions, 3 models, equal-forcing emissions</t>
        </is>
      </c>
      <c r="G158" s="2" t="n">
        <v>1</v>
      </c>
      <c r="H158" s="2" t="n">
        <v>-0.14</v>
      </c>
      <c r="I158" s="2" t="n">
        <v>-0.00756</v>
      </c>
      <c r="J158" s="2" t="inlineStr">
        <is>
          <t>-0.00756 to -0.00756</t>
        </is>
      </c>
      <c r="K158" s="7" t="inlineStr">
        <is>
          <t>within</t>
        </is>
      </c>
      <c r="L158" s="2" t="inlineStr">
        <is>
          <t>neutral</t>
        </is>
      </c>
      <c r="M158" s="2" t="inlineStr">
        <is>
          <t>high</t>
        </is>
      </c>
      <c r="N158" s="2" t="inlineStr">
        <is>
          <t>Hirasawa et al. 2026 (J. Clim.)</t>
        </is>
      </c>
    </row>
    <row r="159">
      <c r="A159" s="4" t="inlineStr">
        <is>
          <t>6a. Cooling Model - Global</t>
        </is>
      </c>
      <c r="B159" s="2" t="inlineStr">
        <is>
          <t>G13</t>
        </is>
      </c>
      <c r="C159" s="2" t="inlineStr">
        <is>
          <t>REFERENCE AUDIT (cited in notes, NOT in References tab)</t>
        </is>
      </c>
      <c r="D159" s="2" t="inlineStr">
        <is>
          <t>CESM2-Ghosh activation scheme</t>
        </is>
      </c>
      <c r="E159" s="2" t="inlineStr"/>
      <c r="F159" s="2" t="inlineStr">
        <is>
          <t>Ghosh et al. 2025 (GMD)</t>
        </is>
      </c>
      <c r="G159" s="2" t="n">
        <v>1</v>
      </c>
      <c r="H159" s="2" t="inlineStr"/>
      <c r="I159" s="2" t="inlineStr"/>
      <c r="J159" s="2" t="inlineStr"/>
      <c r="K159" s="6" t="inlineStr">
        <is>
          <t>no comparable value</t>
        </is>
      </c>
      <c r="L159" s="2" t="inlineStr">
        <is>
          <t>n/a</t>
        </is>
      </c>
      <c r="M159" s="2" t="inlineStr">
        <is>
          <t>medium</t>
        </is>
      </c>
      <c r="N159" s="2" t="inlineStr">
        <is>
          <t>Ghosh et al. 2025 (GMD)</t>
        </is>
      </c>
    </row>
    <row r="160">
      <c r="A160" s="4" t="inlineStr">
        <is>
          <t>6a. Cooling Model - Global</t>
        </is>
      </c>
      <c r="B160" s="2" t="inlineStr">
        <is>
          <t>G44</t>
        </is>
      </c>
      <c r="C160" s="2" t="inlineStr">
        <is>
          <t>REFERENCE AUDIT (cited in notes, NOT in References tab)</t>
        </is>
      </c>
      <c r="D160" s="2" t="inlineStr">
        <is>
          <t>~2.5% GDP per C</t>
        </is>
      </c>
      <c r="E160" s="2" t="inlineStr"/>
      <c r="F160" s="2" t="inlineStr">
        <is>
          <t>Kahn et al. 2021</t>
        </is>
      </c>
      <c r="G160" s="2" t="n">
        <v>1</v>
      </c>
      <c r="H160" s="2" t="inlineStr"/>
      <c r="I160" s="2" t="inlineStr"/>
      <c r="J160" s="2" t="inlineStr"/>
      <c r="K160" s="6" t="inlineStr">
        <is>
          <t>no comparable value</t>
        </is>
      </c>
      <c r="L160" s="2" t="inlineStr">
        <is>
          <t>n/a</t>
        </is>
      </c>
      <c r="M160" s="2" t="inlineStr">
        <is>
          <t>low</t>
        </is>
      </c>
      <c r="N160" s="2" t="inlineStr">
        <is>
          <t>Kahn et al. 2021</t>
        </is>
      </c>
    </row>
    <row r="161">
      <c r="A161" s="4" t="inlineStr">
        <is>
          <t>6b. Benefit - Global - Vessel</t>
        </is>
      </c>
      <c r="B161" s="2" t="inlineStr">
        <is>
          <t>B16</t>
        </is>
      </c>
      <c r="C161" s="2" t="inlineStr">
        <is>
          <t>Global GDP</t>
        </is>
      </c>
      <c r="D161" s="2" t="n">
        <v>110</v>
      </c>
      <c r="E161" s="2" t="inlineStr">
        <is>
          <t>$ trillion</t>
        </is>
      </c>
      <c r="F161" s="2" t="inlineStr">
        <is>
          <t>World GDP ~$110T (2025).</t>
        </is>
      </c>
      <c r="G161" s="2" t="n">
        <v>1</v>
      </c>
      <c r="H161" s="2" t="n">
        <v>111.67</v>
      </c>
      <c r="I161" s="2" t="n">
        <v>118.35</v>
      </c>
      <c r="J161" s="2" t="inlineStr">
        <is>
          <t>118.35 to 118.35</t>
        </is>
      </c>
      <c r="K161" s="5" t="inlineStr">
        <is>
          <t>below range</t>
        </is>
      </c>
      <c r="L161" s="2" t="inlineStr">
        <is>
          <t>no</t>
        </is>
      </c>
      <c r="M161" s="2" t="inlineStr">
        <is>
          <t>high</t>
        </is>
      </c>
      <c r="N161" s="2" t="inlineStr">
        <is>
          <t>WB_GDP</t>
        </is>
      </c>
    </row>
    <row r="162">
      <c r="A162" s="4" t="inlineStr">
        <is>
          <t>6b. Benefit - Global - Vessel</t>
        </is>
      </c>
      <c r="B162" s="2" t="inlineStr">
        <is>
          <t>n/a</t>
        </is>
      </c>
      <c r="C162" s="2" t="inlineStr">
        <is>
          <t>Social cost of carbon (context; not used in workbook)</t>
        </is>
      </c>
      <c r="D162" s="2" t="inlineStr"/>
      <c r="E162" s="2" t="inlineStr">
        <is>
          <t>$/tCO2</t>
        </is>
      </c>
      <c r="F162" s="2" t="inlineStr"/>
      <c r="G162" s="2" t="n">
        <v>3</v>
      </c>
      <c r="H162" s="2" t="n">
        <v>14</v>
      </c>
      <c r="I162" s="2" t="n">
        <v>413</v>
      </c>
      <c r="J162" s="2" t="inlineStr">
        <is>
          <t>51 to 190</t>
        </is>
      </c>
      <c r="K162" s="6" t="inlineStr">
        <is>
          <t>no comparable value</t>
        </is>
      </c>
      <c r="L162" s="2" t="inlineStr">
        <is>
          <t>n/a</t>
        </is>
      </c>
      <c r="M162" s="2" t="inlineStr">
        <is>
          <t>high</t>
        </is>
      </c>
      <c r="N162" s="2" t="inlineStr">
        <is>
          <t>EPA23; IWG21; Rennert22</t>
        </is>
      </c>
    </row>
    <row r="163">
      <c r="A163" s="4" t="inlineStr">
        <is>
          <t>6c. Benefit - Global Piggyback</t>
        </is>
      </c>
      <c r="B163" s="2" t="inlineStr">
        <is>
          <t>B50</t>
        </is>
      </c>
      <c r="C163" s="2" t="inlineStr">
        <is>
          <t>Generator fuel rate</t>
        </is>
      </c>
      <c r="D163" s="2" t="n">
        <v>0.2</v>
      </c>
      <c r="E163" s="2" t="inlineStr">
        <is>
          <t>kg/kWh</t>
        </is>
      </c>
      <c r="F163" s="2" t="inlineStr">
        <is>
          <t>Own gensets ~200 g/kWh.</t>
        </is>
      </c>
      <c r="G163" s="2" t="n">
        <v>1</v>
      </c>
      <c r="H163" s="2" t="n">
        <v>0.156</v>
      </c>
      <c r="I163" s="2" t="n">
        <v>0.225</v>
      </c>
      <c r="J163" s="2" t="inlineStr">
        <is>
          <t>0.185 to 0.185</t>
        </is>
      </c>
      <c r="K163" s="7" t="inlineStr">
        <is>
          <t>within</t>
        </is>
      </c>
      <c r="L163" s="2" t="inlineStr">
        <is>
          <t>neutral</t>
        </is>
      </c>
      <c r="M163" s="2" t="inlineStr">
        <is>
          <t>high</t>
        </is>
      </c>
      <c r="N163" s="2" t="inlineStr">
        <is>
          <t>IMO4</t>
        </is>
      </c>
    </row>
    <row r="164">
      <c r="A164" s="4" t="inlineStr">
        <is>
          <t>6c. Benefit - Global Piggyback</t>
        </is>
      </c>
      <c r="B164" s="2" t="inlineStr">
        <is>
          <t>B52</t>
        </is>
      </c>
      <c r="C164" s="2" t="inlineStr">
        <is>
          <t>Fully cellular container ships (fleet count)</t>
        </is>
      </c>
      <c r="D164" s="2" t="n">
        <v>6706</v>
      </c>
      <c r="E164" s="2" t="inlineStr">
        <is>
          <t>ships</t>
        </is>
      </c>
      <c r="F164" s="2" t="inlineStr">
        <is>
          <t>Alphaliner Apr 2026 (6,706); MDS Transmodal Apr 2025 via UNCTAD RMT 2025 (6,033); Alphaliner Monthly Monitor Jul 2024 (6,206).</t>
        </is>
      </c>
      <c r="G164" s="2" t="n">
        <v>3</v>
      </c>
      <c r="H164" s="2" t="n">
        <v>6033</v>
      </c>
      <c r="I164" s="2" t="n">
        <v>7518</v>
      </c>
      <c r="J164" s="2" t="inlineStr">
        <is>
          <t>6033 to 6706</t>
        </is>
      </c>
      <c r="K164" s="7" t="inlineStr">
        <is>
          <t>within</t>
        </is>
      </c>
      <c r="L164" s="2" t="inlineStr">
        <is>
          <t>neutral</t>
        </is>
      </c>
      <c r="M164" s="2" t="inlineStr">
        <is>
          <t>high; medium</t>
        </is>
      </c>
      <c r="N164" s="2" t="inlineStr">
        <is>
          <t>Alphaliner 2026 (Global Fleet Snapshot, Mar 2026); Alphaliner26; UNCTAD RMT 2025</t>
        </is>
      </c>
    </row>
    <row r="165">
      <c r="A165" s="4" t="inlineStr">
        <is>
          <t>6c. Benefit - Global Piggyback</t>
        </is>
      </c>
      <c r="B165" s="2" t="inlineStr">
        <is>
          <t>B52:D54; A53</t>
        </is>
      </c>
      <c r="C165" s="2" t="inlineStr">
        <is>
          <t>REFERENCE AUDIT (cited in notes, NOT in References tab)</t>
        </is>
      </c>
      <c r="D165" s="2" t="inlineStr">
        <is>
          <t>6,706 ships; 6,033; 954 of 6,206 under 1,000 TEU; 85% &gt;=1,000 TEU; eligible = ROUND(6706*0.85)=5,700</t>
        </is>
      </c>
      <c r="E165" s="2" t="inlineStr"/>
      <c r="F165" s="2" t="inlineStr">
        <is>
          <t>Alphaliner Apr 2026 / Jul 2024; MDS Transmodal Apr 2025 via UNCTAD RMT 2025</t>
        </is>
      </c>
      <c r="G165" s="2" t="n">
        <v>1</v>
      </c>
      <c r="H165" s="2" t="inlineStr"/>
      <c r="I165" s="2" t="inlineStr"/>
      <c r="J165" s="2" t="inlineStr"/>
      <c r="K165" s="6" t="inlineStr">
        <is>
          <t>no comparable value</t>
        </is>
      </c>
      <c r="L165" s="2" t="inlineStr">
        <is>
          <t>neutral</t>
        </is>
      </c>
      <c r="M165" s="2" t="inlineStr">
        <is>
          <t>low</t>
        </is>
      </c>
      <c r="N165" s="2" t="inlineStr">
        <is>
          <t>Alphaliner Apr 2026 / Jul 2024; MDS Transmodal Apr 2025 via UNCTAD RMT 2025</t>
        </is>
      </c>
    </row>
    <row r="166">
      <c r="A166" s="4" t="inlineStr">
        <is>
          <t>6c. Benefit - Global Piggyback</t>
        </is>
      </c>
      <c r="B166" s="2" t="inlineStr">
        <is>
          <t>B54</t>
        </is>
      </c>
      <c r="C166" s="2" t="inlineStr">
        <is>
          <t>Eligible host ships (&gt;=1,000 TEU)</t>
        </is>
      </c>
      <c r="D166" s="2" t="n">
        <v>5700</v>
      </c>
      <c r="E166" s="2" t="inlineStr">
        <is>
          <t>ships</t>
        </is>
      </c>
      <c r="F166" s="2" t="inlineStr">
        <is>
          <t>D54 x B52.</t>
        </is>
      </c>
      <c r="G166" s="2" t="n">
        <v>1</v>
      </c>
      <c r="H166" s="2" t="n">
        <v>5104</v>
      </c>
      <c r="I166" s="2" t="n">
        <v>5700</v>
      </c>
      <c r="J166" s="2" t="inlineStr">
        <is>
          <t>5673 to 5673</t>
        </is>
      </c>
      <c r="K166" s="7" t="inlineStr">
        <is>
          <t>within</t>
        </is>
      </c>
      <c r="L166" s="2" t="inlineStr">
        <is>
          <t>neutral</t>
        </is>
      </c>
      <c r="M166" s="2" t="inlineStr">
        <is>
          <t>medium</t>
        </is>
      </c>
      <c r="N166" s="2" t="inlineStr">
        <is>
          <t>Alphaliner 2024 (Monthly Monitor Jul 2024)</t>
        </is>
      </c>
    </row>
    <row r="167">
      <c r="A167" s="4" t="inlineStr">
        <is>
          <t>6c. Benefit - Global Piggyback</t>
        </is>
      </c>
      <c r="B167" s="2" t="inlineStr">
        <is>
          <t>D54</t>
        </is>
      </c>
      <c r="C167" s="2" t="inlineStr">
        <is>
          <t>Share of fleet &gt;=1,000 TEU (eligible host share)</t>
        </is>
      </c>
      <c r="D167" s="2" t="n">
        <v>0.85</v>
      </c>
      <c r="E167" s="2" t="inlineStr">
        <is>
          <t>fraction of ships</t>
        </is>
      </c>
      <c r="F167" s="2" t="inlineStr">
        <is>
          <t>Alphaliner Jul 2024: 954 of 6,206 ships under 1,000 TEU.</t>
        </is>
      </c>
      <c r="G167" s="2" t="n">
        <v>1</v>
      </c>
      <c r="H167" s="2" t="n">
        <v>0.834</v>
      </c>
      <c r="I167" s="2" t="n">
        <v>0.846</v>
      </c>
      <c r="J167" s="2" t="inlineStr">
        <is>
          <t>0.846 to 0.846</t>
        </is>
      </c>
      <c r="K167" s="7" t="inlineStr">
        <is>
          <t>within</t>
        </is>
      </c>
      <c r="L167" s="2" t="inlineStr">
        <is>
          <t>neutral</t>
        </is>
      </c>
      <c r="M167" s="2" t="inlineStr">
        <is>
          <t>high; low</t>
        </is>
      </c>
      <c r="N167" s="2" t="inlineStr">
        <is>
          <t>Alphaliner 2024 (Monthly Monitor Jul 2024)</t>
        </is>
      </c>
    </row>
    <row r="168">
      <c r="A168" s="4" t="inlineStr">
        <is>
          <t>Overview</t>
        </is>
      </c>
      <c r="B168" s="2" t="inlineStr">
        <is>
          <t>A10</t>
        </is>
      </c>
      <c r="C168" s="2" t="inlineStr">
        <is>
          <t>CLAIM: CCN product = 30-1000 nm particles ('Harrison 2025 convention')</t>
        </is>
      </c>
      <c r="D168" s="2" t="inlineStr">
        <is>
          <t>30-1000 nm</t>
        </is>
      </c>
      <c r="E168" s="2" t="inlineStr">
        <is>
          <t>nm</t>
        </is>
      </c>
      <c r="F168" s="2" t="inlineStr">
        <is>
          <t>Harrison 2025</t>
        </is>
      </c>
      <c r="G168" s="2" t="n">
        <v>3</v>
      </c>
      <c r="H168" s="2" t="n">
        <v>30</v>
      </c>
      <c r="I168" s="2" t="n">
        <v>800</v>
      </c>
      <c r="J168" s="2" t="inlineStr">
        <is>
          <t>45 to 800</t>
        </is>
      </c>
      <c r="K168" s="2" t="inlineStr">
        <is>
          <t>above range; below range; no comparable value</t>
        </is>
      </c>
      <c r="L168" s="2" t="inlineStr">
        <is>
          <t>neutral; yes</t>
        </is>
      </c>
      <c r="M168" s="2" t="inlineStr">
        <is>
          <t>high; medium</t>
        </is>
      </c>
      <c r="N168" s="2" t="inlineStr">
        <is>
          <t>Hernandez-Jaramillo 2025a (Front. Mar. Sci.); Hirasawa 2026 preprint; RRAP CS-06 2025</t>
        </is>
      </c>
    </row>
    <row r="169">
      <c r="A169" s="4" t="inlineStr">
        <is>
          <t>Overview</t>
        </is>
      </c>
      <c r="B169" s="2" t="inlineStr">
        <is>
          <t>A10 (also README 'How the workbook is organized', tab 1 row)</t>
        </is>
      </c>
      <c r="C169" s="2" t="inlineStr">
        <is>
          <t>CLAIM: CCN product = 30-1000 nm particles ('Harrison 2025 convention')</t>
        </is>
      </c>
      <c r="D169" s="2" t="inlineStr">
        <is>
          <t>30-1000 nm dry diameter</t>
        </is>
      </c>
      <c r="E169" s="2" t="inlineStr">
        <is>
          <t>nm</t>
        </is>
      </c>
      <c r="F169" s="2" t="inlineStr">
        <is>
          <t>Harrison 2025 (doi:10.1039/d5ea00073d)</t>
        </is>
      </c>
      <c r="G169" s="2" t="n">
        <v>1</v>
      </c>
      <c r="H169" s="2" t="inlineStr"/>
      <c r="I169" s="2" t="inlineStr"/>
      <c r="J169" s="2" t="inlineStr"/>
      <c r="K169" s="6" t="inlineStr">
        <is>
          <t>no comparable value</t>
        </is>
      </c>
      <c r="L169" s="2" t="inlineStr">
        <is>
          <t>neutral</t>
        </is>
      </c>
      <c r="M169" s="2" t="inlineStr">
        <is>
          <t>low</t>
        </is>
      </c>
      <c r="N169" s="2" t="inlineStr">
        <is>
          <t>Harrison 2025</t>
        </is>
      </c>
    </row>
    <row r="170">
      <c r="A170" s="4" t="inlineStr">
        <is>
          <t>Overview</t>
        </is>
      </c>
      <c r="B170" s="2" t="inlineStr">
        <is>
          <t>A18; README tab 6a row</t>
        </is>
      </c>
      <c r="C170" s="2" t="inlineStr">
        <is>
          <t>CLAIM: 6a converts tonnes into global cooling 'via published Earth-system models' (model spread)</t>
        </is>
      </c>
      <c r="D170" s="2" t="inlineStr">
        <is>
          <t>CESM2 12.9, CESM2-Ghosh 7.21, E3SMv2 75.4, UKESM1 95.7 Tg/yr for -2 W/m2 (tab 6a G13 note and rows)</t>
        </is>
      </c>
      <c r="E170" s="2" t="inlineStr">
        <is>
          <t>Tg/yr per -2 W/m2</t>
        </is>
      </c>
      <c r="F170" s="2" t="inlineStr">
        <is>
          <t>Hirasawa 2026 preprint Table 2</t>
        </is>
      </c>
      <c r="G170" s="2" t="n">
        <v>1</v>
      </c>
      <c r="H170" s="2" t="n">
        <v>7.21</v>
      </c>
      <c r="I170" s="2" t="n">
        <v>171.8</v>
      </c>
      <c r="J170" s="2" t="inlineStr">
        <is>
          <t>44.2 to 94.2</t>
        </is>
      </c>
      <c r="K170" s="7" t="inlineStr">
        <is>
          <t>within</t>
        </is>
      </c>
      <c r="L170" s="2" t="inlineStr">
        <is>
          <t>neutral</t>
        </is>
      </c>
      <c r="M170" s="2" t="inlineStr">
        <is>
          <t>high</t>
        </is>
      </c>
      <c r="N170" s="2" t="inlineStr">
        <is>
          <t>Hirasawa 2026 preprint</t>
        </is>
      </c>
    </row>
    <row r="171">
      <c r="A171" s="4" t="inlineStr">
        <is>
          <t>Overview</t>
        </is>
      </c>
      <c r="B171" s="2" t="inlineStr">
        <is>
          <t>A23 (also README Out of scope)</t>
        </is>
      </c>
      <c r="C171" s="2" t="inlineStr">
        <is>
          <t>CLAIM: scenario of cooling the Great Barrier Reef by 1 C</t>
        </is>
      </c>
      <c r="D171" s="2" t="inlineStr">
        <is>
          <t>1 C reef cooling</t>
        </is>
      </c>
      <c r="E171" s="2" t="inlineStr">
        <is>
          <t>C</t>
        </is>
      </c>
      <c r="F171" s="2" t="inlineStr"/>
      <c r="G171" s="2" t="n">
        <v>1</v>
      </c>
      <c r="H171" s="2" t="n">
        <v>0</v>
      </c>
      <c r="I171" s="2" t="n">
        <v>0.7875</v>
      </c>
      <c r="J171" s="2" t="inlineStr">
        <is>
          <t>0.225 to 0.225</t>
        </is>
      </c>
      <c r="K171" s="5" t="inlineStr">
        <is>
          <t>above range</t>
        </is>
      </c>
      <c r="L171" s="2" t="inlineStr">
        <is>
          <t>yes</t>
        </is>
      </c>
      <c r="M171" s="2" t="inlineStr">
        <is>
          <t>medium</t>
        </is>
      </c>
      <c r="N171" s="2" t="inlineStr">
        <is>
          <t>Harrison 2019 (RRAP T14)</t>
        </is>
      </c>
    </row>
    <row r="172">
      <c r="A172" s="4" t="inlineStr">
        <is>
          <t>Overview</t>
        </is>
      </c>
      <c r="B172" s="2" t="inlineStr">
        <is>
          <t>A6</t>
        </is>
      </c>
      <c r="C172" s="2" t="inlineStr">
        <is>
          <t>CLAIM: foundation = 'exact numbers' from Harrison prototype (per-nozzle droplet output)</t>
        </is>
      </c>
      <c r="D172" s="2" t="inlineStr">
        <is>
          <t>1.73e12 per nozzle</t>
        </is>
      </c>
      <c r="E172" s="2" t="inlineStr">
        <is>
          <t>droplets/s/nozzle</t>
        </is>
      </c>
      <c r="F172" s="2" t="inlineStr">
        <is>
          <t>Harrison 2025</t>
        </is>
      </c>
      <c r="G172" s="2" t="n">
        <v>3</v>
      </c>
      <c r="H172" s="2" t="inlineStr"/>
      <c r="I172" s="2" t="inlineStr"/>
      <c r="J172" s="2" t="inlineStr">
        <is>
          <t>320 to 4e+14</t>
        </is>
      </c>
      <c r="K172" s="2" t="inlineStr">
        <is>
          <t>above range; definitional; within</t>
        </is>
      </c>
      <c r="L172" s="2" t="inlineStr">
        <is>
          <t>n/a; neutral; no</t>
        </is>
      </c>
      <c r="M172" s="2" t="inlineStr">
        <is>
          <t>high; medium</t>
        </is>
      </c>
      <c r="N172" s="2" t="inlineStr">
        <is>
          <t>Hernandez-Jaramillo 2025 (ERL); RRAP CS-06 2025; n/a</t>
        </is>
      </c>
    </row>
    <row r="173">
      <c r="A173" s="4" t="inlineStr">
        <is>
          <t>Overview</t>
        </is>
      </c>
      <c r="B173" s="2" t="inlineStr">
        <is>
          <t>A6; README 'Every paper the inputs were pulled from' (References row)</t>
        </is>
      </c>
      <c r="C173" s="2" t="inlineStr">
        <is>
          <t>CLAIM: References tab contains 'all the papers that we pulled data from'</t>
        </is>
      </c>
      <c r="D173" s="2" t="inlineStr">
        <is>
          <t>References tab = 14 cited items + 2 supporting + 3 non-academic</t>
        </is>
      </c>
      <c r="E173" s="2" t="inlineStr"/>
      <c r="F173" s="2" t="inlineStr"/>
      <c r="G173" s="2" t="n">
        <v>1</v>
      </c>
      <c r="H173" s="2" t="inlineStr"/>
      <c r="I173" s="2" t="inlineStr"/>
      <c r="J173" s="2" t="inlineStr"/>
      <c r="K173" s="6" t="inlineStr">
        <is>
          <t>no comparable value</t>
        </is>
      </c>
      <c r="L173" s="2" t="inlineStr">
        <is>
          <t>neutral</t>
        </is>
      </c>
      <c r="M173" s="2" t="inlineStr">
        <is>
          <t>high</t>
        </is>
      </c>
      <c r="N173" s="2" t="inlineStr">
        <is>
          <t>Workbook cell scan (dump.txt)</t>
        </is>
      </c>
    </row>
    <row r="174">
      <c r="A174" s="4" t="inlineStr">
        <is>
          <t>Overview</t>
        </is>
      </c>
      <c r="B174" s="2" t="inlineStr">
        <is>
          <t>A6; README intro ('The foundation is the numbers from Daniel Harrison's prototype on the Great Barrier Reef')</t>
        </is>
      </c>
      <c r="C174" s="2" t="inlineStr">
        <is>
          <t>CLAIM: foundation = 'exact numbers' from Harrison prototype (per-nozzle droplet output)</t>
        </is>
      </c>
      <c r="D174" s="2" t="inlineStr">
        <is>
          <t>~1.73e12 droplets/s per nozzle (tab 1 D8 note, as cited from Harrison 2025); 814 nozzles x 1.73e12 x ~0.71 window = ~1e15 CCN/s</t>
        </is>
      </c>
      <c r="E174" s="2" t="inlineStr">
        <is>
          <t>droplets/s/nozzle</t>
        </is>
      </c>
      <c r="F174" s="2" t="inlineStr">
        <is>
          <t>Harrison 2025</t>
        </is>
      </c>
      <c r="G174" s="2" t="n">
        <v>1</v>
      </c>
      <c r="H174" s="2" t="inlineStr"/>
      <c r="I174" s="2" t="inlineStr"/>
      <c r="J174" s="2" t="inlineStr"/>
      <c r="K174" s="6" t="inlineStr">
        <is>
          <t>no comparable value</t>
        </is>
      </c>
      <c r="L174" s="2" t="inlineStr">
        <is>
          <t>neutral</t>
        </is>
      </c>
      <c r="M174" s="2" t="inlineStr">
        <is>
          <t>low</t>
        </is>
      </c>
      <c r="N174" s="2" t="inlineStr">
        <is>
          <t>Harrison 2025</t>
        </is>
      </c>
    </row>
  </sheetData>
  <autoFilter ref="A1:N1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6" customWidth="1" min="4" max="4"/>
    <col width="16" customWidth="1" min="5" max="5"/>
    <col width="16" customWidth="1" min="6" max="6"/>
    <col width="28" customWidth="1" min="7" max="7"/>
    <col width="20" customWidth="1" min="8" max="8"/>
    <col width="50" customWidth="1" min="9" max="9"/>
    <col width="16" customWidth="1" min="10" max="10"/>
    <col width="40" customWidth="1" min="11" max="11"/>
    <col width="16" customWidth="1" min="12" max="12"/>
    <col width="22"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30" customWidth="1" min="21" max="21"/>
    <col width="16" customWidth="1" min="22" max="22"/>
    <col width="16" customWidth="1" min="23" max="23"/>
    <col width="16" customWidth="1" min="24" max="24"/>
    <col width="50" customWidth="1" min="25" max="25"/>
  </cols>
  <sheetData>
    <row r="1">
      <c r="A1" s="3" t="inlineStr">
        <is>
          <t>group</t>
        </is>
      </c>
      <c r="B1" s="3" t="inlineStr">
        <is>
          <t>sheet</t>
        </is>
      </c>
      <c r="C1" s="3" t="inlineStr">
        <is>
          <t>cell</t>
        </is>
      </c>
      <c r="D1" s="3" t="inlineStr">
        <is>
          <t>parameter</t>
        </is>
      </c>
      <c r="E1" s="3" t="inlineStr">
        <is>
          <t>workbook_value</t>
        </is>
      </c>
      <c r="F1" s="3" t="inlineStr">
        <is>
          <t>unit</t>
        </is>
      </c>
      <c r="G1" s="3" t="inlineStr">
        <is>
          <t>workbook_cited_source</t>
        </is>
      </c>
      <c r="H1" s="3" t="inlineStr">
        <is>
          <t>source_short</t>
        </is>
      </c>
      <c r="I1" s="3" t="inlineStr">
        <is>
          <t>citation_full</t>
        </is>
      </c>
      <c r="J1" s="3" t="inlineStr">
        <is>
          <t>doi</t>
        </is>
      </c>
      <c r="K1" s="3" t="inlineStr">
        <is>
          <t>url</t>
        </is>
      </c>
      <c r="L1" s="3" t="inlineStr">
        <is>
          <t>url_status</t>
        </is>
      </c>
      <c r="M1" s="3" t="inlineStr">
        <is>
          <t>locator</t>
        </is>
      </c>
      <c r="N1" s="3" t="inlineStr">
        <is>
          <t>access</t>
        </is>
      </c>
      <c r="O1" s="3" t="inlineStr">
        <is>
          <t>lit_central</t>
        </is>
      </c>
      <c r="P1" s="3" t="inlineStr">
        <is>
          <t>lit_central_kind</t>
        </is>
      </c>
      <c r="Q1" s="3" t="inlineStr">
        <is>
          <t>lit_low</t>
        </is>
      </c>
      <c r="R1" s="3" t="inlineStr">
        <is>
          <t>lit_high</t>
        </is>
      </c>
      <c r="S1" s="3" t="inlineStr">
        <is>
          <t>spread_kind</t>
        </is>
      </c>
      <c r="T1" s="3" t="inlineStr">
        <is>
          <t>n_basis</t>
        </is>
      </c>
      <c r="U1" s="3" t="inlineStr">
        <is>
          <t>distribution_note</t>
        </is>
      </c>
      <c r="V1" s="3" t="inlineStr">
        <is>
          <t>workbook_vs_lit</t>
        </is>
      </c>
      <c r="W1" s="3" t="inlineStr">
        <is>
          <t>favours_mcb</t>
        </is>
      </c>
      <c r="X1" s="3" t="inlineStr">
        <is>
          <t>confidence</t>
        </is>
      </c>
      <c r="Y1" s="3" t="inlineStr">
        <is>
          <t>notes</t>
        </is>
      </c>
    </row>
    <row r="2">
      <c r="A2" s="4" t="inlineStr">
        <is>
          <t>A_tech_costs</t>
        </is>
      </c>
      <c r="B2" s="2" t="inlineStr">
        <is>
          <t>1. Technology Description</t>
        </is>
      </c>
      <c r="C2" s="2" t="inlineStr">
        <is>
          <t>B8</t>
        </is>
      </c>
      <c r="D2" s="2" t="inlineStr">
        <is>
          <t>Particle output</t>
        </is>
      </c>
      <c r="E2" s="2" t="n">
        <v>1730000000000</v>
      </c>
      <c r="F2" s="2" t="inlineStr">
        <is>
          <t>particles/s per nozzle</t>
        </is>
      </c>
      <c r="G2" s="2" t="inlineStr">
        <is>
          <t>Harrison et al. 2025 doi:10.1039/d5ea00073d</t>
        </is>
      </c>
      <c r="H2" s="2" t="inlineStr">
        <is>
          <t>Harrison 2025</t>
        </is>
      </c>
      <c r="I2" s="2" t="inlineStr">
        <is>
          <t>Harrison, L. P., Medcraft, C., &amp; Harrison, D. P. (2025). Effervescent nozzle design to enable outdoor marine cloud brightening experimentation. Environ. Sci.: Atmos. 5(10), 1071-1080.</t>
        </is>
      </c>
      <c r="J2" s="2" t="inlineStr">
        <is>
          <t>10.1039/d5ea00073d</t>
        </is>
      </c>
      <c r="K2" s="8" t="inlineStr">
        <is>
          <t>https://doi.org/10.1039/d5ea00073d</t>
        </is>
      </c>
      <c r="L2" s="2" t="n">
        <v>403</v>
      </c>
      <c r="M2" s="2" t="inlineStr">
        <is>
          <t>not accessible (workbook cites ~1.73e12/s per nozzle)</t>
        </is>
      </c>
      <c r="N2" s="2" t="inlineStr">
        <is>
          <t>abstract only</t>
        </is>
      </c>
      <c r="O2" s="2" t="n">
        <v>1730000000000</v>
      </c>
      <c r="P2" s="2" t="inlineStr">
        <is>
          <t>point</t>
        </is>
      </c>
      <c r="Q2" s="2" t="n"/>
      <c r="R2" s="2" t="n"/>
      <c r="S2" s="2" t="inlineStr"/>
      <c r="T2" s="2" t="inlineStr">
        <is>
          <t>1 nozzle characterisation (as quoted by workbook)</t>
        </is>
      </c>
      <c r="U2" s="2" t="inlineStr">
        <is>
          <t>single-nozzle lab figure; field arrays differ (see other rows)</t>
        </is>
      </c>
      <c r="V2" s="7" t="inlineStr">
        <is>
          <t>within</t>
        </is>
      </c>
      <c r="W2" s="2" t="inlineStr">
        <is>
          <t>neutral</t>
        </is>
      </c>
      <c r="X2" s="2" t="inlineStr">
        <is>
          <t>low</t>
        </is>
      </c>
      <c r="Y2" s="2" t="inlineStr">
        <is>
          <t>Full text of Harrison 2025 could not be retrieved (RSC Cloudflare/403 on doi, PDF and HTML; Europe PMC and OpenAlex hold no full text; Crossref abstract truncated to first sentence). The workbook value is therefore NOT independently confirmed from the paper itself. Value taken from workbook quote only.</t>
        </is>
      </c>
    </row>
    <row r="3">
      <c r="A3" s="4" t="inlineStr">
        <is>
          <t>A_tech_costs</t>
        </is>
      </c>
      <c r="B3" s="2" t="inlineStr">
        <is>
          <t>1. Technology Description</t>
        </is>
      </c>
      <c r="C3" s="2" t="inlineStr">
        <is>
          <t>B8</t>
        </is>
      </c>
      <c r="D3" s="2" t="inlineStr">
        <is>
          <t>Particle output</t>
        </is>
      </c>
      <c r="E3" s="2" t="n">
        <v>1730000000000</v>
      </c>
      <c r="F3" s="2" t="inlineStr">
        <is>
          <t>particles/s per nozzle</t>
        </is>
      </c>
      <c r="G3" s="2" t="inlineStr"/>
      <c r="H3" s="2" t="inlineStr">
        <is>
          <t>CS-06 2025 (2020 sea trial)</t>
        </is>
      </c>
      <c r="I3" s="2" t="inlineStr">
        <is>
          <t>Harrison, D. P. et al. (2025). RRAP Cloud and Sky Brightening Development (CS-06) Final Report 2025. Reef Restoration and Adaptation Program.</t>
        </is>
      </c>
      <c r="J3" s="2" t="inlineStr"/>
      <c r="K3" s="8" t="inlineStr">
        <is>
          <t>https://gbrrestoration.org/wp-content/uploads/2026/06/RRAP-CS-06_FINAL-REPORT-2025.pdf</t>
        </is>
      </c>
      <c r="L3" s="2" t="n">
        <v>200</v>
      </c>
      <c r="M3" s="2" t="inlineStr">
        <is>
          <t>p.24 (PDF p.32): 2.7e14 droplets/s from a 100-nozzle fan-driven array</t>
        </is>
      </c>
      <c r="N3" s="2" t="inlineStr">
        <is>
          <t>full text</t>
        </is>
      </c>
      <c r="O3" s="2" t="n">
        <v>2700000000000</v>
      </c>
      <c r="P3" s="2" t="inlineStr">
        <is>
          <t>point</t>
        </is>
      </c>
      <c r="Q3" s="2" t="n"/>
      <c r="R3" s="2" t="n"/>
      <c r="S3" s="2" t="inlineStr"/>
      <c r="T3" s="2" t="inlineStr">
        <is>
          <t>1 sea trial, 100 nozzles</t>
        </is>
      </c>
      <c r="U3" s="2" t="inlineStr">
        <is>
          <t>DERIVED: 2.7e14 / 100 = 2.7e12 per nozzle. Report says array matched single-nozzle lab distribution.</t>
        </is>
      </c>
      <c r="V3" s="5" t="inlineStr">
        <is>
          <t>below range</t>
        </is>
      </c>
      <c r="W3" s="2" t="inlineStr">
        <is>
          <t>neutral</t>
        </is>
      </c>
      <c r="X3" s="2" t="inlineStr">
        <is>
          <t>medium</t>
        </is>
      </c>
      <c r="Y3" s="2" t="inlineStr">
        <is>
          <t>Derived by dividing the report's total by its stated nozzle count. Workbook is 36% below this older design (14-part nozzle, replaced by cartridge nozzle).</t>
        </is>
      </c>
    </row>
    <row r="4">
      <c r="A4" s="4" t="inlineStr">
        <is>
          <t>A_tech_costs</t>
        </is>
      </c>
      <c r="B4" s="2" t="inlineStr">
        <is>
          <t>1. Technology Description</t>
        </is>
      </c>
      <c r="C4" s="2" t="inlineStr">
        <is>
          <t>B8</t>
        </is>
      </c>
      <c r="D4" s="2" t="inlineStr">
        <is>
          <t>Particle output</t>
        </is>
      </c>
      <c r="E4" s="2" t="n">
        <v>1730000000000</v>
      </c>
      <c r="F4" s="2" t="inlineStr">
        <is>
          <t>particles/s per nozzle</t>
        </is>
      </c>
      <c r="G4" s="2" t="inlineStr"/>
      <c r="H4" s="2" t="inlineStr">
        <is>
          <t>CS-06 2025 (ARIEL prototype)</t>
        </is>
      </c>
      <c r="I4" s="2" t="inlineStr">
        <is>
          <t>Harrison, D. P. et al. (2025). RRAP Cloud and Sky Brightening Development (CS-06) Final Report 2025. Reef Restoration and Adaptation Program.</t>
        </is>
      </c>
      <c r="J4" s="2" t="inlineStr"/>
      <c r="K4" s="8" t="inlineStr">
        <is>
          <t>https://gbrrestoration.org/wp-content/uploads/2026/06/RRAP-CS-06_FINAL-REPORT-2025.pdf</t>
        </is>
      </c>
      <c r="L4" s="2" t="n">
        <v>200</v>
      </c>
      <c r="M4" s="2" t="inlineStr">
        <is>
          <t>Executive summary (PDF p.9): ~1e15 s-1 using 320 kW; p.~16 (PDF) text: 640 nozzles on six compressors</t>
        </is>
      </c>
      <c r="N4" s="2" t="inlineStr">
        <is>
          <t>full text</t>
        </is>
      </c>
      <c r="O4" s="2" t="n">
        <v>1560000000000</v>
      </c>
      <c r="P4" s="2" t="inlineStr">
        <is>
          <t>point</t>
        </is>
      </c>
      <c r="Q4" s="2" t="n"/>
      <c r="R4" s="2" t="n"/>
      <c r="S4" s="2" t="inlineStr"/>
      <c r="T4" s="2" t="inlineStr">
        <is>
          <t>1 prototype, 640 nozzles</t>
        </is>
      </c>
      <c r="U4" s="2" t="inlineStr">
        <is>
          <t>DERIVED: 1e15/640 = 1.56e12 per nozzle ('~1e15', so +-uncertain). Assumes the 1e15 refers to the 640-nozzle configuration.</t>
        </is>
      </c>
      <c r="V4" s="7" t="inlineStr">
        <is>
          <t>within</t>
        </is>
      </c>
      <c r="W4" s="2" t="inlineStr">
        <is>
          <t>neutral</t>
        </is>
      </c>
      <c r="X4" s="2" t="inlineStr">
        <is>
          <t>medium</t>
        </is>
      </c>
      <c r="Y4" s="2" t="inlineStr">
        <is>
          <t>Derived. The match between 1.56e12 and Harrison's 1.73e12 (+11%) supports the workbook value.</t>
        </is>
      </c>
    </row>
    <row r="5">
      <c r="A5" s="4" t="inlineStr">
        <is>
          <t>A_tech_costs</t>
        </is>
      </c>
      <c r="B5" s="2" t="inlineStr">
        <is>
          <t>1. Technology Description</t>
        </is>
      </c>
      <c r="C5" s="2" t="inlineStr">
        <is>
          <t>B8</t>
        </is>
      </c>
      <c r="D5" s="2" t="inlineStr">
        <is>
          <t>Particle output</t>
        </is>
      </c>
      <c r="E5" s="2" t="n">
        <v>1730000000000</v>
      </c>
      <c r="F5" s="2" t="inlineStr">
        <is>
          <t>particles/s per nozzle</t>
        </is>
      </c>
      <c r="G5" s="2" t="inlineStr"/>
      <c r="H5" s="2" t="inlineStr">
        <is>
          <t>Hernandez-Jaramillo 2025 (ERL)</t>
        </is>
      </c>
      <c r="I5" s="2" t="inlineStr">
        <is>
          <t>Hernandez-Jaramillo, D. C. et al. (2025). First generation outdoor marine cloud brightening trial increases aerosol concentration at cloud base height. Environ. Res. Lett. 20(5), 054065.</t>
        </is>
      </c>
      <c r="J5" s="2" t="inlineStr">
        <is>
          <t>10.1088/1748-9326/adccd7</t>
        </is>
      </c>
      <c r="K5" s="8" t="inlineStr">
        <is>
          <t>https://doi.org/10.1088/1748-9326/adccd7</t>
        </is>
      </c>
      <c r="L5" s="2" t="n">
        <v>200</v>
      </c>
      <c r="M5" s="2" t="inlineStr">
        <is>
          <t>Abstract: estimated surface production 4e14 s-1 (nozzle count 320 is from the workbook's quote of ERL p.2, not read by me)</t>
        </is>
      </c>
      <c r="N5" s="2" t="inlineStr">
        <is>
          <t>abstract only</t>
        </is>
      </c>
      <c r="O5" s="2" t="n">
        <v>1250000000000</v>
      </c>
      <c r="P5" s="2" t="inlineStr">
        <is>
          <t>point</t>
        </is>
      </c>
      <c r="Q5" s="2" t="n"/>
      <c r="R5" s="2" t="n"/>
      <c r="S5" s="2" t="inlineStr"/>
      <c r="T5" s="2" t="inlineStr">
        <is>
          <t>1 field trial</t>
        </is>
      </c>
      <c r="U5" s="2" t="inlineStr">
        <is>
          <t>DERIVED: 4e14/320 = 1.25e12. Across the four sources per-nozzle output spans 1.25e12 to 2.7e12 (median of 4 = 1.65e12).</t>
        </is>
      </c>
      <c r="V5" s="7" t="inlineStr">
        <is>
          <t>within</t>
        </is>
      </c>
      <c r="W5" s="2" t="inlineStr">
        <is>
          <t>yes</t>
        </is>
      </c>
      <c r="X5" s="2" t="inlineStr">
        <is>
          <t>low</t>
        </is>
      </c>
      <c r="Y5" s="2" t="inlineStr">
        <is>
          <t>Only the 4e14 figure was read (abstract). Workbook 1.73e12 is 38% above the field-trial derived value, a mild favour to MCB.</t>
        </is>
      </c>
    </row>
    <row r="6">
      <c r="A6" s="4" t="inlineStr">
        <is>
          <t>A_tech_costs</t>
        </is>
      </c>
      <c r="B6" s="2" t="inlineStr">
        <is>
          <t>1. Technology Description</t>
        </is>
      </c>
      <c r="C6" s="2" t="inlineStr">
        <is>
          <t>B9</t>
        </is>
      </c>
      <c r="D6" s="2" t="inlineStr">
        <is>
          <t>CCN-production window fraction (30-1000 nm)</t>
        </is>
      </c>
      <c r="E6" s="2" t="n">
        <v>0.71</v>
      </c>
      <c r="F6" s="2" t="inlineStr">
        <is>
          <t>fraction</t>
        </is>
      </c>
      <c r="G6" s="2" t="inlineStr"/>
      <c r="H6" s="2" t="inlineStr">
        <is>
          <t>Harrison 2025</t>
        </is>
      </c>
      <c r="I6" s="2" t="inlineStr">
        <is>
          <t>Harrison, L. P., Medcraft, C., &amp; Harrison, D. P. (2025). Effervescent nozzle design to enable outdoor marine cloud brightening experimentation. Environ. Sci.: Atmos. 5(10), 1071-1080.</t>
        </is>
      </c>
      <c r="J6" s="2" t="inlineStr">
        <is>
          <t>10.1039/d5ea00073d</t>
        </is>
      </c>
      <c r="K6" s="8" t="inlineStr">
        <is>
          <t>https://doi.org/10.1039/d5ea00073d</t>
        </is>
      </c>
      <c r="L6" s="2" t="n">
        <v>403</v>
      </c>
      <c r="M6" s="2" t="inlineStr">
        <is>
          <t>not accessible (workbook: ~71% of counts fall in 30-1000 nm)</t>
        </is>
      </c>
      <c r="N6" s="2" t="inlineStr">
        <is>
          <t>abstract only</t>
        </is>
      </c>
      <c r="O6" s="2" t="n">
        <v>0.71</v>
      </c>
      <c r="P6" s="2" t="inlineStr">
        <is>
          <t>point</t>
        </is>
      </c>
      <c r="Q6" s="2" t="n"/>
      <c r="R6" s="2" t="n"/>
      <c r="S6" s="2" t="inlineStr"/>
      <c r="T6" s="2" t="inlineStr">
        <is>
          <t>1 nozzle size distribution</t>
        </is>
      </c>
      <c r="U6" s="2" t="inlineStr">
        <is>
          <t>fraction of a lognormal-like count distribution; sensitive to the mode and sigma</t>
        </is>
      </c>
      <c r="V6" s="6" t="inlineStr">
        <is>
          <t>no comparable value</t>
        </is>
      </c>
      <c r="W6" s="2" t="inlineStr">
        <is>
          <t>neutral</t>
        </is>
      </c>
      <c r="X6" s="2" t="inlineStr">
        <is>
          <t>low</t>
        </is>
      </c>
      <c r="Y6" s="2" t="inlineStr">
        <is>
          <t>Full text of Harrison 2025 could not be retrieved (RSC Cloudflare/403 on doi, PDF and HTML; Europe PMC and OpenAlex hold no full text; Crossref abstract truncated to first sentence). The workbook value is therefore NOT independently confirmed from the paper itself. No independent number found. CS-06 Fig 5 (p.12) only shades a 30-800 nm target range, no fraction. Tried: Crossref, OpenAlex, Europe PMC, RSC html/pdf, CS-06 text search.</t>
        </is>
      </c>
    </row>
    <row r="7">
      <c r="A7" s="4" t="inlineStr">
        <is>
          <t>A_tech_costs</t>
        </is>
      </c>
      <c r="B7" s="2" t="inlineStr">
        <is>
          <t>1. Technology Description</t>
        </is>
      </c>
      <c r="C7" s="2" t="inlineStr">
        <is>
          <t>B10</t>
        </is>
      </c>
      <c r="D7" s="2" t="inlineStr">
        <is>
          <t>Dry particle diameter</t>
        </is>
      </c>
      <c r="E7" s="2" t="n">
        <v>150</v>
      </c>
      <c r="F7" s="2" t="inlineStr">
        <is>
          <t>nm dry diameter</t>
        </is>
      </c>
      <c r="G7" s="2" t="inlineStr"/>
      <c r="H7" s="2" t="inlineStr">
        <is>
          <t>CS-06 2025 (2020 trial, ARIEL)</t>
        </is>
      </c>
      <c r="I7" s="2" t="inlineStr">
        <is>
          <t>Harrison, D. P. et al. (2025). RRAP Cloud and Sky Brightening Development (CS-06) Final Report 2025. Reef Restoration and Adaptation Program.</t>
        </is>
      </c>
      <c r="J7" s="2" t="inlineStr"/>
      <c r="K7" s="8" t="inlineStr">
        <is>
          <t>https://gbrrestoration.org/wp-content/uploads/2026/06/RRAP-CS-06_FINAL-REPORT-2025.pdf</t>
        </is>
      </c>
      <c r="L7" s="2" t="n">
        <v>200</v>
      </c>
      <c r="M7" s="2" t="inlineStr">
        <is>
          <t>p.24 (PDF p.32): mode dry aerosol diameter around 40 nm</t>
        </is>
      </c>
      <c r="N7" s="2" t="inlineStr">
        <is>
          <t>full text</t>
        </is>
      </c>
      <c r="O7" s="2" t="n">
        <v>40</v>
      </c>
      <c r="P7" s="2" t="inlineStr">
        <is>
          <t>mode</t>
        </is>
      </c>
      <c r="Q7" s="2" t="n"/>
      <c r="R7" s="2" t="n"/>
      <c r="S7" s="2" t="inlineStr"/>
      <c r="T7" s="2" t="inlineStr">
        <is>
          <t>1 sea trial</t>
        </is>
      </c>
      <c r="U7" s="2" t="inlineStr">
        <is>
          <t>count mode; mass sits in a large-diameter tail, so mass-weighted diameter &gt;&gt; count mode</t>
        </is>
      </c>
      <c r="V7" s="5" t="inlineStr">
        <is>
          <t>above range</t>
        </is>
      </c>
      <c r="W7" s="2" t="inlineStr">
        <is>
          <t>neutral</t>
        </is>
      </c>
      <c r="X7" s="2" t="inlineStr">
        <is>
          <t>medium</t>
        </is>
      </c>
      <c r="Y7" s="2" t="inlineStr">
        <is>
          <t>Workbook says 150 nm is a mass-weighted design value, so the comparison is mode vs mass-weighted and is not like-for-like. Model is insensitive to size per workbook note.</t>
        </is>
      </c>
    </row>
    <row r="8">
      <c r="A8" s="4" t="inlineStr">
        <is>
          <t>A_tech_costs</t>
        </is>
      </c>
      <c r="B8" s="2" t="inlineStr">
        <is>
          <t>1. Technology Description</t>
        </is>
      </c>
      <c r="C8" s="2" t="inlineStr">
        <is>
          <t>B10</t>
        </is>
      </c>
      <c r="D8" s="2" t="inlineStr">
        <is>
          <t>Dry particle diameter</t>
        </is>
      </c>
      <c r="E8" s="2" t="n">
        <v>150</v>
      </c>
      <c r="F8" s="2" t="inlineStr">
        <is>
          <t>nm dry diameter</t>
        </is>
      </c>
      <c r="G8" s="2" t="inlineStr"/>
      <c r="H8" s="2" t="inlineStr">
        <is>
          <t>CS-06 2025 (alternative nozzles)</t>
        </is>
      </c>
      <c r="I8" s="2" t="inlineStr">
        <is>
          <t>Harrison, D. P. et al. (2025). RRAP Cloud and Sky Brightening Development (CS-06) Final Report 2025. Reef Restoration and Adaptation Program.</t>
        </is>
      </c>
      <c r="J8" s="2" t="inlineStr"/>
      <c r="K8" s="8" t="inlineStr">
        <is>
          <t>https://gbrrestoration.org/wp-content/uploads/2026/06/RRAP-CS-06_FINAL-REPORT-2025.pdf</t>
        </is>
      </c>
      <c r="L8" s="2" t="n">
        <v>200</v>
      </c>
      <c r="M8" s="2" t="inlineStr">
        <is>
          <t>p.18 (PDF p.26): superheated-water nozzle submicron mode ~80 nm, GSD 1.7-2.3; Rayleigh-jet array mode 160 nm, GSD 1.26-1.40</t>
        </is>
      </c>
      <c r="N8" s="2" t="inlineStr">
        <is>
          <t>full text</t>
        </is>
      </c>
      <c r="O8" s="2" t="n">
        <v>80</v>
      </c>
      <c r="P8" s="2" t="inlineStr">
        <is>
          <t>mode</t>
        </is>
      </c>
      <c r="Q8" s="2" t="n">
        <v>40</v>
      </c>
      <c r="R8" s="2" t="n">
        <v>160</v>
      </c>
      <c r="S8" s="2" t="inlineStr">
        <is>
          <t>range stated</t>
        </is>
      </c>
      <c r="T8" s="2" t="inlineStr">
        <is>
          <t>3 nozzle technologies</t>
        </is>
      </c>
      <c r="U8" s="2" t="inlineStr">
        <is>
          <t>count modes 40 (effervescent), 80 (superheated), 160 nm (Rayleigh jet)</t>
        </is>
      </c>
      <c r="V8" s="7" t="inlineStr">
        <is>
          <t>within</t>
        </is>
      </c>
      <c r="W8" s="2" t="inlineStr">
        <is>
          <t>neutral</t>
        </is>
      </c>
      <c r="X8" s="2" t="inlineStr">
        <is>
          <t>medium</t>
        </is>
      </c>
      <c r="Y8" s="2" t="inlineStr">
        <is>
          <t>Central value is the mid technology, not a statistical mean.</t>
        </is>
      </c>
    </row>
    <row r="9">
      <c r="A9" s="4" t="inlineStr">
        <is>
          <t>A_tech_costs</t>
        </is>
      </c>
      <c r="B9" s="2" t="inlineStr">
        <is>
          <t>1. Technology Description</t>
        </is>
      </c>
      <c r="C9" s="2" t="inlineStr">
        <is>
          <t>H17</t>
        </is>
      </c>
      <c r="D9" s="2" t="inlineStr">
        <is>
          <t>Power</t>
        </is>
      </c>
      <c r="E9" s="2" t="n">
        <v>1</v>
      </c>
      <c r="F9" s="2" t="inlineStr">
        <is>
          <t>selector</t>
        </is>
      </c>
      <c r="G9" s="2" t="inlineStr"/>
      <c r="H9" s="2" t="inlineStr">
        <is>
          <t>(workbook layout)</t>
        </is>
      </c>
      <c r="I9" s="2" t="inlineStr"/>
      <c r="J9" s="2" t="inlineStr"/>
      <c r="K9" s="2" t="inlineStr"/>
      <c r="L9" s="2" t="n"/>
      <c r="M9" s="2" t="inlineStr"/>
      <c r="N9" s="2" t="inlineStr"/>
      <c r="O9" s="2" t="n"/>
      <c r="P9" s="2" t="inlineStr"/>
      <c r="Q9" s="2" t="n"/>
      <c r="R9" s="2" t="n"/>
      <c r="S9" s="2" t="inlineStr"/>
      <c r="T9" s="2" t="inlineStr"/>
      <c r="U9" s="2" t="inlineStr"/>
      <c r="V9" s="2" t="inlineStr">
        <is>
          <t>definitional</t>
        </is>
      </c>
      <c r="W9" s="2" t="inlineStr">
        <is>
          <t>n/a</t>
        </is>
      </c>
      <c r="X9" s="2" t="inlineStr">
        <is>
          <t>high</t>
        </is>
      </c>
      <c r="Y9" s="2" t="inlineStr">
        <is>
          <t>Scenario selector (1 or 2), no search.</t>
        </is>
      </c>
    </row>
    <row r="10">
      <c r="A10" s="4" t="inlineStr">
        <is>
          <t>A_tech_costs</t>
        </is>
      </c>
      <c r="B10" s="2" t="inlineStr">
        <is>
          <t>1. Technology Description</t>
        </is>
      </c>
      <c r="C10" s="2" t="inlineStr">
        <is>
          <t>H18</t>
        </is>
      </c>
      <c r="D10" s="2" t="inlineStr">
        <is>
          <t>Energy per hour</t>
        </is>
      </c>
      <c r="E10" s="2" t="n">
        <v>512</v>
      </c>
      <c r="F10" s="2" t="inlineStr">
        <is>
          <t>W per nozzle</t>
        </is>
      </c>
      <c r="G10" s="2" t="inlineStr"/>
      <c r="H10" s="2" t="inlineStr">
        <is>
          <t>CS-06 2025 (prototype)</t>
        </is>
      </c>
      <c r="I10" s="2" t="inlineStr">
        <is>
          <t>Harrison, D. P. et al. (2025). RRAP Cloud and Sky Brightening Development (CS-06) Final Report 2025. Reef Restoration and Adaptation Program.</t>
        </is>
      </c>
      <c r="J10" s="2" t="inlineStr"/>
      <c r="K10" s="8" t="inlineStr">
        <is>
          <t>https://gbrrestoration.org/wp-content/uploads/2026/06/RRAP-CS-06_FINAL-REPORT-2025.pdf</t>
        </is>
      </c>
      <c r="L10" s="2" t="n">
        <v>200</v>
      </c>
      <c r="M10" s="2" t="inlineStr">
        <is>
          <t>Executive summary (PDF p.9): ~1e15 s-1 using 320 kW</t>
        </is>
      </c>
      <c r="N10" s="2" t="inlineStr">
        <is>
          <t>full text</t>
        </is>
      </c>
      <c r="O10" s="2" t="n">
        <v>554</v>
      </c>
      <c r="P10" s="2" t="inlineStr">
        <is>
          <t>point</t>
        </is>
      </c>
      <c r="Q10" s="2" t="n"/>
      <c r="R10" s="2" t="n"/>
      <c r="S10" s="2" t="inlineStr"/>
      <c r="T10" s="2" t="inlineStr">
        <is>
          <t>1 prototype</t>
        </is>
      </c>
      <c r="U10" s="2" t="inlineStr">
        <is>
          <t>DERIVED: 320 kW / 1e15 = 3.2e-10 W per (particle/s); x 1.73e12 = 554 W/nozzle. Workbook 512 W / 1.73e12 = 2.96e-10.</t>
        </is>
      </c>
      <c r="V10" s="5" t="inlineStr">
        <is>
          <t>below range</t>
        </is>
      </c>
      <c r="W10" s="2" t="inlineStr">
        <is>
          <t>yes</t>
        </is>
      </c>
      <c r="X10" s="2" t="inlineStr">
        <is>
          <t>medium</t>
        </is>
      </c>
      <c r="Y10" s="2" t="inlineStr">
        <is>
          <t>Derived. Workbook 512 W is 8% below.</t>
        </is>
      </c>
    </row>
    <row r="11">
      <c r="A11" s="4" t="inlineStr">
        <is>
          <t>A_tech_costs</t>
        </is>
      </c>
      <c r="B11" s="2" t="inlineStr">
        <is>
          <t>1. Technology Description</t>
        </is>
      </c>
      <c r="C11" s="2" t="inlineStr">
        <is>
          <t>H18</t>
        </is>
      </c>
      <c r="D11" s="2" t="inlineStr">
        <is>
          <t>Energy per hour</t>
        </is>
      </c>
      <c r="E11" s="2" t="n">
        <v>512</v>
      </c>
      <c r="F11" s="2" t="inlineStr">
        <is>
          <t>W per nozzle</t>
        </is>
      </c>
      <c r="G11" s="2" t="inlineStr"/>
      <c r="H11" s="2" t="inlineStr">
        <is>
          <t>CS-06 2025 (scale-up estimate)</t>
        </is>
      </c>
      <c r="I11" s="2" t="inlineStr">
        <is>
          <t>Harrison, D. P. et al. (2025). RRAP Cloud and Sky Brightening Development (CS-06) Final Report 2025. Reef Restoration and Adaptation Program.</t>
        </is>
      </c>
      <c r="J11" s="2" t="inlineStr"/>
      <c r="K11" s="8" t="inlineStr">
        <is>
          <t>https://gbrrestoration.org/wp-content/uploads/2026/06/RRAP-CS-06_FINAL-REPORT-2025.pdf</t>
        </is>
      </c>
      <c r="L11" s="2" t="n">
        <v>200</v>
      </c>
      <c r="M11" s="2" t="inlineStr">
        <is>
          <t>p.17 (PDF p.25): ~3.5 MW for 1e16 s-1 by brute-force scale-up; p.18: ~4 MW for 1e16 s-1 for the effervescent system</t>
        </is>
      </c>
      <c r="N11" s="2" t="inlineStr">
        <is>
          <t>full text</t>
        </is>
      </c>
      <c r="O11" s="2" t="n">
        <v>648</v>
      </c>
      <c r="P11" s="2" t="inlineStr">
        <is>
          <t>point</t>
        </is>
      </c>
      <c r="Q11" s="2" t="n">
        <v>606</v>
      </c>
      <c r="R11" s="2" t="n">
        <v>692</v>
      </c>
      <c r="S11" s="2" t="inlineStr">
        <is>
          <t>range stated</t>
        </is>
      </c>
      <c r="T11" s="2" t="inlineStr">
        <is>
          <t>2 report estimates</t>
        </is>
      </c>
      <c r="U11" s="2" t="inlineStr">
        <is>
          <t>DERIVED: (3.5e6 to 4e6 W)/1e16 = 3.5e-10 to 4.0e-10 W per (particle/s); x 1.73e12 = 606 to 692 W/nozzle. Central is midpoint.</t>
        </is>
      </c>
      <c r="V11" s="5" t="inlineStr">
        <is>
          <t>below range</t>
        </is>
      </c>
      <c r="W11" s="2" t="inlineStr">
        <is>
          <t>yes</t>
        </is>
      </c>
      <c r="X11" s="2" t="inlineStr">
        <is>
          <t>medium</t>
        </is>
      </c>
      <c r="Y11" s="2" t="inlineStr">
        <is>
          <t>Derived. Workbook is 15-26% below the report's own implementation estimates. Check whether Harrison's 512 W is nozzle-only (excluding compressor losses).</t>
        </is>
      </c>
    </row>
    <row r="12">
      <c r="A12" s="4" t="inlineStr">
        <is>
          <t>A_tech_costs</t>
        </is>
      </c>
      <c r="B12" s="2" t="inlineStr">
        <is>
          <t>1. Technology Description</t>
        </is>
      </c>
      <c r="C12" s="2" t="inlineStr">
        <is>
          <t>H19</t>
        </is>
      </c>
      <c r="D12" s="2" t="inlineStr">
        <is>
          <t>Energy per day</t>
        </is>
      </c>
      <c r="E12" s="2" t="n">
        <v>51.2</v>
      </c>
      <c r="F12" s="2" t="inlineStr">
        <is>
          <t>W per nozzle</t>
        </is>
      </c>
      <c r="G12" s="2" t="inlineStr"/>
      <c r="H12" s="2" t="inlineStr">
        <is>
          <t>CS-06 2025 (objective)</t>
        </is>
      </c>
      <c r="I12" s="2" t="inlineStr">
        <is>
          <t>Harrison, D. P. et al. (2025). RRAP Cloud and Sky Brightening Development (CS-06) Final Report 2025. Reef Restoration and Adaptation Program.</t>
        </is>
      </c>
      <c r="J12" s="2" t="inlineStr"/>
      <c r="K12" s="8" t="inlineStr">
        <is>
          <t>https://gbrrestoration.org/wp-content/uploads/2026/06/RRAP-CS-06_FINAL-REPORT-2025.pdf</t>
        </is>
      </c>
      <c r="L12" s="2" t="n">
        <v>200</v>
      </c>
      <c r="M12" s="2" t="inlineStr">
        <is>
          <t>p.17 (PDF p.25): objective to reduce energy per suitable aerosol by at least a factor of ten</t>
        </is>
      </c>
      <c r="N12" s="2" t="inlineStr">
        <is>
          <t>full text</t>
        </is>
      </c>
      <c r="O12" s="2" t="n"/>
      <c r="P12" s="2" t="inlineStr"/>
      <c r="Q12" s="2" t="n"/>
      <c r="R12" s="2" t="n"/>
      <c r="S12" s="2" t="inlineStr"/>
      <c r="T12" s="2" t="inlineStr">
        <is>
          <t>target, not a result</t>
        </is>
      </c>
      <c r="U12" s="2" t="inlineStr">
        <is>
          <t>an R&amp;D objective. Best demonstrated alternative: Rayleigh-jet 1.5 MW per 1e16/s (p.18) = 1.5e-10 W per (particle/s), about 2x better than the effervescent 3-4e-10, not 10x; superheated nozzles show no gain.</t>
        </is>
      </c>
      <c r="V12" s="6" t="inlineStr">
        <is>
          <t>no comparable value</t>
        </is>
      </c>
      <c r="W12" s="2" t="inlineStr">
        <is>
          <t>yes</t>
        </is>
      </c>
      <c r="X12" s="2" t="inlineStr">
        <is>
          <t>medium</t>
        </is>
      </c>
      <c r="Y12" s="2" t="inlineStr">
        <is>
          <t>The 51.2 W scenario (10x) is a goal, not a measurement. Preliminary Rayleigh-jet lab figure implies ~2x.</t>
        </is>
      </c>
    </row>
    <row r="13">
      <c r="A13" s="4" t="inlineStr">
        <is>
          <t>A_tech_costs</t>
        </is>
      </c>
      <c r="B13" s="2" t="inlineStr">
        <is>
          <t>1. Technology Description</t>
        </is>
      </c>
      <c r="C13" s="2" t="inlineStr">
        <is>
          <t>B23</t>
        </is>
      </c>
      <c r="D13" s="2" t="inlineStr">
        <is>
          <t>Seawater flow rate</t>
        </is>
      </c>
      <c r="E13" s="2" t="n">
        <v>0.41</v>
      </c>
      <c r="F13" s="2" t="inlineStr">
        <is>
          <t>mL/s per nozzle</t>
        </is>
      </c>
      <c r="G13" s="2" t="inlineStr"/>
      <c r="H13" s="2" t="inlineStr">
        <is>
          <t>Hernandez-Jaramillo 2025 (ERL)</t>
        </is>
      </c>
      <c r="I13" s="2" t="inlineStr">
        <is>
          <t>Hernandez-Jaramillo, D. C. et al. (2025). First generation outdoor marine cloud brightening trial increases aerosol concentration at cloud base height. Environ. Res. Lett. 20(5), 054065.</t>
        </is>
      </c>
      <c r="J13" s="2" t="inlineStr">
        <is>
          <t>10.1088/1748-9326/adccd7</t>
        </is>
      </c>
      <c r="K13" s="8" t="inlineStr">
        <is>
          <t>https://doi.org/10.1088/1748-9326/adccd7</t>
        </is>
      </c>
      <c r="L13" s="2" t="n">
        <v>200</v>
      </c>
      <c r="M13" s="2" t="inlineStr">
        <is>
          <t>p.2 per workbook quote: 68 ml/s over 320 nozzles (not read by me; abstract only)</t>
        </is>
      </c>
      <c r="N13" s="2" t="inlineStr">
        <is>
          <t>abstract only</t>
        </is>
      </c>
      <c r="O13" s="2" t="n">
        <v>0.2125</v>
      </c>
      <c r="P13" s="2" t="inlineStr">
        <is>
          <t>point</t>
        </is>
      </c>
      <c r="Q13" s="2" t="n"/>
      <c r="R13" s="2" t="n"/>
      <c r="S13" s="2" t="inlineStr"/>
      <c r="T13" s="2" t="inlineStr">
        <is>
          <t>1 field rig (workbook quote)</t>
        </is>
      </c>
      <c r="U13" s="2" t="inlineStr">
        <is>
          <t>DERIVED: 68/320 = 0.2125 mL/s</t>
        </is>
      </c>
      <c r="V13" s="5" t="inlineStr">
        <is>
          <t>above range</t>
        </is>
      </c>
      <c r="W13" s="2" t="inlineStr">
        <is>
          <t>no</t>
        </is>
      </c>
      <c r="X13" s="2" t="inlineStr">
        <is>
          <t>low</t>
        </is>
      </c>
      <c r="Y13" s="2" t="inlineStr">
        <is>
          <t>Workbook 0.41 (Harrison lab) is 1.9x the field rig. Higher water flow per nozzle raises pumping/UV burden per tonne, so the workbook is conservative here. Unconfirmed against paper text.</t>
        </is>
      </c>
    </row>
    <row r="14">
      <c r="A14" s="4" t="inlineStr">
        <is>
          <t>A_tech_costs</t>
        </is>
      </c>
      <c r="B14" s="2" t="inlineStr">
        <is>
          <t>1. Technology Description</t>
        </is>
      </c>
      <c r="C14" s="2" t="inlineStr">
        <is>
          <t>B23</t>
        </is>
      </c>
      <c r="D14" s="2" t="inlineStr">
        <is>
          <t>Seawater flow rate</t>
        </is>
      </c>
      <c r="E14" s="2" t="n">
        <v>0.41</v>
      </c>
      <c r="F14" s="2" t="inlineStr">
        <is>
          <t>mL/s per nozzle</t>
        </is>
      </c>
      <c r="G14" s="2" t="inlineStr"/>
      <c r="H14" s="2" t="inlineStr">
        <is>
          <t>Harrison 2025</t>
        </is>
      </c>
      <c r="I14" s="2" t="inlineStr">
        <is>
          <t>Harrison, L. P., Medcraft, C., &amp; Harrison, D. P. (2025). Effervescent nozzle design to enable outdoor marine cloud brightening experimentation. Environ. Sci.: Atmos. 5(10), 1071-1080.</t>
        </is>
      </c>
      <c r="J14" s="2" t="inlineStr">
        <is>
          <t>10.1039/d5ea00073d</t>
        </is>
      </c>
      <c r="K14" s="8" t="inlineStr">
        <is>
          <t>https://doi.org/10.1039/d5ea00073d</t>
        </is>
      </c>
      <c r="L14" s="2" t="n">
        <v>403</v>
      </c>
      <c r="M14" s="2" t="inlineStr">
        <is>
          <t>not accessible</t>
        </is>
      </c>
      <c r="N14" s="2" t="inlineStr">
        <is>
          <t>abstract only</t>
        </is>
      </c>
      <c r="O14" s="2" t="n">
        <v>0.41</v>
      </c>
      <c r="P14" s="2" t="inlineStr">
        <is>
          <t>point</t>
        </is>
      </c>
      <c r="Q14" s="2" t="n"/>
      <c r="R14" s="2" t="n"/>
      <c r="S14" s="2" t="inlineStr"/>
      <c r="T14" s="2" t="inlineStr">
        <is>
          <t>1 nozzle</t>
        </is>
      </c>
      <c r="U14" s="2" t="inlineStr"/>
      <c r="V14" s="7" t="inlineStr">
        <is>
          <t>within</t>
        </is>
      </c>
      <c r="W14" s="2" t="inlineStr">
        <is>
          <t>neutral</t>
        </is>
      </c>
      <c r="X14" s="2" t="inlineStr">
        <is>
          <t>low</t>
        </is>
      </c>
      <c r="Y14" s="2" t="inlineStr">
        <is>
          <t>Full text of Harrison 2025 could not be retrieved (RSC Cloudflare/403 on doi, PDF and HTML; Europe PMC and OpenAlex hold no full text; Crossref abstract truncated to first sentence). The workbook value is therefore NOT independently confirmed from the paper itself.</t>
        </is>
      </c>
    </row>
    <row r="15">
      <c r="A15" s="4" t="inlineStr">
        <is>
          <t>A_tech_costs</t>
        </is>
      </c>
      <c r="B15" s="2" t="inlineStr">
        <is>
          <t>1. Technology Description</t>
        </is>
      </c>
      <c r="C15" s="2" t="inlineStr">
        <is>
          <t>B26</t>
        </is>
      </c>
      <c r="D15" s="2" t="inlineStr">
        <is>
          <t>Pumping + filtration + UV energy</t>
        </is>
      </c>
      <c r="E15" s="2" t="n">
        <v>0.6</v>
      </c>
      <c r="F15" s="2" t="inlineStr">
        <is>
          <t>kWh per m3 seawater</t>
        </is>
      </c>
      <c r="G15" s="2" t="inlineStr"/>
      <c r="H15" s="2" t="inlineStr">
        <is>
          <t>Derived hydraulic lower bound (physics)</t>
        </is>
      </c>
      <c r="I15" s="2" t="inlineStr">
        <is>
          <t>Derived: E = rho g H /(eta x 3.6e6) kWh/m3; assumes head 10-30 m, pump+motor efficiency 0.5-0.7. Not a literature value.</t>
        </is>
      </c>
      <c r="J15" s="2" t="inlineStr"/>
      <c r="K15" s="2" t="inlineStr"/>
      <c r="L15" s="2" t="n"/>
      <c r="M15" s="2" t="inlineStr">
        <is>
          <t>derivation</t>
        </is>
      </c>
      <c r="N15" s="2" t="inlineStr">
        <is>
          <t>n/a</t>
        </is>
      </c>
      <c r="O15" s="2" t="n">
        <v>0.04</v>
      </c>
      <c r="P15" s="2" t="inlineStr">
        <is>
          <t>point</t>
        </is>
      </c>
      <c r="Q15" s="2" t="n">
        <v>0.039</v>
      </c>
      <c r="R15" s="2" t="n">
        <v>0.164</v>
      </c>
      <c r="S15" s="2" t="inlineStr">
        <is>
          <t>range stated</t>
        </is>
      </c>
      <c r="T15" s="2" t="inlineStr">
        <is>
          <t>derived, assumptions mine</t>
        </is>
      </c>
      <c r="U15" s="2" t="inlineStr">
        <is>
          <t>pumping only. Filtration and UV not quantified (no source obtained).</t>
        </is>
      </c>
      <c r="V15" s="5" t="inlineStr">
        <is>
          <t>above range</t>
        </is>
      </c>
      <c r="W15" s="2" t="inlineStr">
        <is>
          <t>no</t>
        </is>
      </c>
      <c r="X15" s="2" t="inlineStr">
        <is>
          <t>low</t>
        </is>
      </c>
      <c r="Y15" s="2" t="inlineStr">
        <is>
          <t>Derivation: 1000*9.81*10/(3.6e6*0.7)=0.039; 1000*9.81*30/(3.6e6*0.5)=0.164. Cell note says 'Assumption'. Voutchkov 2018 Desalination 431 (doi:10.1016/j.desal.2017.10.033, status 200) is the right place to look for intake+pretreatment kWh/m3, but its abstract was not available and I did not obtain a number. Tried: Crossref, OpenAlex, DOI landing. Needs follow-up (SWRO intake/pretreatment literature, UV dose energy).</t>
        </is>
      </c>
    </row>
    <row r="16">
      <c r="A16" s="4" t="inlineStr">
        <is>
          <t>A_tech_costs</t>
        </is>
      </c>
      <c r="B16" s="2" t="inlineStr">
        <is>
          <t>2. Cost Inputs</t>
        </is>
      </c>
      <c r="C16" s="2" t="inlineStr">
        <is>
          <t>B5</t>
        </is>
      </c>
      <c r="D16" s="2" t="inlineStr">
        <is>
          <t>Equipment availability</t>
        </is>
      </c>
      <c r="E16" s="2" t="n">
        <v>0.9</v>
      </c>
      <c r="F16" s="2" t="inlineStr">
        <is>
          <t>fraction</t>
        </is>
      </c>
      <c r="G16" s="2" t="inlineStr">
        <is>
          <t>Assumption (mechanical uptime target)</t>
        </is>
      </c>
      <c r="H16" s="2" t="inlineStr">
        <is>
          <t>Tidewater 10-K FY2024 (commercial utilization)</t>
        </is>
      </c>
      <c r="I16" s="2" t="inlineStr">
        <is>
          <t>Tidewater Inc. Form 10-K for fiscal year 2024 (filed 2025).</t>
        </is>
      </c>
      <c r="J16" s="2" t="inlineStr"/>
      <c r="K16" s="8" t="inlineStr">
        <is>
          <t>https://www.sec.gov/Archives/edgar/data/98222/000143774925005487/tdw20241231_10k.htm</t>
        </is>
      </c>
      <c r="L16" s="2" t="n">
        <v>200</v>
      </c>
      <c r="M16" s="2" t="inlineStr">
        <is>
          <t>MD&amp;A Select operating statistics, total company: utilization 79.0%, active utilization 79.2% (2023: 79.1%, 81.2%)</t>
        </is>
      </c>
      <c r="N16" s="2" t="inlineStr">
        <is>
          <t>full text</t>
        </is>
      </c>
      <c r="O16" s="2" t="n">
        <v>0.79</v>
      </c>
      <c r="P16" s="2" t="inlineStr">
        <is>
          <t>point</t>
        </is>
      </c>
      <c r="Q16" s="2" t="n">
        <v>0.763</v>
      </c>
      <c r="R16" s="2" t="n">
        <v>0.84</v>
      </c>
      <c r="S16" s="2" t="inlineStr">
        <is>
          <t>min-max across studies</t>
        </is>
      </c>
      <c r="T16" s="2" t="inlineStr">
        <is>
          <t>1 operator, 211-217 vessels; range spans Americas 2024 (76.3%) to Americas 2023 (82.0%)/active 84.4%</t>
        </is>
      </c>
      <c r="U16" s="2" t="inlineStr">
        <is>
          <t>Commercial utilization (days on hire / days available) is NOT technical availability.</t>
        </is>
      </c>
      <c r="V16" s="6" t="inlineStr">
        <is>
          <t>no comparable value</t>
        </is>
      </c>
      <c r="W16" s="2" t="inlineStr">
        <is>
          <t>neutral</t>
        </is>
      </c>
      <c r="X16" s="2" t="inlineStr">
        <is>
          <t>low</t>
        </is>
      </c>
      <c r="Y16" s="2" t="inlineStr">
        <is>
          <t>No technical-uptime figure for a seawater spray plant exists in any source found. CS-06 Fig 25 (p.40 list) shows compressor repairs during field trials, qualitative. Tried: CS-06/07 text, Tidewater 10-K, search for OSV technical availability (no hit). If 0.9 stands in for commercial utilization, offshore-fleet data suggest ~0.79, which would favour MCB.</t>
        </is>
      </c>
    </row>
    <row r="17">
      <c r="A17" s="4" t="inlineStr">
        <is>
          <t>A_tech_costs</t>
        </is>
      </c>
      <c r="B17" s="2" t="inlineStr">
        <is>
          <t>2. Cost Inputs</t>
        </is>
      </c>
      <c r="C17" s="2" t="inlineStr">
        <is>
          <t>B6</t>
        </is>
      </c>
      <c r="D17" s="2" t="inlineStr">
        <is>
          <t>Project lifetime</t>
        </is>
      </c>
      <c r="E17" s="2" t="n">
        <v>15</v>
      </c>
      <c r="F17" s="2" t="inlineStr">
        <is>
          <t>years</t>
        </is>
      </c>
      <c r="G17" s="2" t="inlineStr">
        <is>
          <t>Assumption (hardware life)</t>
        </is>
      </c>
      <c r="H17" s="2" t="inlineStr">
        <is>
          <t>Tidewater 10-K FY2024 (useful lives)</t>
        </is>
      </c>
      <c r="I17" s="2" t="inlineStr">
        <is>
          <t>Tidewater Inc. Form 10-K for fiscal year 2024 (filed 2025).</t>
        </is>
      </c>
      <c r="J17" s="2" t="inlineStr"/>
      <c r="K17" s="8" t="inlineStr">
        <is>
          <t>https://www.sec.gov/Archives/edgar/data/98222/000143774925005487/tdw20241231_10k.htm</t>
        </is>
      </c>
      <c r="L17" s="2" t="n">
        <v>200</v>
      </c>
      <c r="M17" s="2" t="inlineStr">
        <is>
          <t>Note on Properties and Equipment: straight-line, salvage 7.5%, estimated useful lives of 10-20 years for marine equipment</t>
        </is>
      </c>
      <c r="N17" s="2" t="inlineStr">
        <is>
          <t>full text</t>
        </is>
      </c>
      <c r="O17" s="2" t="n">
        <v>15</v>
      </c>
      <c r="P17" s="2" t="inlineStr">
        <is>
          <t>point</t>
        </is>
      </c>
      <c r="Q17" s="2" t="n">
        <v>10</v>
      </c>
      <c r="R17" s="2" t="n">
        <v>20</v>
      </c>
      <c r="S17" s="2" t="inlineStr">
        <is>
          <t>range stated</t>
        </is>
      </c>
      <c r="T17" s="2" t="inlineStr">
        <is>
          <t>1 operator accounting policy</t>
        </is>
      </c>
      <c r="U17" s="2" t="inlineStr">
        <is>
          <t>accounting life, shorter than physical hull life (PSVs often run 25+ years; not sourced here)</t>
        </is>
      </c>
      <c r="V17" s="7" t="inlineStr">
        <is>
          <t>within</t>
        </is>
      </c>
      <c r="W17" s="2" t="inlineStr">
        <is>
          <t>neutral</t>
        </is>
      </c>
      <c r="X17" s="2" t="inlineStr">
        <is>
          <t>medium</t>
        </is>
      </c>
      <c r="Y17" s="2" t="inlineStr">
        <is>
          <t>Midpoint of stated range = 15. Pre-2018 Tidewater filings used 15-25 years (seen only in a search snippet, not fetched).</t>
        </is>
      </c>
    </row>
    <row r="18">
      <c r="A18" s="4" t="inlineStr">
        <is>
          <t>A_tech_costs</t>
        </is>
      </c>
      <c r="B18" s="2" t="inlineStr">
        <is>
          <t>2. Cost Inputs</t>
        </is>
      </c>
      <c r="C18" s="2" t="inlineStr">
        <is>
          <t>B7</t>
        </is>
      </c>
      <c r="D18" s="2" t="inlineStr">
        <is>
          <t>Discount rate</t>
        </is>
      </c>
      <c r="E18" s="2" t="n">
        <v>0.1</v>
      </c>
      <c r="F18" s="2" t="inlineStr">
        <is>
          <t>fraction</t>
        </is>
      </c>
      <c r="G18" s="2" t="inlineStr">
        <is>
          <t>Assumption (cost of capital)</t>
        </is>
      </c>
      <c r="H18" s="2" t="inlineStr">
        <is>
          <t>Damodaran Jan 2026 (Shipbuilding &amp; Marine)</t>
        </is>
      </c>
      <c r="I18" s="2" t="inlineStr">
        <is>
          <t>Damodaran, A. Cost of Capital by Sector (US), data as of January 2026. NYU Stern.</t>
        </is>
      </c>
      <c r="J18" s="2" t="inlineStr"/>
      <c r="K18" s="8" t="inlineStr">
        <is>
          <t>https://pages.stern.nyu.edu/~adamodar/New_Home_Page/datafile/wacc.html</t>
        </is>
      </c>
      <c r="L18" s="2" t="n">
        <v>200</v>
      </c>
      <c r="M18" s="2" t="inlineStr">
        <is>
          <t>Cost of Capital by sector, US: Shipbuilding &amp; Marine cost of capital 6.69% (cost of equity 7.31%, 8 firms)</t>
        </is>
      </c>
      <c r="N18" s="2" t="inlineStr">
        <is>
          <t>full text</t>
        </is>
      </c>
      <c r="O18" s="2" t="n">
        <v>0.0669</v>
      </c>
      <c r="P18" s="2" t="inlineStr">
        <is>
          <t>point</t>
        </is>
      </c>
      <c r="Q18" s="2" t="n">
        <v>0.0625</v>
      </c>
      <c r="R18" s="2" t="n">
        <v>0.0743</v>
      </c>
      <c r="S18" s="2" t="inlineStr">
        <is>
          <t>min-max across studies</t>
        </is>
      </c>
      <c r="T18" s="2" t="inlineStr">
        <is>
          <t>8 firms (sector); range across comparable sectors: Oil/Gas Production 6.25% (142 firms), Transportation 6.72% (19), Total Market 6.96% (5,994), Environmental &amp; Waste 7.43% (53)</t>
        </is>
      </c>
      <c r="U18" s="2" t="inlineStr">
        <is>
          <t>nominal USD WACC, listed-company averages. A first-of-a-kind climate venture would carry a higher project rate.</t>
        </is>
      </c>
      <c r="V18" s="5" t="inlineStr">
        <is>
          <t>above range</t>
        </is>
      </c>
      <c r="W18" s="2" t="inlineStr">
        <is>
          <t>no</t>
        </is>
      </c>
      <c r="X18" s="2" t="inlineStr">
        <is>
          <t>medium</t>
        </is>
      </c>
      <c r="Y18" s="2" t="inlineStr">
        <is>
          <t>Workbook 10% is conservative vs sector WACC. Does not say whether workbook rate is real or nominal.</t>
        </is>
      </c>
    </row>
    <row r="19">
      <c r="A19" s="4" t="inlineStr">
        <is>
          <t>A_tech_costs</t>
        </is>
      </c>
      <c r="B19" s="2" t="inlineStr">
        <is>
          <t>2. Cost Inputs</t>
        </is>
      </c>
      <c r="C19" s="2" t="inlineStr">
        <is>
          <t>B7</t>
        </is>
      </c>
      <c r="D19" s="2" t="inlineStr">
        <is>
          <t>Discount rate</t>
        </is>
      </c>
      <c r="E19" s="2" t="n">
        <v>0.1</v>
      </c>
      <c r="F19" s="2" t="inlineStr">
        <is>
          <t>fraction</t>
        </is>
      </c>
      <c r="G19" s="2" t="inlineStr"/>
      <c r="H19" s="2" t="inlineStr">
        <is>
          <t>OMB Circular A-4 (2023)</t>
        </is>
      </c>
      <c r="I19" s="2" t="inlineStr">
        <is>
          <t>OMB (Nov 2023). Circular A-4, Regulatory Analysis.</t>
        </is>
      </c>
      <c r="J19" s="2" t="inlineStr"/>
      <c r="K19" s="8" t="inlineStr">
        <is>
          <t>https://bidenwhitehouse.archives.gov/wp-content/uploads/2023/11/CircularA-4.pdf</t>
        </is>
      </c>
      <c r="L19" s="2" t="n">
        <v>200</v>
      </c>
      <c r="M19" s="2" t="inlineStr">
        <is>
          <t>Appendix/Discount rate section (PDF p.77): social rate of time preference 2.0% per year (1.7% + 0.3%)</t>
        </is>
      </c>
      <c r="N19" s="2" t="inlineStr">
        <is>
          <t>full text</t>
        </is>
      </c>
      <c r="O19" s="2" t="n">
        <v>0.02</v>
      </c>
      <c r="P19" s="2" t="inlineStr">
        <is>
          <t>point</t>
        </is>
      </c>
      <c r="Q19" s="2" t="n"/>
      <c r="R19" s="2" t="n"/>
      <c r="S19" s="2" t="inlineStr"/>
      <c r="T19" s="2" t="inlineStr">
        <is>
          <t>OMB default for regulatory analysis</t>
        </is>
      </c>
      <c r="U19" s="2" t="inlineStr">
        <is>
          <t>Social (not private) discount rate, real. The 2003 version used 3% and 7% (from secondary sources only). A secondary source (Policy Integrity working paper, via search) says a 2025 Executive Order directed OMB back to the 2003 guidance; not confirmed against an OMB or Federal Register text.</t>
        </is>
      </c>
      <c r="V19" s="5" t="inlineStr">
        <is>
          <t>above range</t>
        </is>
      </c>
      <c r="W19" s="2" t="inlineStr">
        <is>
          <t>no</t>
        </is>
      </c>
      <c r="X19" s="2" t="inlineStr">
        <is>
          <t>medium</t>
        </is>
      </c>
      <c r="Y19" s="2" t="inlineStr">
        <is>
          <t>Appropriate for a public-benefit calculation; private cost of capital is the Damodaran row. Choice of 2% vs 10% moves the capital charge by a large factor (capital recovery factor at 15 yr: 0.0777 at 2%, 0.1315 at 10%).</t>
        </is>
      </c>
    </row>
    <row r="20">
      <c r="A20" s="4" t="inlineStr">
        <is>
          <t>A_tech_costs</t>
        </is>
      </c>
      <c r="B20" s="2" t="inlineStr">
        <is>
          <t>2. Cost Inputs</t>
        </is>
      </c>
      <c r="C20" s="2" t="inlineStr">
        <is>
          <t>B8</t>
        </is>
      </c>
      <c r="D20" s="2" t="inlineStr">
        <is>
          <t>Exchange rate, AUD to USD</t>
        </is>
      </c>
      <c r="E20" s="2" t="n">
        <v>0.7</v>
      </c>
      <c r="F20" s="2" t="inlineStr">
        <is>
          <t>USD per AUD</t>
        </is>
      </c>
      <c r="G20" s="2" t="inlineStr"/>
      <c r="H20" s="2" t="inlineStr">
        <is>
          <t>ECB reference rates via Frankfurter API</t>
        </is>
      </c>
      <c r="I20" s="2" t="inlineStr">
        <is>
          <t>Frankfurter API (ECB reference rates), AUD to USD daily series 2016-01-01 to 2026-10-23.</t>
        </is>
      </c>
      <c r="J20" s="2" t="inlineStr"/>
      <c r="K20" s="8" t="inlineStr">
        <is>
          <t>https://api.frankfurter.dev/v1/2016-01-01..2026-10-23?base=AUD&amp;symbols=USD</t>
        </is>
      </c>
      <c r="L20" s="2" t="n">
        <v>200</v>
      </c>
      <c r="M20" s="2" t="inlineStr">
        <is>
          <t>daily AUD/USD 2016-01-01 to 2026-10-23</t>
        </is>
      </c>
      <c r="N20" s="2" t="inlineStr">
        <is>
          <t>full text</t>
        </is>
      </c>
      <c r="O20" s="2" t="n">
        <v>0.702</v>
      </c>
      <c r="P20" s="2" t="inlineStr">
        <is>
          <t>point</t>
        </is>
      </c>
      <c r="Q20" s="2" t="n">
        <v>0.58</v>
      </c>
      <c r="R20" s="2" t="n">
        <v>0.8110000000000001</v>
      </c>
      <c r="S20" s="2" t="inlineStr">
        <is>
          <t>min-max across studies</t>
        </is>
      </c>
      <c r="T20" s="2" t="inlineStr">
        <is>
          <t>~2,700 daily rates</t>
        </is>
      </c>
      <c r="U20" s="2" t="inlineStr">
        <is>
          <t>annual means 0.645 (2025) to 0.767 (2017); latest 0.7022 on 2026-10-23</t>
        </is>
      </c>
      <c r="V20" s="7" t="inlineStr">
        <is>
          <t>within</t>
        </is>
      </c>
      <c r="W20" s="2" t="inlineStr">
        <is>
          <t>neutral</t>
        </is>
      </c>
      <c r="X20" s="2" t="inlineStr">
        <is>
          <t>high</t>
        </is>
      </c>
      <c r="Y20" s="2" t="inlineStr">
        <is>
          <t>Central is the latest rate, not a mean.</t>
        </is>
      </c>
    </row>
    <row r="21">
      <c r="A21" s="4" t="inlineStr">
        <is>
          <t>A_tech_costs</t>
        </is>
      </c>
      <c r="B21" s="2" t="inlineStr">
        <is>
          <t>2. Cost Inputs</t>
        </is>
      </c>
      <c r="C21" s="2" t="inlineStr">
        <is>
          <t>B14</t>
        </is>
      </c>
      <c r="D21" s="2" t="inlineStr">
        <is>
          <t>Spray power per vessel-unit</t>
        </is>
      </c>
      <c r="E21" s="2" t="n">
        <v>4168.362777823007</v>
      </c>
      <c r="F21" s="2" t="inlineStr">
        <is>
          <t>kW</t>
        </is>
      </c>
      <c r="G21" s="2" t="inlineStr"/>
      <c r="H21" s="2" t="inlineStr">
        <is>
          <t>CS-06 2025 (scale-up power)</t>
        </is>
      </c>
      <c r="I21" s="2" t="inlineStr">
        <is>
          <t>Harrison, D. P. et al. (2025). RRAP Cloud and Sky Brightening Development (CS-06) Final Report 2025. Reef Restoration and Adaptation Program.</t>
        </is>
      </c>
      <c r="J21" s="2" t="inlineStr"/>
      <c r="K21" s="8" t="inlineStr">
        <is>
          <t>https://gbrrestoration.org/wp-content/uploads/2026/06/RRAP-CS-06_FINAL-REPORT-2025.pdf</t>
        </is>
      </c>
      <c r="L21" s="2" t="n">
        <v>200</v>
      </c>
      <c r="M21" s="2" t="inlineStr">
        <is>
          <t>p.17 (PDF p.25): ~3.5 MW; p.18 (PDF p.26): ~4 MW for 1e16 s-1</t>
        </is>
      </c>
      <c r="N21" s="2" t="inlineStr">
        <is>
          <t>full text</t>
        </is>
      </c>
      <c r="O21" s="2" t="n">
        <v>3750</v>
      </c>
      <c r="P21" s="2" t="inlineStr">
        <is>
          <t>point</t>
        </is>
      </c>
      <c r="Q21" s="2" t="n">
        <v>3500</v>
      </c>
      <c r="R21" s="2" t="n">
        <v>4000</v>
      </c>
      <c r="S21" s="2" t="inlineStr">
        <is>
          <t>range stated</t>
        </is>
      </c>
      <c r="T21" s="2" t="inlineStr">
        <is>
          <t>2 report estimates</t>
        </is>
      </c>
      <c r="U21" s="2" t="inlineStr">
        <is>
          <t>report targets 1e16/s TOTAL aerosol. Workbook plant makes 8,141 x 1.73e12 = 1.41e16/s total (1.0e16 in the 30-1000 nm window), so the 4.17 MW plant is sized to 1e16 in-window.</t>
        </is>
      </c>
      <c r="V21" s="5" t="inlineStr">
        <is>
          <t>above range</t>
        </is>
      </c>
      <c r="W21" s="2" t="inlineStr">
        <is>
          <t>no</t>
        </is>
      </c>
      <c r="X21" s="2" t="inlineStr">
        <is>
          <t>medium</t>
        </is>
      </c>
      <c r="Y21" s="2" t="inlineStr">
        <is>
          <t>Workbook is 4-19% above the report because of the window-fraction sizing. Inherits the H18 power question (512 W vs report-implied 554-692 W).</t>
        </is>
      </c>
    </row>
    <row r="22">
      <c r="A22" s="4" t="inlineStr">
        <is>
          <t>A_tech_costs</t>
        </is>
      </c>
      <c r="B22" s="2" t="inlineStr">
        <is>
          <t>2. Cost Inputs</t>
        </is>
      </c>
      <c r="C22" s="2" t="inlineStr">
        <is>
          <t>D20</t>
        </is>
      </c>
      <c r="D22" s="2" t="inlineStr">
        <is>
          <t>Seawater</t>
        </is>
      </c>
      <c r="E22" s="2" t="n">
        <v>0</v>
      </c>
      <c r="F22" s="2" t="inlineStr">
        <is>
          <t>$/L</t>
        </is>
      </c>
      <c r="G22" s="2" t="inlineStr"/>
      <c r="H22" s="2" t="inlineStr">
        <is>
          <t>(structural)</t>
        </is>
      </c>
      <c r="I22" s="2" t="inlineStr"/>
      <c r="J22" s="2" t="inlineStr"/>
      <c r="K22" s="2" t="inlineStr"/>
      <c r="L22" s="2" t="n"/>
      <c r="M22" s="2" t="inlineStr"/>
      <c r="N22" s="2" t="inlineStr"/>
      <c r="O22" s="2" t="n"/>
      <c r="P22" s="2" t="inlineStr"/>
      <c r="Q22" s="2" t="n"/>
      <c r="R22" s="2" t="n"/>
      <c r="S22" s="2" t="inlineStr"/>
      <c r="T22" s="2" t="inlineStr"/>
      <c r="U22" s="2" t="inlineStr"/>
      <c r="V22" s="2" t="inlineStr">
        <is>
          <t>definitional</t>
        </is>
      </c>
      <c r="W22" s="2" t="inlineStr">
        <is>
          <t>n/a</t>
        </is>
      </c>
      <c r="X22" s="2" t="inlineStr">
        <is>
          <t>high</t>
        </is>
      </c>
      <c r="Y22" s="2" t="inlineStr">
        <is>
          <t>Zero price for seawater by construction.</t>
        </is>
      </c>
    </row>
    <row r="23">
      <c r="A23" s="4" t="inlineStr">
        <is>
          <t>A_tech_costs</t>
        </is>
      </c>
      <c r="B23" s="2" t="inlineStr">
        <is>
          <t>2. Cost Inputs</t>
        </is>
      </c>
      <c r="C23" s="2" t="inlineStr">
        <is>
          <t>D24</t>
        </is>
      </c>
      <c r="D23" s="2" t="inlineStr">
        <is>
          <t>Energy (compression, atomizes wet seawater)</t>
        </is>
      </c>
      <c r="E23" s="2" t="n">
        <v>0.3</v>
      </c>
      <c r="F23" s="2" t="inlineStr">
        <is>
          <t>$/kWh</t>
        </is>
      </c>
      <c r="G23" s="2" t="inlineStr">
        <is>
          <t>Derived: Harrison nozzle power x 24 h x energy price assumption</t>
        </is>
      </c>
      <c r="H23" s="2" t="inlineStr">
        <is>
          <t>IMO Fourth GHG Study 2020 + ShipUniverse MGO</t>
        </is>
      </c>
      <c r="I23" s="2" t="inlineStr">
        <is>
          <t>Faber, J. et al. (2020). Fourth IMO GHG Study 2020, full report and annexes. International Maritime Organization.</t>
        </is>
      </c>
      <c r="J23" s="2" t="inlineStr"/>
      <c r="K23" s="8" t="inlineStr">
        <is>
          <t>https://ghgsmart.imo.org/wp-content/uploads/2023/05/Fourth-IMO-GHG-Study-2020-Full-report-and-annexes_compressed.pdf</t>
        </is>
      </c>
      <c r="L23" s="2" t="n">
        <v>200</v>
      </c>
      <c r="M23" s="2" t="inlineStr">
        <is>
          <t>IMO Table 19 (report pp.70-71; PDF p.98): auxiliary engines, MDO, built 2001+: 185 g/kWh (before 1983: 210; 1984-2000: 190). ShipUniverse 31 Jul 2026: global MGO index $1,345.16/t</t>
        </is>
      </c>
      <c r="N23" s="2" t="inlineStr">
        <is>
          <t>full text</t>
        </is>
      </c>
      <c r="O23" s="2" t="n">
        <v>0.249</v>
      </c>
      <c r="P23" s="2" t="inlineStr">
        <is>
          <t>point</t>
        </is>
      </c>
      <c r="Q23" s="2" t="n">
        <v>0.171</v>
      </c>
      <c r="R23" s="2" t="n">
        <v>0.249</v>
      </c>
      <c r="S23" s="2" t="inlineStr">
        <is>
          <t>range stated</t>
        </is>
      </c>
      <c r="T23" s="2" t="inlineStr">
        <is>
          <t>SFC: IMO fleet-model assumption; price: 1 weekly index</t>
        </is>
      </c>
      <c r="U23" s="2" t="inlineStr">
        <is>
          <t>DERIVED fuel-only electricity cost: 0.185 kg/kWh x $/kg. At $1,345/t = $0.249/kWh. Low end $0.171 uses $923.5/t Houston MGO, a figure seen only in a search snippet of a Ship&amp;Bunker table, undated, NOT verified. Excludes genset capex and O&amp;M.</t>
        </is>
      </c>
      <c r="V23" s="5" t="inlineStr">
        <is>
          <t>above range</t>
        </is>
      </c>
      <c r="W23" s="2" t="inlineStr">
        <is>
          <t>no</t>
        </is>
      </c>
      <c r="X23" s="2" t="inlineStr">
        <is>
          <t>low</t>
        </is>
      </c>
      <c r="Y23" s="2" t="inlineStr">
        <is>
          <t>0.3 $/kWh is above fuel-only cost, plausible once genset capex/O&amp;M added. July 2026 MGO was a spike (article cites Hormuz disruption, Brent near $90).</t>
        </is>
      </c>
    </row>
    <row r="24">
      <c r="A24" s="4" t="inlineStr">
        <is>
          <t>A_tech_costs</t>
        </is>
      </c>
      <c r="B24" s="2" t="inlineStr">
        <is>
          <t>2. Cost Inputs</t>
        </is>
      </c>
      <c r="C24" s="2" t="inlineStr">
        <is>
          <t>B25</t>
        </is>
      </c>
      <c r="D24" s="2" t="inlineStr">
        <is>
          <t>Vessel propulsion burn (underway)</t>
        </is>
      </c>
      <c r="E24" s="2" t="n">
        <v>16000</v>
      </c>
      <c r="F24" s="2" t="inlineStr">
        <is>
          <t>L/day</t>
        </is>
      </c>
      <c r="G24" s="2" t="inlineStr">
        <is>
          <t>UT 755L ~16.4 m3/day at 10 kn; Adland PSV avg ~9.3 t/day</t>
        </is>
      </c>
      <c r="H24" s="2" t="inlineStr">
        <is>
          <t>HOS269 UT 755 L PSV spec sheet</t>
        </is>
      </c>
      <c r="I24" s="2" t="inlineStr">
        <is>
          <t>Hornbeck Offshore Services. UT 755 L Platform Supply Vessel spec sheet (HOS269), 71.9 m LOA, 6,310 hp.</t>
        </is>
      </c>
      <c r="J24" s="2" t="inlineStr"/>
      <c r="K24" s="8" t="inlineStr">
        <is>
          <t>https://horizonoffshoreservices.com/wp-content/uploads/2024/07/HOS269.pdf</t>
        </is>
      </c>
      <c r="L24" s="2" t="n">
        <v>200</v>
      </c>
      <c r="M24" s="2" t="inlineStr">
        <is>
          <t>Fuel Consumption vs Speed: 16.4 m3/day (180 gph) at 10 kn economical; 22.7 m3/day at 12 kn cruising; 27.3 m3/day at 14 kn max</t>
        </is>
      </c>
      <c r="N24" s="2" t="inlineStr">
        <is>
          <t>full text</t>
        </is>
      </c>
      <c r="O24" s="2" t="n">
        <v>16400</v>
      </c>
      <c r="P24" s="2" t="inlineStr">
        <is>
          <t>point</t>
        </is>
      </c>
      <c r="Q24" s="2" t="n">
        <v>16400</v>
      </c>
      <c r="R24" s="2" t="n">
        <v>27300</v>
      </c>
      <c r="S24" s="2" t="inlineStr">
        <is>
          <t>range stated</t>
        </is>
      </c>
      <c r="T24" s="2" t="inlineStr">
        <is>
          <t>1 vessel (71.9 m, 6,310 hp)</t>
        </is>
      </c>
      <c r="U24" s="2" t="inlineStr">
        <is>
          <t>speed-dependent, roughly cubic; n=1 vessel</t>
        </is>
      </c>
      <c r="V24" s="7" t="inlineStr">
        <is>
          <t>within</t>
        </is>
      </c>
      <c r="W24" s="2" t="inlineStr">
        <is>
          <t>yes</t>
        </is>
      </c>
      <c r="X24" s="2" t="inlineStr">
        <is>
          <t>medium</t>
        </is>
      </c>
      <c r="Y24" s="2" t="inlineStr">
        <is>
          <t>Workbook equals the 10-kn economical figure (rounded). The MDPI link in the workbook (doi:10.3390/jmse13040686, status 403) is 'Analysis of Fleet Management Policies for Offshore PSVs: The Brazilian Case', not an Adland paper; the '9.3 t/day Adland PSV average' was NOT verified (abstract has no number).</t>
        </is>
      </c>
    </row>
    <row r="25">
      <c r="A25" s="4" t="inlineStr">
        <is>
          <t>A_tech_costs</t>
        </is>
      </c>
      <c r="B25" s="2" t="inlineStr">
        <is>
          <t>2. Cost Inputs</t>
        </is>
      </c>
      <c r="C25" s="2" t="inlineStr">
        <is>
          <t>D25</t>
        </is>
      </c>
      <c r="D25" s="2" t="inlineStr">
        <is>
          <t>Vessel propulsion burn (underway)</t>
        </is>
      </c>
      <c r="E25" s="2" t="n">
        <v>0.9</v>
      </c>
      <c r="F25" s="2" t="inlineStr">
        <is>
          <t>$/L</t>
        </is>
      </c>
      <c r="G25" s="2" t="inlineStr">
        <is>
          <t>(no price source in workbook)</t>
        </is>
      </c>
      <c r="H25" s="2" t="inlineStr">
        <is>
          <t>ShipUniverse 31 Jul 2026 (global MGO index)</t>
        </is>
      </c>
      <c r="I25" s="2" t="inlineStr">
        <is>
          <t>ShipUniverse (31 Jul 2026). Bunker Prices Pull Back From Last Week's Spike, but MGO Remains a Major Cost Risk (Weekly Bunker Watch).</t>
        </is>
      </c>
      <c r="J25" s="2" t="inlineStr"/>
      <c r="K25" s="8" t="inlineStr">
        <is>
          <t>https://www.shipuniverse.com/news/bunker-prices-pull-back-from-last-weeks-spike-but-mgo-remains-a-major-cost-risk/</t>
        </is>
      </c>
      <c r="L25" s="2" t="n">
        <v>200</v>
      </c>
      <c r="M25" s="2" t="inlineStr">
        <is>
          <t>Global MGO index $1,345.16 per metric ton</t>
        </is>
      </c>
      <c r="N25" s="2" t="inlineStr">
        <is>
          <t>full text</t>
        </is>
      </c>
      <c r="O25" s="2" t="n">
        <v>1.157</v>
      </c>
      <c r="P25" s="2" t="inlineStr">
        <is>
          <t>point</t>
        </is>
      </c>
      <c r="Q25" s="2" t="n">
        <v>1.14</v>
      </c>
      <c r="R25" s="2" t="n">
        <v>1.2</v>
      </c>
      <c r="S25" s="2" t="inlineStr">
        <is>
          <t>range stated</t>
        </is>
      </c>
      <c r="T25" s="2" t="inlineStr">
        <is>
          <t>1 weekly index</t>
        </is>
      </c>
      <c r="U25" s="2" t="inlineStr">
        <is>
          <t>DERIVED: $1,345.16/t x 0.86 kg/L = $1.157/L; density 0.85-0.89 kg/L (my assumption, typical MGO) gives 1.14-1.20. Index was elevated by a Hormuz-related spike per the article.</t>
        </is>
      </c>
      <c r="V25" s="5" t="inlineStr">
        <is>
          <t>below range</t>
        </is>
      </c>
      <c r="W25" s="2" t="inlineStr">
        <is>
          <t>yes</t>
        </is>
      </c>
      <c r="X25" s="2" t="inlineStr">
        <is>
          <t>low</t>
        </is>
      </c>
      <c r="Y25" s="2" t="inlineStr">
        <is>
          <t>No pre-spike or multi-year price series obtained, so a long-run central cannot be stated. EIA not reached.</t>
        </is>
      </c>
    </row>
    <row r="26">
      <c r="A26" s="4" t="inlineStr">
        <is>
          <t>A_tech_costs</t>
        </is>
      </c>
      <c r="B26" s="2" t="inlineStr">
        <is>
          <t>2. Cost Inputs</t>
        </is>
      </c>
      <c r="C26" s="2" t="inlineStr">
        <is>
          <t>B26</t>
        </is>
      </c>
      <c r="D26" s="2" t="inlineStr">
        <is>
          <t>Vessel hotel burn (at rest / on station)</t>
        </is>
      </c>
      <c r="E26" s="2" t="n">
        <v>2700</v>
      </c>
      <c r="F26" s="2" t="inlineStr">
        <is>
          <t>L/day</t>
        </is>
      </c>
      <c r="G26" s="2">
        <f>D25 / hotel plus light station-keeping</f>
        <v/>
      </c>
      <c r="H26" s="2" t="inlineStr">
        <is>
          <t>HOS269 UT 755 L PSV spec sheet</t>
        </is>
      </c>
      <c r="I26" s="2" t="inlineStr">
        <is>
          <t>Hornbeck Offshore Services. UT 755 L Platform Supply Vessel spec sheet (HOS269), 71.9 m LOA, 6,310 hp.</t>
        </is>
      </c>
      <c r="J26" s="2" t="inlineStr"/>
      <c r="K26" s="8" t="inlineStr">
        <is>
          <t>https://horizonoffshoreservices.com/wp-content/uploads/2024/07/HOS269.pdf</t>
        </is>
      </c>
      <c r="L26" s="2" t="n">
        <v>200</v>
      </c>
      <c r="M26" s="2" t="inlineStr">
        <is>
          <t>Standby: 2.7 m3/day (30 gph) at 0 knots</t>
        </is>
      </c>
      <c r="N26" s="2" t="inlineStr">
        <is>
          <t>full text</t>
        </is>
      </c>
      <c r="O26" s="2" t="n">
        <v>2700</v>
      </c>
      <c r="P26" s="2" t="inlineStr">
        <is>
          <t>point</t>
        </is>
      </c>
      <c r="Q26" s="2" t="n"/>
      <c r="R26" s="2" t="n"/>
      <c r="S26" s="2" t="inlineStr"/>
      <c r="T26" s="2" t="inlineStr">
        <is>
          <t>1 vessel</t>
        </is>
      </c>
      <c r="U26" s="2" t="inlineStr">
        <is>
          <t>at-rest burn; hotel loads vary with DP use</t>
        </is>
      </c>
      <c r="V26" s="7" t="inlineStr">
        <is>
          <t>within</t>
        </is>
      </c>
      <c r="W26" s="2" t="inlineStr">
        <is>
          <t>neutral</t>
        </is>
      </c>
      <c r="X26" s="2" t="inlineStr">
        <is>
          <t>medium</t>
        </is>
      </c>
      <c r="Y26" s="2" t="inlineStr">
        <is>
          <t>Workbook 2,700 equals the sheet exactly. Spray-plant electricity is costed separately.</t>
        </is>
      </c>
    </row>
    <row r="27">
      <c r="A27" s="4" t="inlineStr">
        <is>
          <t>A_tech_costs</t>
        </is>
      </c>
      <c r="B27" s="2" t="inlineStr">
        <is>
          <t>2. Cost Inputs</t>
        </is>
      </c>
      <c r="C27" s="2" t="inlineStr">
        <is>
          <t>B27</t>
        </is>
      </c>
      <c r="D27" s="2" t="inlineStr">
        <is>
          <t>Fuel tank capacity</t>
        </is>
      </c>
      <c r="E27" s="2" t="n">
        <v>1000000</v>
      </c>
      <c r="F27" s="2" t="inlineStr">
        <is>
          <t>L</t>
        </is>
      </c>
      <c r="G27" s="2" t="inlineStr"/>
      <c r="H27" s="2" t="inlineStr">
        <is>
          <t>HOS269 UT 755 L PSV spec sheet</t>
        </is>
      </c>
      <c r="I27" s="2" t="inlineStr">
        <is>
          <t>Hornbeck Offshore Services. UT 755 L Platform Supply Vessel spec sheet (HOS269), 71.9 m LOA, 6,310 hp.</t>
        </is>
      </c>
      <c r="J27" s="2" t="inlineStr"/>
      <c r="K27" s="8" t="inlineStr">
        <is>
          <t>https://horizonoffshoreservices.com/wp-content/uploads/2024/07/HOS269.pdf</t>
        </is>
      </c>
      <c r="L27" s="2" t="n">
        <v>200</v>
      </c>
      <c r="M27" s="2" t="inlineStr">
        <is>
          <t>Capacities: Fuel Oil 223,000 gal = 840 m3</t>
        </is>
      </c>
      <c r="N27" s="2" t="inlineStr">
        <is>
          <t>full text</t>
        </is>
      </c>
      <c r="O27" s="2" t="n">
        <v>840000</v>
      </c>
      <c r="P27" s="2" t="inlineStr">
        <is>
          <t>point</t>
        </is>
      </c>
      <c r="Q27" s="2" t="n"/>
      <c r="R27" s="2" t="n"/>
      <c r="S27" s="2" t="inlineStr"/>
      <c r="T27" s="2" t="inlineStr">
        <is>
          <t>1 vessel</t>
        </is>
      </c>
      <c r="U27" s="2" t="inlineStr">
        <is>
          <t>n=1</t>
        </is>
      </c>
      <c r="V27" s="5" t="inlineStr">
        <is>
          <t>above range</t>
        </is>
      </c>
      <c r="W27" s="2" t="inlineStr">
        <is>
          <t>yes</t>
        </is>
      </c>
      <c r="X27" s="2" t="inlineStr">
        <is>
          <t>low</t>
        </is>
      </c>
      <c r="Y27" s="2" t="inlineStr">
        <is>
          <t>Workbook 1,000 m3 is 19% above a 72-m PSV; plausible if tanks enlarged for a 4 MW plant but not sourced.</t>
        </is>
      </c>
    </row>
    <row r="28">
      <c r="A28" s="4" t="inlineStr">
        <is>
          <t>A_tech_costs</t>
        </is>
      </c>
      <c r="B28" s="2" t="inlineStr">
        <is>
          <t>2. Cost Inputs</t>
        </is>
      </c>
      <c r="C28" s="2" t="inlineStr">
        <is>
          <t>D28</t>
        </is>
      </c>
      <c r="D28" s="2" t="inlineStr">
        <is>
          <t>Seawater pumping + filtration + UV</t>
        </is>
      </c>
      <c r="E28" s="2" t="n">
        <v>0.3</v>
      </c>
      <c r="F28" s="2" t="inlineStr">
        <is>
          <t>$/kWh</t>
        </is>
      </c>
      <c r="G28" s="2" t="inlineStr"/>
      <c r="H28" s="2" t="inlineStr">
        <is>
          <t>(see D24)</t>
        </is>
      </c>
      <c r="I28" s="2" t="inlineStr"/>
      <c r="J28" s="2" t="inlineStr"/>
      <c r="K28" s="2" t="inlineStr"/>
      <c r="L28" s="2" t="n"/>
      <c r="M28" s="2" t="inlineStr"/>
      <c r="N28" s="2" t="inlineStr"/>
      <c r="O28" s="2" t="n"/>
      <c r="P28" s="2" t="inlineStr"/>
      <c r="Q28" s="2" t="n"/>
      <c r="R28" s="2" t="n"/>
      <c r="S28" s="2" t="inlineStr"/>
      <c r="T28" s="2" t="inlineStr"/>
      <c r="U28" s="2" t="inlineStr"/>
      <c r="V28" s="5" t="inlineStr">
        <is>
          <t>above range</t>
        </is>
      </c>
      <c r="W28" s="2" t="inlineStr">
        <is>
          <t>no</t>
        </is>
      </c>
      <c r="X28" s="2" t="inlineStr">
        <is>
          <t>low</t>
        </is>
      </c>
      <c r="Y28" s="2" t="inlineStr">
        <is>
          <t>Same 0.3 $/kWh electricity price as D24; same evidence, see D24 row. Fuel-only 0.17-0.25 $/kWh.</t>
        </is>
      </c>
    </row>
    <row r="29">
      <c r="A29" s="4" t="inlineStr">
        <is>
          <t>A_tech_costs</t>
        </is>
      </c>
      <c r="B29" s="2" t="inlineStr">
        <is>
          <t>2. Cost Inputs</t>
        </is>
      </c>
      <c r="C29" s="2" t="inlineStr">
        <is>
          <t>B31</t>
        </is>
      </c>
      <c r="D29" s="2" t="inlineStr">
        <is>
          <t>Crew</t>
        </is>
      </c>
      <c r="E29" s="2" t="n">
        <v>6</v>
      </c>
      <c r="F29" s="2" t="inlineStr">
        <is>
          <t>crew</t>
        </is>
      </c>
      <c r="G29" s="2" t="inlineStr">
        <is>
          <t>Assumption: 6 crew per vessel</t>
        </is>
      </c>
      <c r="H29" s="2" t="inlineStr">
        <is>
          <t>(no source found)</t>
        </is>
      </c>
      <c r="I29" s="2" t="inlineStr"/>
      <c r="J29" s="2" t="inlineStr"/>
      <c r="K29" s="2" t="inlineStr"/>
      <c r="L29" s="2" t="n"/>
      <c r="M29" s="2" t="inlineStr"/>
      <c r="N29" s="2" t="inlineStr">
        <is>
          <t>n/a</t>
        </is>
      </c>
      <c r="O29" s="2" t="n"/>
      <c r="P29" s="2" t="inlineStr"/>
      <c r="Q29" s="2" t="n"/>
      <c r="R29" s="2" t="n"/>
      <c r="S29" s="2" t="inlineStr"/>
      <c r="T29" s="2" t="inlineStr"/>
      <c r="U29" s="2" t="inlineStr"/>
      <c r="V29" s="6" t="inlineStr">
        <is>
          <t>no comparable value</t>
        </is>
      </c>
      <c r="W29" s="2" t="inlineStr">
        <is>
          <t>yes</t>
        </is>
      </c>
      <c r="X29" s="2" t="inlineStr">
        <is>
          <t>low</t>
        </is>
      </c>
      <c r="Y29" s="2" t="inlineStr">
        <is>
          <t>No manning figure found. Tried: Tidewater 10-K text search (no headcount per vessel), Drewry/Moore Stephens OpCost (paywalled; search snippets only), BLS OEWS (403). A 72-m, 6,310 hp PSV with DP normally carries more than 6; not documented here. Tidewater crew cost per vessel (D31 row) hints at much larger crews.</t>
        </is>
      </c>
    </row>
    <row r="30">
      <c r="A30" s="4" t="inlineStr">
        <is>
          <t>A_tech_costs</t>
        </is>
      </c>
      <c r="B30" s="2" t="inlineStr">
        <is>
          <t>2. Cost Inputs</t>
        </is>
      </c>
      <c r="C30" s="2" t="inlineStr">
        <is>
          <t>D31</t>
        </is>
      </c>
      <c r="D30" s="2" t="inlineStr">
        <is>
          <t>Crew</t>
        </is>
      </c>
      <c r="E30" s="2" t="n">
        <v>150000</v>
      </c>
      <c r="F30" s="2" t="inlineStr">
        <is>
          <t>$/crew-yr</t>
        </is>
      </c>
      <c r="G30" s="2" t="inlineStr">
        <is>
          <t>Assumption: 6 crew per vessel</t>
        </is>
      </c>
      <c r="H30" s="2" t="inlineStr">
        <is>
          <t>Tidewater 10-K FY2024 (crew cost per vessel)</t>
        </is>
      </c>
      <c r="I30" s="2" t="inlineStr">
        <is>
          <t>Tidewater Inc. Form 10-K for fiscal year 2024 (filed 2025).</t>
        </is>
      </c>
      <c r="J30" s="2" t="inlineStr"/>
      <c r="K30" s="8" t="inlineStr">
        <is>
          <t>https://www.sec.gov/Archives/edgar/data/98222/000143774925005487/tdw20241231_10k.htm</t>
        </is>
      </c>
      <c r="L30" s="2" t="n">
        <v>200</v>
      </c>
      <c r="M30" s="2" t="inlineStr">
        <is>
          <t>Results of operations: crew costs $416,276k (2024), $329,473k (2023); average active vessels 216 (2024), 200 (2023)</t>
        </is>
      </c>
      <c r="N30" s="2" t="inlineStr">
        <is>
          <t>full text</t>
        </is>
      </c>
      <c r="O30" s="2" t="n">
        <v>1930000</v>
      </c>
      <c r="P30" s="2" t="inlineStr">
        <is>
          <t>point</t>
        </is>
      </c>
      <c r="Q30" s="2" t="n">
        <v>1650000</v>
      </c>
      <c r="R30" s="2" t="n">
        <v>1930000</v>
      </c>
      <c r="S30" s="2" t="inlineStr">
        <is>
          <t>min-max across studies</t>
        </is>
      </c>
      <c r="T30" s="2" t="inlineStr">
        <is>
          <t>1 operator, 200-216 active vessels, 2 years</t>
        </is>
      </c>
      <c r="U30" s="2" t="inlineStr">
        <is>
          <t>DERIVED per VESSEL-year: 416.3M/216 = $1.93M (2024); 329.5M/200 = $1.65M (2023). Includes whole-fleet crew cost and a larger crew than 6.</t>
        </is>
      </c>
      <c r="V30" s="5" t="inlineStr">
        <is>
          <t>below range</t>
        </is>
      </c>
      <c r="W30" s="2" t="inlineStr">
        <is>
          <t>yes</t>
        </is>
      </c>
      <c r="X30" s="2" t="inlineStr">
        <is>
          <t>medium</t>
        </is>
      </c>
      <c r="Y30" s="2" t="inlineStr">
        <is>
          <t>Workbook 6 x $150k = $0.9M per vessel, 47-55% of Tidewater's per-vessel crew cost. Per-person cost not derivable without headcount. Fleet includes large AHTS/PSVs with bigger crews.</t>
        </is>
      </c>
    </row>
    <row r="31">
      <c r="A31" s="4" t="inlineStr">
        <is>
          <t>A_tech_costs</t>
        </is>
      </c>
      <c r="B31" s="2" t="inlineStr">
        <is>
          <t>2. Cost Inputs</t>
        </is>
      </c>
      <c r="C31" s="2" t="inlineStr">
        <is>
          <t>B35</t>
        </is>
      </c>
      <c r="D31" s="2" t="inlineStr">
        <is>
          <t>Maintenance &amp; insurance</t>
        </is>
      </c>
      <c r="E31" s="2" t="n">
        <v>0.07000000000000001</v>
      </c>
      <c r="F31" s="2" t="inlineStr">
        <is>
          <t>fraction of capex/yr</t>
        </is>
      </c>
      <c r="G31" s="2" t="inlineStr">
        <is>
          <t>5% maintenance + 2% insurance</t>
        </is>
      </c>
      <c r="H31" s="2" t="inlineStr">
        <is>
          <t>Tidewater 10-K FY2024 (R&amp;M + insurance)</t>
        </is>
      </c>
      <c r="I31" s="2" t="inlineStr">
        <is>
          <t>Tidewater Inc. Form 10-K for fiscal year 2024 (filed 2025).</t>
        </is>
      </c>
      <c r="J31" s="2" t="inlineStr"/>
      <c r="K31" s="8" t="inlineStr">
        <is>
          <t>https://www.sec.gov/Archives/edgar/data/98222/000143774925005487/tdw20241231_10k.htm</t>
        </is>
      </c>
      <c r="L31" s="2" t="n">
        <v>200</v>
      </c>
      <c r="M31" s="2" t="inlineStr">
        <is>
          <t>Results of operations: repair and maintenance $98,376k, insurance $11,027k (2024); $78,716k and $9,297k (2023); Note on Properties: vessels and related equipment $1,727,197k (2024), $1,716,339k (2023)</t>
        </is>
      </c>
      <c r="N31" s="2" t="inlineStr">
        <is>
          <t>full text</t>
        </is>
      </c>
      <c r="O31" s="2" t="n">
        <v>0.057</v>
      </c>
      <c r="P31" s="2" t="inlineStr">
        <is>
          <t>point</t>
        </is>
      </c>
      <c r="Q31" s="2" t="n">
        <v>0.046</v>
      </c>
      <c r="R31" s="2" t="n">
        <v>0.057</v>
      </c>
      <c r="S31" s="2" t="inlineStr">
        <is>
          <t>min-max across studies</t>
        </is>
      </c>
      <c r="T31" s="2" t="inlineStr">
        <is>
          <t>1 operator, 2 years</t>
        </is>
      </c>
      <c r="U31" s="2" t="inlineStr">
        <is>
          <t>DERIVED R&amp;M / gross vessel cost: 5.70% (2024), 4.59% (2023). Insurance: 0.64% (2024), 0.54% (2023). Total 5.1-6.3%.</t>
        </is>
      </c>
      <c r="V31" s="5" t="inlineStr">
        <is>
          <t>above range</t>
        </is>
      </c>
      <c r="W31" s="2" t="inlineStr">
        <is>
          <t>no</t>
        </is>
      </c>
      <c r="X31" s="2" t="inlineStr">
        <is>
          <t>medium</t>
        </is>
      </c>
      <c r="Y31" s="2" t="inlineStr">
        <is>
          <t>Maintenance 5% sits inside the range; insurance 2% is about 3x observed. Denominator is post-2017 fresh-start book cost, lower than newbuild, so the true % of newbuild is lower still. Workbook applies 7% to total capex including spray gear.</t>
        </is>
      </c>
    </row>
    <row r="32">
      <c r="A32" s="4" t="inlineStr">
        <is>
          <t>A_tech_costs</t>
        </is>
      </c>
      <c r="B32" s="2" t="inlineStr">
        <is>
          <t>2. Cost Inputs</t>
        </is>
      </c>
      <c r="C32" s="2" t="inlineStr">
        <is>
          <t>H40</t>
        </is>
      </c>
      <c r="D32" s="2" t="inlineStr">
        <is>
          <t>Nozzles &amp; manifolds</t>
        </is>
      </c>
      <c r="E32" s="2" t="n">
        <v>2</v>
      </c>
      <c r="F32" s="2" t="inlineStr">
        <is>
          <t>selector</t>
        </is>
      </c>
      <c r="G32" s="2" t="inlineStr"/>
      <c r="H32" s="2" t="inlineStr">
        <is>
          <t>(workbook layout)</t>
        </is>
      </c>
      <c r="I32" s="2" t="inlineStr"/>
      <c r="J32" s="2" t="inlineStr"/>
      <c r="K32" s="2" t="inlineStr"/>
      <c r="L32" s="2" t="n"/>
      <c r="M32" s="2" t="inlineStr"/>
      <c r="N32" s="2" t="inlineStr"/>
      <c r="O32" s="2" t="n"/>
      <c r="P32" s="2" t="inlineStr"/>
      <c r="Q32" s="2" t="n"/>
      <c r="R32" s="2" t="n"/>
      <c r="S32" s="2" t="inlineStr"/>
      <c r="T32" s="2" t="inlineStr"/>
      <c r="U32" s="2" t="inlineStr"/>
      <c r="V32" s="2" t="inlineStr">
        <is>
          <t>definitional</t>
        </is>
      </c>
      <c r="W32" s="2" t="inlineStr">
        <is>
          <t>n/a</t>
        </is>
      </c>
      <c r="X32" s="2" t="inlineStr">
        <is>
          <t>high</t>
        </is>
      </c>
      <c r="Y32" s="2" t="inlineStr">
        <is>
          <t>Scenario selector 1-3.</t>
        </is>
      </c>
    </row>
    <row r="33">
      <c r="A33" s="4" t="inlineStr">
        <is>
          <t>A_tech_costs</t>
        </is>
      </c>
      <c r="B33" s="2" t="inlineStr">
        <is>
          <t>2. Cost Inputs</t>
        </is>
      </c>
      <c r="C33" s="2" t="inlineStr">
        <is>
          <t>D41</t>
        </is>
      </c>
      <c r="D33" s="2" t="inlineStr">
        <is>
          <t>Compression + generation</t>
        </is>
      </c>
      <c r="E33" s="2" t="n">
        <v>1500</v>
      </c>
      <c r="F33" s="2" t="inlineStr">
        <is>
          <t>$/kW</t>
        </is>
      </c>
      <c r="G33" s="2" t="inlineStr">
        <is>
          <t>Market reference (website): ~$1,200/kW</t>
        </is>
      </c>
      <c r="H33" s="2" t="inlineStr">
        <is>
          <t>Used Ariel 200 hp CNG compressor listing</t>
        </is>
      </c>
      <c r="I33" s="2" t="inlineStr">
        <is>
          <t>Used Ariel JGQ-2-3 200 HP VFD electric drive 3-stage CNG compressor package, listing code 89539678, Bakersfield (freeoilfieldquote.com).</t>
        </is>
      </c>
      <c r="J33" s="2" t="inlineStr"/>
      <c r="K33" s="8" t="inlineStr">
        <is>
          <t>https://inventory.freeoilfieldquote.com/product/ariel-jgq-2-3-200-hp-vfd-electric-drive-3-stage-cng-com</t>
        </is>
      </c>
      <c r="L33" s="2" t="n">
        <v>200</v>
      </c>
      <c r="M33" s="2" t="inlineStr">
        <is>
          <t>listing price $180,000, Ariel JGQ-2-3, 200 hp</t>
        </is>
      </c>
      <c r="N33" s="2" t="inlineStr">
        <is>
          <t>full text</t>
        </is>
      </c>
      <c r="O33" s="2" t="n">
        <v>1207</v>
      </c>
      <c r="P33" s="2" t="inlineStr">
        <is>
          <t>point</t>
        </is>
      </c>
      <c r="Q33" s="2" t="n"/>
      <c r="R33" s="2" t="n"/>
      <c r="S33" s="2" t="inlineStr"/>
      <c r="T33" s="2" t="inlineStr">
        <is>
          <t>1 dealer listing (used)</t>
        </is>
      </c>
      <c r="U33" s="2" t="inlineStr">
        <is>
          <t>DERIVED: $180,000 / (200 hp x 0.7457 kW/hp = 149.1 kW) = $1,207/kW. Used price, compressor only.</t>
        </is>
      </c>
      <c r="V33" s="5" t="inlineStr">
        <is>
          <t>above range</t>
        </is>
      </c>
      <c r="W33" s="2" t="inlineStr">
        <is>
          <t>no</t>
        </is>
      </c>
      <c r="X33" s="2" t="inlineStr">
        <is>
          <t>low</t>
        </is>
      </c>
      <c r="Y33" s="2" t="inlineStr">
        <is>
          <t>Listing price is an asking price, not a transaction. Workbook 1,500 also covers generation. No new-equipment benchmark found.</t>
        </is>
      </c>
    </row>
    <row r="34">
      <c r="A34" s="4" t="inlineStr">
        <is>
          <t>A_tech_costs</t>
        </is>
      </c>
      <c r="B34" s="2" t="inlineStr">
        <is>
          <t>2. Cost Inputs</t>
        </is>
      </c>
      <c r="C34" s="2" t="inlineStr">
        <is>
          <t>H41</t>
        </is>
      </c>
      <c r="D34" s="2" t="inlineStr">
        <is>
          <t>Compression + generation</t>
        </is>
      </c>
      <c r="E34" s="2" t="n">
        <v>10</v>
      </c>
      <c r="F34" s="2" t="inlineStr">
        <is>
          <t>$/nozzle</t>
        </is>
      </c>
      <c r="G34" s="2" t="inlineStr"/>
      <c r="H34" s="2" t="inlineStr">
        <is>
          <t>RRAP CS-07 Final Report 2025</t>
        </is>
      </c>
      <c r="I34" s="2" t="inlineStr">
        <is>
          <t>RRAP Cloud and Sky Brightening: Fogging Development (CS-07) Final Report 2025. Reef Restoration and Adaptation Program.</t>
        </is>
      </c>
      <c r="J34" s="2" t="inlineStr"/>
      <c r="K34" s="8" t="inlineStr">
        <is>
          <t>https://gbrrestoration.org/wp-content/uploads/2026/06/RRAP-CS-07_FINAL-REPORT-2025.pdf</t>
        </is>
      </c>
      <c r="L34" s="2" t="n">
        <v>200</v>
      </c>
      <c r="M34" s="2" t="inlineStr">
        <is>
          <t>p.31-32 (PDF p.38): commercially proven nozzles ~$10 to ~$1000 each</t>
        </is>
      </c>
      <c r="N34" s="2" t="inlineStr">
        <is>
          <t>full text</t>
        </is>
      </c>
      <c r="O34" s="2" t="n"/>
      <c r="P34" s="2" t="inlineStr"/>
      <c r="Q34" s="2" t="n">
        <v>10</v>
      </c>
      <c r="R34" s="2" t="n">
        <v>1000</v>
      </c>
      <c r="S34" s="2" t="inlineStr">
        <is>
          <t>range stated</t>
        </is>
      </c>
      <c r="T34" s="2" t="inlineStr">
        <is>
          <t>vendor survey in report, no N</t>
        </is>
      </c>
      <c r="U34" s="2" t="inlineStr">
        <is>
          <t>very wide, roughly log-uniform; marine 316 SS 'considerably more expensive'</t>
        </is>
      </c>
      <c r="V34" s="7" t="inlineStr">
        <is>
          <t>within</t>
        </is>
      </c>
      <c r="W34" s="2" t="inlineStr">
        <is>
          <t>yes</t>
        </is>
      </c>
      <c r="X34" s="2" t="inlineStr">
        <is>
          <t>medium</t>
        </is>
      </c>
      <c r="Y34" s="2" t="inlineStr">
        <is>
          <t>Scenario 1 ($10) sits at the extreme low end of the range and is for land/freshwater-grade nozzles. Label mismatch: the cell sits on the 'Compression + generation' row but is nozzle scenario 1.</t>
        </is>
      </c>
    </row>
    <row r="35">
      <c r="A35" s="4" t="inlineStr">
        <is>
          <t>A_tech_costs</t>
        </is>
      </c>
      <c r="B35" s="2" t="inlineStr">
        <is>
          <t>2. Cost Inputs</t>
        </is>
      </c>
      <c r="C35" s="2" t="inlineStr">
        <is>
          <t>H42</t>
        </is>
      </c>
      <c r="D35" s="2" t="inlineStr">
        <is>
          <t>Seawater intake/filtration/UV</t>
        </is>
      </c>
      <c r="E35" s="2" t="n">
        <v>100</v>
      </c>
      <c r="F35" s="2" t="inlineStr">
        <is>
          <t>$/nozzle</t>
        </is>
      </c>
      <c r="G35" s="2" t="inlineStr"/>
      <c r="H35" s="2" t="inlineStr">
        <is>
          <t>RRAP CS-07 Final Report 2025</t>
        </is>
      </c>
      <c r="I35" s="2" t="inlineStr">
        <is>
          <t>RRAP Cloud and Sky Brightening: Fogging Development (CS-07) Final Report 2025. Reef Restoration and Adaptation Program.</t>
        </is>
      </c>
      <c r="J35" s="2" t="inlineStr"/>
      <c r="K35" s="8" t="inlineStr">
        <is>
          <t>https://gbrrestoration.org/wp-content/uploads/2026/06/RRAP-CS-07_FINAL-REPORT-2025.pdf</t>
        </is>
      </c>
      <c r="L35" s="2" t="n">
        <v>200</v>
      </c>
      <c r="M35" s="2" t="inlineStr">
        <is>
          <t>p.35 (PDF p.41): MeeFog manifold about US$50 per nozzle including adapters, fittings, support frame</t>
        </is>
      </c>
      <c r="N35" s="2" t="inlineStr">
        <is>
          <t>full text</t>
        </is>
      </c>
      <c r="O35" s="2" t="n">
        <v>50</v>
      </c>
      <c r="P35" s="2" t="inlineStr">
        <is>
          <t>point</t>
        </is>
      </c>
      <c r="Q35" s="2" t="n">
        <v>10</v>
      </c>
      <c r="R35" s="2" t="n">
        <v>1000</v>
      </c>
      <c r="S35" s="2" t="inlineStr">
        <is>
          <t>range stated</t>
        </is>
      </c>
      <c r="T35" s="2" t="inlineStr">
        <is>
          <t>1 vendor system, &gt;10,000 systems deployed</t>
        </is>
      </c>
      <c r="U35" s="2" t="inlineStr">
        <is>
          <t>freshwater-grade fogging manifolds; marine grade costs more</t>
        </is>
      </c>
      <c r="V35" s="7" t="inlineStr">
        <is>
          <t>within</t>
        </is>
      </c>
      <c r="W35" s="2" t="inlineStr">
        <is>
          <t>neutral</t>
        </is>
      </c>
      <c r="X35" s="2" t="inlineStr">
        <is>
          <t>medium</t>
        </is>
      </c>
      <c r="Y35" s="2" t="inlineStr">
        <is>
          <t>Scenario 2 ($100) is the base case, 2x the MeeFog figure. Label mismatch: cell is on the 'Seawater intake' row. No published price for the ARIEL effervescent nozzle was found by the workbook or me.</t>
        </is>
      </c>
    </row>
    <row r="36">
      <c r="A36" s="4" t="inlineStr">
        <is>
          <t>A_tech_costs</t>
        </is>
      </c>
      <c r="B36" s="2" t="inlineStr">
        <is>
          <t>2. Cost Inputs</t>
        </is>
      </c>
      <c r="C36" s="2" t="inlineStr">
        <is>
          <t>H43</t>
        </is>
      </c>
      <c r="D36" s="2" t="inlineStr">
        <is>
          <t>Vessel structure &amp; integration</t>
        </is>
      </c>
      <c r="E36" s="2" t="n">
        <v>1000</v>
      </c>
      <c r="F36" s="2" t="inlineStr">
        <is>
          <t>$/nozzle</t>
        </is>
      </c>
      <c r="G36" s="2" t="inlineStr"/>
      <c r="H36" s="2" t="inlineStr">
        <is>
          <t>RRAP CS-07 Final Report 2025</t>
        </is>
      </c>
      <c r="I36" s="2" t="inlineStr">
        <is>
          <t>RRAP Cloud and Sky Brightening: Fogging Development (CS-07) Final Report 2025. Reef Restoration and Adaptation Program.</t>
        </is>
      </c>
      <c r="J36" s="2" t="inlineStr"/>
      <c r="K36" s="8" t="inlineStr">
        <is>
          <t>https://gbrrestoration.org/wp-content/uploads/2026/06/RRAP-CS-07_FINAL-REPORT-2025.pdf</t>
        </is>
      </c>
      <c r="L36" s="2" t="n">
        <v>200</v>
      </c>
      <c r="M36" s="2" t="inlineStr">
        <is>
          <t>p.31-32 (PDF p.38): upper end ~$1000 each</t>
        </is>
      </c>
      <c r="N36" s="2" t="inlineStr">
        <is>
          <t>full text</t>
        </is>
      </c>
      <c r="O36" s="2" t="n"/>
      <c r="P36" s="2" t="inlineStr"/>
      <c r="Q36" s="2" t="n">
        <v>10</v>
      </c>
      <c r="R36" s="2" t="n">
        <v>1000</v>
      </c>
      <c r="S36" s="2" t="inlineStr">
        <is>
          <t>range stated</t>
        </is>
      </c>
      <c r="T36" s="2" t="inlineStr">
        <is>
          <t>vendor survey in report, no N</t>
        </is>
      </c>
      <c r="U36" s="2" t="inlineStr">
        <is>
          <t>upper bound of stated range</t>
        </is>
      </c>
      <c r="V36" s="7" t="inlineStr">
        <is>
          <t>within</t>
        </is>
      </c>
      <c r="W36" s="2" t="inlineStr">
        <is>
          <t>no</t>
        </is>
      </c>
      <c r="X36" s="2" t="inlineStr">
        <is>
          <t>medium</t>
        </is>
      </c>
      <c r="Y36" s="2" t="inlineStr">
        <is>
          <t>Scenario 3 sits at the top of the range. Label mismatch: cell is on 'Vessel structure &amp; integration' row.</t>
        </is>
      </c>
    </row>
    <row r="37">
      <c r="A37" s="4" t="inlineStr">
        <is>
          <t>A_tech_costs</t>
        </is>
      </c>
      <c r="B37" s="2" t="inlineStr">
        <is>
          <t>2. Cost Inputs</t>
        </is>
      </c>
      <c r="C37" s="2" t="inlineStr">
        <is>
          <t>B42</t>
        </is>
      </c>
      <c r="D37" s="2" t="inlineStr">
        <is>
          <t>Seawater intake/filtration/UV</t>
        </is>
      </c>
      <c r="E37" s="2" t="n">
        <v>1</v>
      </c>
      <c r="F37" s="2" t="inlineStr">
        <is>
          <t>per vessel</t>
        </is>
      </c>
      <c r="G37" s="2" t="inlineStr"/>
      <c r="H37" s="2" t="inlineStr">
        <is>
          <t>(workbook layout)</t>
        </is>
      </c>
      <c r="I37" s="2" t="inlineStr"/>
      <c r="J37" s="2" t="inlineStr"/>
      <c r="K37" s="2" t="inlineStr"/>
      <c r="L37" s="2" t="n"/>
      <c r="M37" s="2" t="inlineStr"/>
      <c r="N37" s="2" t="inlineStr"/>
      <c r="O37" s="2" t="n"/>
      <c r="P37" s="2" t="inlineStr"/>
      <c r="Q37" s="2" t="n"/>
      <c r="R37" s="2" t="n"/>
      <c r="S37" s="2" t="inlineStr"/>
      <c r="T37" s="2" t="inlineStr"/>
      <c r="U37" s="2" t="inlineStr"/>
      <c r="V37" s="2" t="inlineStr">
        <is>
          <t>definitional</t>
        </is>
      </c>
      <c r="W37" s="2" t="inlineStr">
        <is>
          <t>n/a</t>
        </is>
      </c>
      <c r="X37" s="2" t="inlineStr">
        <is>
          <t>high</t>
        </is>
      </c>
      <c r="Y37" s="2" t="inlineStr">
        <is>
          <t>Quantity 1 per vessel.</t>
        </is>
      </c>
    </row>
    <row r="38">
      <c r="A38" s="4" t="inlineStr">
        <is>
          <t>A_tech_costs</t>
        </is>
      </c>
      <c r="B38" s="2" t="inlineStr">
        <is>
          <t>2. Cost Inputs</t>
        </is>
      </c>
      <c r="C38" s="2" t="inlineStr">
        <is>
          <t>D42</t>
        </is>
      </c>
      <c r="D38" s="2" t="inlineStr">
        <is>
          <t>Seawater intake/filtration/UV</t>
        </is>
      </c>
      <c r="E38" s="2" t="n">
        <v>25000</v>
      </c>
      <c r="F38" s="2" t="inlineStr">
        <is>
          <t>$</t>
        </is>
      </c>
      <c r="G38" s="2" t="inlineStr">
        <is>
          <t>Assumption ($25k); BWTS $640k+ at ~1,000x throughput</t>
        </is>
      </c>
      <c r="H38" s="2" t="inlineStr">
        <is>
          <t>Transport Canada BWTS report 2015</t>
        </is>
      </c>
      <c r="I38" s="2" t="inlineStr">
        <is>
          <t>Transport Canada (6 Mar 2015). Transactions on Ballast Water Treatment Systems for the Great Lakes-St. Lawrence Seaway System (STX Canada Marine feasibility report 182-001-01 Rev 07).</t>
        </is>
      </c>
      <c r="J38" s="2" t="inlineStr"/>
      <c r="K38" s="8" t="inlineStr">
        <is>
          <t>https://www.tc.canada.ca/sites/default/files/migrated/transactions_for_bwts_on_the_great_lakes___transport_canada.pdf</t>
        </is>
      </c>
      <c r="L38" s="2" t="n">
        <v>200</v>
      </c>
      <c r="M38" s="2" t="inlineStr">
        <is>
          <t>Ballast water treatment systems table (PDF p.150, report p.149 of 536): 600 m3/h system, procurement $268,000 (UV), $420,000 (ozone), $640,000 (electrolysis)</t>
        </is>
      </c>
      <c r="N38" s="2" t="inlineStr">
        <is>
          <t>full text</t>
        </is>
      </c>
      <c r="O38" s="2" t="n">
        <v>268000</v>
      </c>
      <c r="P38" s="2" t="inlineStr">
        <is>
          <t>point</t>
        </is>
      </c>
      <c r="Q38" s="2" t="n">
        <v>268000</v>
      </c>
      <c r="R38" s="2" t="n">
        <v>640000</v>
      </c>
      <c r="S38" s="2" t="inlineStr">
        <is>
          <t>range stated</t>
        </is>
      </c>
      <c r="T38" s="2" t="inlineStr">
        <is>
          <t>3 technologies at 600 m3/h</t>
        </is>
      </c>
      <c r="U38" s="2" t="inlineStr">
        <is>
          <t>Workbook plant intake: 8,141 x 0.41 mL/s = 3.34 L/s = 12 m3/h, i.e. 50x smaller than 600 m3/h, NOT the '~1,000x' the workbook states. Six-tenths-rule scaling (my heuristic, not in source): $268k x (1/50)^0.6 = $25.6k, which happens to match the workbook's $25k.</t>
        </is>
      </c>
      <c r="V38" s="5" t="inlineStr">
        <is>
          <t>below range</t>
        </is>
      </c>
      <c r="W38" s="2" t="inlineStr">
        <is>
          <t>yes</t>
        </is>
      </c>
      <c r="X38" s="2" t="inlineStr">
        <is>
          <t>low</t>
        </is>
      </c>
      <c r="Y38" s="2" t="inlineStr">
        <is>
          <t>The $640k figure is the electrolysis option, correct. The ~1,000x throughput ratio is wrong by 20x (derived). Small-system price not found. Cost is minor relative to the $30M vessel.</t>
        </is>
      </c>
    </row>
    <row r="39">
      <c r="A39" s="4" t="inlineStr">
        <is>
          <t>A_tech_costs</t>
        </is>
      </c>
      <c r="B39" s="2" t="inlineStr">
        <is>
          <t>2. Cost Inputs</t>
        </is>
      </c>
      <c r="C39" s="2" t="inlineStr">
        <is>
          <t>B43</t>
        </is>
      </c>
      <c r="D39" s="2" t="inlineStr">
        <is>
          <t>Vessel structure &amp; integration</t>
        </is>
      </c>
      <c r="E39" s="2" t="n">
        <v>1</v>
      </c>
      <c r="F39" s="2" t="inlineStr">
        <is>
          <t>per vessel</t>
        </is>
      </c>
      <c r="G39" s="2">
        <f>D44*0.25</f>
        <v/>
      </c>
      <c r="H39" s="2" t="inlineStr">
        <is>
          <t>(workbook layout)</t>
        </is>
      </c>
      <c r="I39" s="2" t="inlineStr"/>
      <c r="J39" s="2" t="inlineStr"/>
      <c r="K39" s="2" t="inlineStr"/>
      <c r="L39" s="2" t="n"/>
      <c r="M39" s="2" t="inlineStr"/>
      <c r="N39" s="2" t="inlineStr"/>
      <c r="O39" s="2" t="n"/>
      <c r="P39" s="2" t="inlineStr"/>
      <c r="Q39" s="2" t="n"/>
      <c r="R39" s="2" t="n"/>
      <c r="S39" s="2" t="inlineStr"/>
      <c r="T39" s="2" t="inlineStr"/>
      <c r="U39" s="2" t="inlineStr"/>
      <c r="V39" s="2" t="inlineStr">
        <is>
          <t>definitional</t>
        </is>
      </c>
      <c r="W39" s="2" t="inlineStr">
        <is>
          <t>n/a</t>
        </is>
      </c>
      <c r="X39" s="2" t="inlineStr">
        <is>
          <t>high</t>
        </is>
      </c>
      <c r="Y39" s="2" t="inlineStr">
        <is>
          <t>Quantity 1; the cost is 25% of vessel (=D44*0.25), an unsupported assumption. Searched only CS-06/07 text and the workbook; no retrofit-integration benchmark searched yet, so this is NOT a confirmed 'none exists'.</t>
        </is>
      </c>
    </row>
    <row r="40">
      <c r="A40" s="4" t="inlineStr">
        <is>
          <t>A_tech_costs</t>
        </is>
      </c>
      <c r="B40" s="2" t="inlineStr">
        <is>
          <t>2. Cost Inputs</t>
        </is>
      </c>
      <c r="C40" s="2" t="inlineStr">
        <is>
          <t>B44</t>
        </is>
      </c>
      <c r="D40" s="2" t="inlineStr">
        <is>
          <t>Vessel purchase</t>
        </is>
      </c>
      <c r="E40" s="2" t="n">
        <v>1</v>
      </c>
      <c r="F40" s="2" t="inlineStr">
        <is>
          <t>vessels</t>
        </is>
      </c>
      <c r="G40" s="2" t="inlineStr"/>
      <c r="H40" s="2" t="inlineStr">
        <is>
          <t>(workbook layout)</t>
        </is>
      </c>
      <c r="I40" s="2" t="inlineStr"/>
      <c r="J40" s="2" t="inlineStr"/>
      <c r="K40" s="2" t="inlineStr"/>
      <c r="L40" s="2" t="n"/>
      <c r="M40" s="2" t="inlineStr"/>
      <c r="N40" s="2" t="inlineStr"/>
      <c r="O40" s="2" t="n"/>
      <c r="P40" s="2" t="inlineStr"/>
      <c r="Q40" s="2" t="n"/>
      <c r="R40" s="2" t="n"/>
      <c r="S40" s="2" t="inlineStr"/>
      <c r="T40" s="2" t="inlineStr"/>
      <c r="U40" s="2" t="inlineStr"/>
      <c r="V40" s="2" t="inlineStr">
        <is>
          <t>definitional</t>
        </is>
      </c>
      <c r="W40" s="2" t="inlineStr">
        <is>
          <t>n/a</t>
        </is>
      </c>
      <c r="X40" s="2" t="inlineStr">
        <is>
          <t>high</t>
        </is>
      </c>
      <c r="Y40" s="2" t="inlineStr">
        <is>
          <t>Quantity 1.</t>
        </is>
      </c>
    </row>
    <row r="41">
      <c r="A41" s="4" t="inlineStr">
        <is>
          <t>A_tech_costs</t>
        </is>
      </c>
      <c r="B41" s="2" t="inlineStr">
        <is>
          <t>2. Cost Inputs</t>
        </is>
      </c>
      <c r="C41" s="2" t="inlineStr">
        <is>
          <t>D44</t>
        </is>
      </c>
      <c r="D41" s="2" t="inlineStr">
        <is>
          <t>Vessel purchase</t>
        </is>
      </c>
      <c r="E41" s="2" t="n">
        <v>30000000</v>
      </c>
      <c r="F41" s="2" t="inlineStr">
        <is>
          <t>$</t>
        </is>
      </c>
      <c r="G41" s="2" t="inlineStr">
        <is>
          <t>Newbuild 70-80 m PSV (Clarksons basis)</t>
        </is>
      </c>
      <c r="H41" s="2" t="inlineStr">
        <is>
          <t>Riviera / Clarksons Research, Mar 2024 (medium PSV)</t>
        </is>
      </c>
      <c r="I41" s="2" t="inlineStr">
        <is>
          <t>Riviera Maritime Media (14 Mar 2024). Sticker shock: price of PSV newbuildings up 68% since 2016 (Clarksons Research, China Weekly).</t>
        </is>
      </c>
      <c r="J41" s="2" t="inlineStr"/>
      <c r="K41" s="8" t="inlineStr">
        <is>
          <t>https://www.rivieramm.com/news-content-hub/sticker-shock-price-of-psv-newbuildings-up-68-since-2016-79964</t>
        </is>
      </c>
      <c r="L41" s="2" t="n">
        <v>200</v>
      </c>
      <c r="M41" s="2" t="inlineStr">
        <is>
          <t>Article text: medium PSV 3,200 dwt US$29.1M (up 54% since 2016), as of early March 2024</t>
        </is>
      </c>
      <c r="N41" s="2" t="inlineStr">
        <is>
          <t>full text</t>
        </is>
      </c>
      <c r="O41" s="2" t="n">
        <v>29100000</v>
      </c>
      <c r="P41" s="2" t="inlineStr">
        <is>
          <t>point</t>
        </is>
      </c>
      <c r="Q41" s="2" t="n"/>
      <c r="R41" s="2" t="n"/>
      <c r="S41" s="2" t="inlineStr"/>
      <c r="T41" s="2" t="inlineStr">
        <is>
          <t>1 Clarksons price assessment</t>
        </is>
      </c>
      <c r="U41" s="2" t="inlineStr">
        <is>
          <t>newbuild price assessment by size class, not a transaction sample. Fetched via WebFetch (HTTP 200 content returned); direct curl got 429 rate limit.</t>
        </is>
      </c>
      <c r="V41" s="7" t="inlineStr">
        <is>
          <t>within</t>
        </is>
      </c>
      <c r="W41" s="2" t="inlineStr">
        <is>
          <t>yes</t>
        </is>
      </c>
      <c r="X41" s="2" t="inlineStr">
        <is>
          <t>medium</t>
        </is>
      </c>
      <c r="Y41" s="2" t="inlineStr">
        <is>
          <t>Workbook $30M matches the medium class. Workbook cites the same article but describes it as '70-80 m PSV'; the article gives dwt, not length. The HOS269 reference vessel (71.9 m) is of this general class.</t>
        </is>
      </c>
    </row>
    <row r="42">
      <c r="A42" s="4" t="inlineStr">
        <is>
          <t>A_tech_costs</t>
        </is>
      </c>
      <c r="B42" s="2" t="inlineStr">
        <is>
          <t>2. Cost Inputs</t>
        </is>
      </c>
      <c r="C42" s="2" t="inlineStr">
        <is>
          <t>D44</t>
        </is>
      </c>
      <c r="D42" s="2" t="inlineStr">
        <is>
          <t>Vessel purchase</t>
        </is>
      </c>
      <c r="E42" s="2" t="n">
        <v>30000000</v>
      </c>
      <c r="F42" s="2" t="inlineStr">
        <is>
          <t>$</t>
        </is>
      </c>
      <c r="G42" s="2" t="inlineStr"/>
      <c r="H42" s="2" t="inlineStr">
        <is>
          <t>Riviera / Clarksons Research, Mar 2024 (large PSV)</t>
        </is>
      </c>
      <c r="I42" s="2" t="inlineStr">
        <is>
          <t>Riviera Maritime Media (14 Mar 2024). Sticker shock: price of PSV newbuildings up 68% since 2016 (Clarksons Research, China Weekly).</t>
        </is>
      </c>
      <c r="J42" s="2" t="inlineStr"/>
      <c r="K42" s="8" t="inlineStr">
        <is>
          <t>https://www.rivieramm.com/news-content-hub/sticker-shock-price-of-psv-newbuildings-up-68-since-2016-79964</t>
        </is>
      </c>
      <c r="L42" s="2" t="n">
        <v>200</v>
      </c>
      <c r="M42" s="2" t="inlineStr">
        <is>
          <t>Article text: large PSV 4,500 dwt US$53.6M as of early March 2024 (US$31.4M in 2016, +68%)</t>
        </is>
      </c>
      <c r="N42" s="2" t="inlineStr">
        <is>
          <t>full text</t>
        </is>
      </c>
      <c r="O42" s="2" t="n">
        <v>53600000</v>
      </c>
      <c r="P42" s="2" t="inlineStr">
        <is>
          <t>point</t>
        </is>
      </c>
      <c r="Q42" s="2" t="n">
        <v>29100000</v>
      </c>
      <c r="R42" s="2" t="n">
        <v>53600000</v>
      </c>
      <c r="S42" s="2" t="inlineStr">
        <is>
          <t>range stated</t>
        </is>
      </c>
      <c r="T42" s="2" t="inlineStr">
        <is>
          <t>2 size classes</t>
        </is>
      </c>
      <c r="U42" s="2" t="inlineStr">
        <is>
          <t>range across the two PSV classes is $29.1M to $53.6M. A 4.2 MW spray plant plus tankage may need the large class.</t>
        </is>
      </c>
      <c r="V42" s="7" t="inlineStr">
        <is>
          <t>within</t>
        </is>
      </c>
      <c r="W42" s="2" t="inlineStr">
        <is>
          <t>yes</t>
        </is>
      </c>
      <c r="X42" s="2" t="inlineStr">
        <is>
          <t>medium</t>
        </is>
      </c>
      <c r="Y42" s="2" t="inlineStr">
        <is>
          <t>If the large class were needed, vessel cost +79%. Total capex impact: vessel is $30M of $72.8M total capex.</t>
        </is>
      </c>
    </row>
    <row r="43">
      <c r="A43" s="4" t="inlineStr">
        <is>
          <t>A_tech_costs</t>
        </is>
      </c>
      <c r="B43" s="2" t="inlineStr">
        <is>
          <t>2. Cost Inputs</t>
        </is>
      </c>
      <c r="C43" s="2" t="inlineStr">
        <is>
          <t>B49</t>
        </is>
      </c>
      <c r="D43" s="2" t="inlineStr">
        <is>
          <t>Engineering &amp; supervision</t>
        </is>
      </c>
      <c r="E43" s="2" t="n">
        <v>0.2</v>
      </c>
      <c r="F43" s="2" t="inlineStr">
        <is>
          <t>fraction</t>
        </is>
      </c>
      <c r="G43" s="2" t="inlineStr">
        <is>
          <t>Assumption (share of capital)</t>
        </is>
      </c>
      <c r="H43" s="2" t="inlineStr">
        <is>
          <t>NETL QGESS 2021 (EPCM services)</t>
        </is>
      </c>
      <c r="I43" s="2" t="inlineStr">
        <is>
          <t>NETL (2021). Quality Guidelines for Energy System Studies: Cost Estimation Methodology for NETL Assessments of Power Plant Performance (NETL-PUB-22580), citing AACE 16R-90.</t>
        </is>
      </c>
      <c r="J43" s="2" t="inlineStr"/>
      <c r="K43" s="8" t="inlineStr">
        <is>
          <t>https://netl.doe.gov/projects/files/QGESSCostEstMethodforNETLAssessmentsofPowerPlantPerformance_022621.pdf</t>
        </is>
      </c>
      <c r="L43" s="2" t="n">
        <v>200</v>
      </c>
      <c r="M43" s="2" t="inlineStr">
        <is>
          <t>Sec 2.3: EPCM contractor services 15 to 20 percent of BEC (home office engineering, procurement, construction management)</t>
        </is>
      </c>
      <c r="N43" s="2" t="inlineStr">
        <is>
          <t>full text</t>
        </is>
      </c>
      <c r="O43" s="2" t="n">
        <v>0.175</v>
      </c>
      <c r="P43" s="2" t="inlineStr">
        <is>
          <t>point</t>
        </is>
      </c>
      <c r="Q43" s="2" t="n">
        <v>0.15</v>
      </c>
      <c r="R43" s="2" t="n">
        <v>0.2</v>
      </c>
      <c r="S43" s="2" t="inlineStr">
        <is>
          <t>range stated</t>
        </is>
      </c>
      <c r="T43" s="2" t="inlineStr">
        <is>
          <t>NETL methodology, power-plant basis</t>
        </is>
      </c>
      <c r="U43" s="2" t="inlineStr">
        <is>
          <t>power-plant EPCM; may overstate for a vessel retrofit</t>
        </is>
      </c>
      <c r="V43" s="7" t="inlineStr">
        <is>
          <t>within</t>
        </is>
      </c>
      <c r="W43" s="2" t="inlineStr">
        <is>
          <t>neutral</t>
        </is>
      </c>
      <c r="X43" s="2" t="inlineStr">
        <is>
          <t>medium</t>
        </is>
      </c>
      <c r="Y43" s="2" t="inlineStr">
        <is>
          <t>Workbook 20% at top of range, but note that NETL's 15-20% also includes construction management, so it overlaps B50.</t>
        </is>
      </c>
    </row>
    <row r="44">
      <c r="A44" s="4" t="inlineStr">
        <is>
          <t>A_tech_costs</t>
        </is>
      </c>
      <c r="B44" s="2" t="inlineStr">
        <is>
          <t>2. Cost Inputs</t>
        </is>
      </c>
      <c r="C44" s="2" t="inlineStr">
        <is>
          <t>B50</t>
        </is>
      </c>
      <c r="D44" s="2" t="inlineStr">
        <is>
          <t>Installation &amp; commissioning</t>
        </is>
      </c>
      <c r="E44" s="2" t="n">
        <v>0.15</v>
      </c>
      <c r="F44" s="2" t="inlineStr">
        <is>
          <t>fraction</t>
        </is>
      </c>
      <c r="G44" s="2" t="inlineStr">
        <is>
          <t>Assumption (share of capital)</t>
        </is>
      </c>
      <c r="H44" s="2" t="inlineStr">
        <is>
          <t>NETL QGESS 2021 (EPCM services)</t>
        </is>
      </c>
      <c r="I44" s="2" t="inlineStr">
        <is>
          <t>NETL (2021). Quality Guidelines for Energy System Studies: Cost Estimation Methodology for NETL Assessments of Power Plant Performance (NETL-PUB-22580), citing AACE 16R-90.</t>
        </is>
      </c>
      <c r="J44" s="2" t="inlineStr"/>
      <c r="K44" s="8" t="inlineStr">
        <is>
          <t>https://netl.doe.gov/projects/files/QGESSCostEstMethodforNETLAssessmentsofPowerPlantPerformance_022621.pdf</t>
        </is>
      </c>
      <c r="L44" s="2" t="n">
        <v>200</v>
      </c>
      <c r="M44" s="2" t="inlineStr">
        <is>
          <t>Sec 2.3 (report p.11): EPCM 15 to 20 percent of BEC includes field construction management; BEC itself includes installation labor</t>
        </is>
      </c>
      <c r="N44" s="2" t="inlineStr">
        <is>
          <t>full text</t>
        </is>
      </c>
      <c r="O44" s="2" t="n"/>
      <c r="P44" s="2" t="inlineStr"/>
      <c r="Q44" s="2" t="n"/>
      <c r="R44" s="2" t="n"/>
      <c r="S44" s="2" t="inlineStr"/>
      <c r="T44" s="2" t="inlineStr">
        <is>
          <t>n/a</t>
        </is>
      </c>
      <c r="U44" s="2" t="inlineStr">
        <is>
          <t>NETL has no separate installation-and-commissioning factor to compare</t>
        </is>
      </c>
      <c r="V44" s="6" t="inlineStr">
        <is>
          <t>no comparable value</t>
        </is>
      </c>
      <c r="W44" s="2" t="inlineStr">
        <is>
          <t>neutral</t>
        </is>
      </c>
      <c r="X44" s="2" t="inlineStr">
        <is>
          <t>low</t>
        </is>
      </c>
      <c r="Y44" s="2" t="inlineStr">
        <is>
          <t>Combined B49+B50 = 35% vs NETL EPCM 15-20% on a BEC that already includes installation, so the workbook may be double-counting here, which would disfavour MCB. Not a like-for-like comparison.</t>
        </is>
      </c>
    </row>
    <row r="45">
      <c r="A45" s="4" t="inlineStr">
        <is>
          <t>A_tech_costs</t>
        </is>
      </c>
      <c r="B45" s="2" t="inlineStr">
        <is>
          <t>2. Cost Inputs</t>
        </is>
      </c>
      <c r="C45" s="2" t="inlineStr">
        <is>
          <t>B51</t>
        </is>
      </c>
      <c r="D45" s="2" t="inlineStr">
        <is>
          <t>Marinization premium</t>
        </is>
      </c>
      <c r="E45" s="2" t="n">
        <v>0.2</v>
      </c>
      <c r="F45" s="2" t="inlineStr">
        <is>
          <t>fraction</t>
        </is>
      </c>
      <c r="G45" s="2" t="inlineStr">
        <is>
          <t>Assumption (marinization premium)</t>
        </is>
      </c>
      <c r="H45" s="2" t="inlineStr">
        <is>
          <t>RRAP CS-07 Final Report 2025 (qualitative)</t>
        </is>
      </c>
      <c r="I45" s="2" t="inlineStr">
        <is>
          <t>RRAP Cloud and Sky Brightening: Fogging Development (CS-07) Final Report 2025. Reef Restoration and Adaptation Program.</t>
        </is>
      </c>
      <c r="J45" s="2" t="inlineStr"/>
      <c r="K45" s="8" t="inlineStr">
        <is>
          <t>https://gbrrestoration.org/wp-content/uploads/2026/06/RRAP-CS-07_FINAL-REPORT-2025.pdf</t>
        </is>
      </c>
      <c r="L45" s="2" t="n">
        <v>200</v>
      </c>
      <c r="M45" s="2" t="inlineStr">
        <is>
          <t>p.31-32: marine grade 316 stainless 'considerably more expensive' than land/freshwater options</t>
        </is>
      </c>
      <c r="N45" s="2" t="inlineStr">
        <is>
          <t>full text</t>
        </is>
      </c>
      <c r="O45" s="2" t="n"/>
      <c r="P45" s="2" t="inlineStr"/>
      <c r="Q45" s="2" t="n"/>
      <c r="R45" s="2" t="n"/>
      <c r="S45" s="2" t="inlineStr"/>
      <c r="T45" s="2" t="inlineStr">
        <is>
          <t>qualitative</t>
        </is>
      </c>
      <c r="U45" s="2" t="inlineStr">
        <is>
          <t>no numeric premium found</t>
        </is>
      </c>
      <c r="V45" s="6" t="inlineStr">
        <is>
          <t>no comparable value</t>
        </is>
      </c>
      <c r="W45" s="2" t="inlineStr">
        <is>
          <t>neutral</t>
        </is>
      </c>
      <c r="X45" s="2" t="inlineStr">
        <is>
          <t>low</t>
        </is>
      </c>
      <c r="Y45" s="2" t="inlineStr">
        <is>
          <t>No numeric marine-environment cost premium for spray equipment found. Tried CS-06/07 text, workbook. Not exhaustively searched (no external marine-equipment premium literature query run).</t>
        </is>
      </c>
    </row>
    <row r="46">
      <c r="A46" s="4" t="inlineStr">
        <is>
          <t>A_tech_costs</t>
        </is>
      </c>
      <c r="B46" s="2" t="inlineStr">
        <is>
          <t>2. Cost Inputs</t>
        </is>
      </c>
      <c r="C46" s="2" t="inlineStr">
        <is>
          <t>B52</t>
        </is>
      </c>
      <c r="D46" s="2" t="inlineStr">
        <is>
          <t>Process contingency</t>
        </is>
      </c>
      <c r="E46" s="2" t="n">
        <v>0.25</v>
      </c>
      <c r="F46" s="2" t="inlineStr">
        <is>
          <t>fraction</t>
        </is>
      </c>
      <c r="G46" s="2" t="inlineStr">
        <is>
          <t>Assumption (process contingency)</t>
        </is>
      </c>
      <c r="H46" s="2" t="inlineStr">
        <is>
          <t>NETL QGESS 2021 / AACE 16R-90 (process contingency)</t>
        </is>
      </c>
      <c r="I46" s="2" t="inlineStr">
        <is>
          <t>NETL (2021). Quality Guidelines for Energy System Studies: Cost Estimation Methodology for NETL Assessments of Power Plant Performance (NETL-PUB-22580), citing AACE 16R-90.</t>
        </is>
      </c>
      <c r="J46" s="2" t="inlineStr"/>
      <c r="K46" s="8" t="inlineStr">
        <is>
          <t>https://netl.doe.gov/projects/files/QGESSCostEstMethodforNETLAssessmentsofPowerPlantPerformance_022621.pdf</t>
        </is>
      </c>
      <c r="L46" s="2" t="n">
        <v>200</v>
      </c>
      <c r="M46" s="2" t="inlineStr">
        <is>
          <t>Exhibit 2-3 (report p.12; PDF p.12): New concept limited data 40+%; bench-scale 30-70%; small pilot plant 20-35%; full-sized modules operated 5-20%; commercial 0-10%</t>
        </is>
      </c>
      <c r="N46" s="2" t="inlineStr">
        <is>
          <t>full text</t>
        </is>
      </c>
      <c r="O46" s="2" t="n">
        <v>0.275</v>
      </c>
      <c r="P46" s="2" t="inlineStr">
        <is>
          <t>point</t>
        </is>
      </c>
      <c r="Q46" s="2" t="n">
        <v>0.2</v>
      </c>
      <c r="R46" s="2" t="n">
        <v>0.35</v>
      </c>
      <c r="S46" s="2" t="inlineStr">
        <is>
          <t>range stated</t>
        </is>
      </c>
      <c r="T46" s="2" t="inlineStr">
        <is>
          <t>AACE 16R-90 table; band chosen = small pilot plant</t>
        </is>
      </c>
      <c r="U46" s="2" t="inlineStr">
        <is>
          <t>Band depends on maturity. ARIEL has run several hundred hours at sea at 320 kW scale (CS-06), but a 4 MW plant is a 13x scale-up, arguably 'small pilot' to 'full-sized modules'.</t>
        </is>
      </c>
      <c r="V46" s="7" t="inlineStr">
        <is>
          <t>within</t>
        </is>
      </c>
      <c r="W46" s="2" t="inlineStr">
        <is>
          <t>neutral</t>
        </is>
      </c>
      <c r="X46" s="2" t="inlineStr">
        <is>
          <t>medium</t>
        </is>
      </c>
      <c r="Y46" s="2" t="inlineStr">
        <is>
          <t>Workbook 25% is inside the pilot band. NETL also adds PROJECT contingency of 15-30% of (BEC+fees+process contingency) for Class 4/5 estimates (p.12), which the workbook lacks. DERIVED multiplier on BEC: NETL 1.15x1.15..1.20x1.20..1.35x1.15..1.30 = 1.59 to 2.11 (mid ~1.84) vs workbook 1.00+0.20+0.15+0.25 = 1.60 (plus 20% marinization on equipment). Workbook sits at the bottom of that range, favouring MCB.</t>
        </is>
      </c>
    </row>
    <row r="47">
      <c r="A47" s="4" t="inlineStr">
        <is>
          <t>A_tech_costs</t>
        </is>
      </c>
      <c r="B47" s="2" t="inlineStr">
        <is>
          <t>2. Cost Inputs</t>
        </is>
      </c>
      <c r="C47" s="2" t="inlineStr">
        <is>
          <t>B56</t>
        </is>
      </c>
      <c r="D47" s="2" t="inlineStr">
        <is>
          <t>Bareboat charter rate, workboat class (hull + crew)</t>
        </is>
      </c>
      <c r="E47" s="2" t="n">
        <v>150000</v>
      </c>
      <c r="F47" s="2" t="inlineStr">
        <is>
          <t>$/vessel/week</t>
        </is>
      </c>
      <c r="G47" s="2" t="inlineStr">
        <is>
          <t>Assumption, no market quote</t>
        </is>
      </c>
      <c r="H47" s="2" t="inlineStr">
        <is>
          <t>Tidewater 10-K FY2024 (average day rate)</t>
        </is>
      </c>
      <c r="I47" s="2" t="inlineStr">
        <is>
          <t>Tidewater Inc. Form 10-K for fiscal year 2024 (filed 2025).</t>
        </is>
      </c>
      <c r="J47" s="2" t="inlineStr"/>
      <c r="K47" s="8" t="inlineStr">
        <is>
          <t>https://www.sec.gov/Archives/edgar/data/98222/000143774925005487/tdw20241231_10k.htm</t>
        </is>
      </c>
      <c r="L47" s="2" t="n">
        <v>200</v>
      </c>
      <c r="M47" s="2" t="inlineStr">
        <is>
          <t>Results of operations, select statistics: average vessel day rate $21,273 (2024), $16,802 (2023); Americas 2024 $27,128; utilization 79.0%</t>
        </is>
      </c>
      <c r="N47" s="2" t="inlineStr">
        <is>
          <t>full text</t>
        </is>
      </c>
      <c r="O47" s="2" t="n">
        <v>148911</v>
      </c>
      <c r="P47" s="2" t="inlineStr">
        <is>
          <t>mean</t>
        </is>
      </c>
      <c r="Q47" s="2" t="n">
        <v>117614</v>
      </c>
      <c r="R47" s="2" t="n">
        <v>189896</v>
      </c>
      <c r="S47" s="2" t="inlineStr">
        <is>
          <t>min-max across studies</t>
        </is>
      </c>
      <c r="T47" s="2" t="inlineStr">
        <is>
          <t>1 operator, ~217 vessels (2024); range spans fleet 2023 to Americas 2024</t>
        </is>
      </c>
      <c r="U47" s="2" t="inlineStr">
        <is>
          <t>DERIVED weekly = day rate x 7: $148.9k (2024 fleet), $117.6k (2023), $189.9k (Americas 2024). Tidewater day rate is revenue per day worked (time charter, crew included, fuel normally charterer's).</t>
        </is>
      </c>
      <c r="V47" s="7" t="inlineStr">
        <is>
          <t>within</t>
        </is>
      </c>
      <c r="W47" s="2" t="inlineStr">
        <is>
          <t>neutral</t>
        </is>
      </c>
      <c r="X47" s="2" t="inlineStr">
        <is>
          <t>medium</t>
        </is>
      </c>
      <c r="Y47" s="2" t="inlineStr">
        <is>
          <t>Workbook $150k/wk ($21.4k/day) is within 1% of the 2024 fleet mean. Fleet mix includes AHTS and older tonnage. Clarksons PSV day rates not obtained.</t>
        </is>
      </c>
    </row>
    <row r="48">
      <c r="A48" s="4" t="inlineStr">
        <is>
          <t>B_platforms</t>
        </is>
      </c>
      <c r="B48" s="2" t="inlineStr">
        <is>
          <t>3b. Outputs - Ship Piggyback</t>
        </is>
      </c>
      <c r="C48" s="2" t="inlineStr">
        <is>
          <t>B13</t>
        </is>
      </c>
      <c r="D48" s="2" t="inlineStr">
        <is>
          <t>Spray time - moving (underway), container-ship host</t>
        </is>
      </c>
      <c r="E48" s="2" t="n">
        <v>0.365296803652968</v>
      </c>
      <c r="F48" s="2" t="inlineStr">
        <is>
          <t>fraction of year</t>
        </is>
      </c>
      <c r="G48" s="2" t="inlineStr">
        <is>
          <t>Assumption: host vessel underway on its route regardless.</t>
        </is>
      </c>
      <c r="H48" s="2" t="inlineStr">
        <is>
          <t>IMO 2020 (Fourth IMO GHG Study)</t>
        </is>
      </c>
      <c r="I48" s="2" t="inlineStr">
        <is>
          <t>Faber, J. et al. (2020). Fourth IMO GHG Study 2020: Full report and annexes. International Maritime Organization, London.</t>
        </is>
      </c>
      <c r="J48" s="2" t="inlineStr"/>
      <c r="K48" s="8" t="inlineStr">
        <is>
          <t>https://wwwcdn.imo.org/localresources/en/OurWork/Environment/Documents/Fourth%20IMO%20GHG%20Study%202020%20-%20Full%20report%20and%20annexes.pdf</t>
        </is>
      </c>
      <c r="L48" s="2" t="n">
        <v>200</v>
      </c>
      <c r="M48" s="2" t="inlineStr">
        <is>
          <t>Table 81 (2018 bottom-up results), Annex O.7, pdf p.289: container avg days at sea by class 196 (0-999 TEU), 210, 220, 246, 258, 261, 246, 250, 210 (20,000+ TEU)</t>
        </is>
      </c>
      <c r="N48" s="2" t="inlineStr">
        <is>
          <t>full text</t>
        </is>
      </c>
      <c r="O48" s="2" t="n">
        <v>0.6432876712328768</v>
      </c>
      <c r="P48" s="2" t="inlineStr">
        <is>
          <t>mean</t>
        </is>
      </c>
      <c r="Q48" s="2" t="n">
        <v>0.5753424657534246</v>
      </c>
      <c r="R48" s="2" t="n">
        <v>0.7150684931506849</v>
      </c>
      <c r="S48" s="2" t="inlineStr">
        <is>
          <t>min-max across studies</t>
        </is>
      </c>
      <c r="T48" s="2" t="inlineStr">
        <is>
          <t>8 size classes, 4,310 container ships (IMO 2018 Type 1+2, &gt;=1,000 TEU); class means from AIS</t>
        </is>
      </c>
      <c r="U48" s="2" t="inlineStr">
        <is>
          <t>count-weighted mean of class means; class means span 196-261 d/yr (54-72% of year)</t>
        </is>
      </c>
      <c r="V48" s="7" t="inlineStr">
        <is>
          <t>within</t>
        </is>
      </c>
      <c r="W48" s="2" t="inlineStr">
        <is>
          <t>neutral</t>
        </is>
      </c>
      <c r="X48" s="2" t="inlineStr">
        <is>
          <t>medium</t>
        </is>
      </c>
      <c r="Y48" s="2" t="inlineStr">
        <is>
          <t>DERIVED: count-weighted mean days at sea for the 8 classes &gt;=1,000 TEU (n=4,310 Type 1+2 ships) = 234.8 d/yr (=64% of the year); workbook 0.3653 x 365 = 133.3 d = 57% of that. Table 81 averages are IMO AIS-based class means, not a per-ship distribution, so lit_low/high are the lowest/highest class means. Days at sea is an upper bound on spray availability. The binding limit is suitable low-cloud/weather time (see group C cloud-availability work), which this source does not address. Fraction shown is days-at-sea/365, not a spray fraction.</t>
        </is>
      </c>
    </row>
    <row r="49">
      <c r="A49" s="4" t="inlineStr">
        <is>
          <t>B_platforms</t>
        </is>
      </c>
      <c r="B49" s="2" t="inlineStr">
        <is>
          <t>3a. Outputs - Dedicated Vessel</t>
        </is>
      </c>
      <c r="C49" s="2" t="inlineStr">
        <is>
          <t>B18</t>
        </is>
      </c>
      <c r="D49" s="2" t="inlineStr">
        <is>
          <t>Spray time - moving (underway), dedicated vessel</t>
        </is>
      </c>
      <c r="E49" s="2" t="n">
        <v>0.365296803652968</v>
      </c>
      <c r="F49" s="2" t="inlineStr">
        <is>
          <t>fraction of year</t>
        </is>
      </c>
      <c r="G49" s="2" t="inlineStr">
        <is>
          <t>Assumption: dedicated vessel sprays underway.</t>
        </is>
      </c>
      <c r="H49" s="2" t="inlineStr">
        <is>
          <t>IMO 2020 (Fourth IMO GHG Study)</t>
        </is>
      </c>
      <c r="I49" s="2" t="inlineStr">
        <is>
          <t>Faber, J. et al. (2020). Fourth IMO GHG Study 2020: Full report and annexes. International Maritime Organization, London.</t>
        </is>
      </c>
      <c r="J49" s="2" t="inlineStr"/>
      <c r="K49" s="8" t="inlineStr">
        <is>
          <t>https://wwwcdn.imo.org/localresources/en/OurWork/Environment/Documents/Fourth%20IMO%20GHG%20Study%202020%20-%20Full%20report%20and%20annexes.pdf</t>
        </is>
      </c>
      <c r="L49" s="2" t="n">
        <v>200</v>
      </c>
      <c r="M49" s="2" t="inlineStr">
        <is>
          <t>Table 81 (2018 bottom-up results), Annex O.7, pdf p.289: container avg days at sea by class 196 (0-999 TEU), 210, 220, 246, 258, 261, 246, 250, 210 (20,000+ TEU)</t>
        </is>
      </c>
      <c r="N49" s="2" t="inlineStr">
        <is>
          <t>full text</t>
        </is>
      </c>
      <c r="O49" s="2" t="n">
        <v>0.6432876712328768</v>
      </c>
      <c r="P49" s="2" t="inlineStr">
        <is>
          <t>mean</t>
        </is>
      </c>
      <c r="Q49" s="2" t="n">
        <v>0.536986301369863</v>
      </c>
      <c r="R49" s="2" t="n">
        <v>0.7150684931506849</v>
      </c>
      <c r="S49" s="2" t="inlineStr">
        <is>
          <t>min-max across studies</t>
        </is>
      </c>
      <c r="T49" s="2" t="inlineStr">
        <is>
          <t>IMO 2018 container-ship classes used as a proxy for time a merchant-type hull spends at sea</t>
        </is>
      </c>
      <c r="U49" s="2" t="inlineStr">
        <is>
          <t>ship-at-sea time is an upper bound only</t>
        </is>
      </c>
      <c r="V49" s="6" t="inlineStr">
        <is>
          <t>no comparable value</t>
        </is>
      </c>
      <c r="W49" s="2" t="inlineStr">
        <is>
          <t>neutral</t>
        </is>
      </c>
      <c r="X49" s="2" t="inlineStr">
        <is>
          <t>low</t>
        </is>
      </c>
      <c r="Y49" s="2" t="inlineStr">
        <is>
          <t>No literature value for a dedicated MCB sprayer's spray-time fraction exists; the 0.3653 (=3,200 h/yr, 133 d) is an assumption. IMO container days-at-sea is shown only to bound it. Tried: IMO 4th GHG, UNCTAD RMT, Latham 2012 (no operating-fraction figure). Cloud-suitable time belongs to group C.</t>
        </is>
      </c>
    </row>
    <row r="50">
      <c r="A50" s="4" t="inlineStr">
        <is>
          <t>B_platforms</t>
        </is>
      </c>
      <c r="B50" s="2" t="inlineStr">
        <is>
          <t>3c. Outputs - Fixed Platform</t>
        </is>
      </c>
      <c r="C50" s="2" t="inlineStr">
        <is>
          <t>B14</t>
        </is>
      </c>
      <c r="D50" s="2" t="inlineStr">
        <is>
          <t>Spray time - on station, fixed platform</t>
        </is>
      </c>
      <c r="E50" s="2" t="n">
        <v>0.365296803652968</v>
      </c>
      <c r="F50" s="2" t="inlineStr">
        <is>
          <t>fraction of year</t>
        </is>
      </c>
      <c r="G50" s="2" t="inlineStr">
        <is>
          <t>Assumption: platform permanently on station.</t>
        </is>
      </c>
      <c r="H50" s="2" t="inlineStr"/>
      <c r="I50" s="2" t="inlineStr"/>
      <c r="J50" s="2" t="inlineStr"/>
      <c r="K50" s="2" t="inlineStr"/>
      <c r="L50" s="2" t="n"/>
      <c r="M50" s="2" t="inlineStr"/>
      <c r="N50" s="2" t="inlineStr"/>
      <c r="O50" s="2" t="n"/>
      <c r="P50" s="2" t="inlineStr">
        <is>
          <t>point</t>
        </is>
      </c>
      <c r="Q50" s="2" t="n"/>
      <c r="R50" s="2" t="n"/>
      <c r="S50" s="2" t="inlineStr">
        <is>
          <t>range stated</t>
        </is>
      </c>
      <c r="T50" s="2" t="inlineStr"/>
      <c r="U50" s="2" t="inlineStr"/>
      <c r="V50" s="6" t="inlineStr">
        <is>
          <t>no comparable value</t>
        </is>
      </c>
      <c r="W50" s="2" t="inlineStr">
        <is>
          <t>neutral</t>
        </is>
      </c>
      <c r="X50" s="2" t="inlineStr">
        <is>
          <t>low</t>
        </is>
      </c>
      <c r="Y50" s="2" t="inlineStr">
        <is>
          <t>A fixed platform has no sea-time limit, so the 0.3653 is purely a cloud/wind-suitability fraction (group C). Not a ship parameter; no ship-fleet source applies.</t>
        </is>
      </c>
    </row>
    <row r="51">
      <c r="A51" s="4" t="inlineStr">
        <is>
          <t>B_platforms</t>
        </is>
      </c>
      <c r="B51" s="2" t="inlineStr">
        <is>
          <t>3d. Outputs - Stationary Vessel</t>
        </is>
      </c>
      <c r="C51" s="2" t="inlineStr">
        <is>
          <t>B5</t>
        </is>
      </c>
      <c r="D51" s="2" t="inlineStr">
        <is>
          <t>Spray time - on station, stationary vessel</t>
        </is>
      </c>
      <c r="E51" s="2" t="n">
        <v>0.365296803652968</v>
      </c>
      <c r="F51" s="2" t="inlineStr">
        <is>
          <t>fraction of year</t>
        </is>
      </c>
      <c r="G51" s="2" t="inlineStr">
        <is>
          <t>Assumption: sprays while holding station.</t>
        </is>
      </c>
      <c r="H51" s="2" t="inlineStr"/>
      <c r="I51" s="2" t="inlineStr"/>
      <c r="J51" s="2" t="inlineStr"/>
      <c r="K51" s="2" t="inlineStr"/>
      <c r="L51" s="2" t="n"/>
      <c r="M51" s="2" t="inlineStr"/>
      <c r="N51" s="2" t="inlineStr"/>
      <c r="O51" s="2" t="n"/>
      <c r="P51" s="2" t="inlineStr">
        <is>
          <t>point</t>
        </is>
      </c>
      <c r="Q51" s="2" t="n"/>
      <c r="R51" s="2" t="n"/>
      <c r="S51" s="2" t="inlineStr">
        <is>
          <t>range stated</t>
        </is>
      </c>
      <c r="T51" s="2" t="inlineStr"/>
      <c r="U51" s="2" t="inlineStr"/>
      <c r="V51" s="6" t="inlineStr">
        <is>
          <t>no comparable value</t>
        </is>
      </c>
      <c r="W51" s="2" t="inlineStr">
        <is>
          <t>neutral</t>
        </is>
      </c>
      <c r="X51" s="2" t="inlineStr">
        <is>
          <t>low</t>
        </is>
      </c>
      <c r="Y51" s="2" t="inlineStr">
        <is>
          <t>Same 3,200 h/yr assumption as 3a/3b/3c. No literature on station-holding spray fraction; see group C for cloud-suitable time.</t>
        </is>
      </c>
    </row>
    <row r="52">
      <c r="A52" s="4" t="inlineStr">
        <is>
          <t>B_platforms</t>
        </is>
      </c>
      <c r="B52" s="2" t="inlineStr">
        <is>
          <t>3a. Outputs - Dedicated Vessel</t>
        </is>
      </c>
      <c r="C52" s="2" t="inlineStr">
        <is>
          <t>B20</t>
        </is>
      </c>
      <c r="D52" s="2" t="inlineStr">
        <is>
          <t>Transit time (no spray), dedicated vessel</t>
        </is>
      </c>
      <c r="E52" s="2" t="n">
        <v>0.0365296803652968</v>
      </c>
      <c r="F52" s="2" t="inlineStr">
        <is>
          <t>fraction of year</t>
        </is>
      </c>
      <c r="G52" s="2" t="inlineStr">
        <is>
          <t>Assumption: repositioning + refuel legs.</t>
        </is>
      </c>
      <c r="H52" s="2" t="inlineStr"/>
      <c r="I52" s="2" t="inlineStr"/>
      <c r="J52" s="2" t="inlineStr"/>
      <c r="K52" s="2" t="inlineStr"/>
      <c r="L52" s="2" t="n"/>
      <c r="M52" s="2" t="inlineStr"/>
      <c r="N52" s="2" t="inlineStr"/>
      <c r="O52" s="2" t="n"/>
      <c r="P52" s="2" t="inlineStr">
        <is>
          <t>point</t>
        </is>
      </c>
      <c r="Q52" s="2" t="n"/>
      <c r="R52" s="2" t="n"/>
      <c r="S52" s="2" t="inlineStr">
        <is>
          <t>range stated</t>
        </is>
      </c>
      <c r="T52" s="2" t="inlineStr"/>
      <c r="U52" s="2" t="inlineStr"/>
      <c r="V52" s="6" t="inlineStr">
        <is>
          <t>no comparable value</t>
        </is>
      </c>
      <c r="W52" s="2" t="inlineStr">
        <is>
          <t>neutral</t>
        </is>
      </c>
      <c r="X52" s="2" t="inlineStr">
        <is>
          <t>low</t>
        </is>
      </c>
      <c r="Y52" s="2" t="inlineStr">
        <is>
          <t>Equals 10% of spray fraction; a scenario design parameter set by siting distance, not a measured quantity. Not searched to the 3-formulation floor because it is a routing choice; treat as unsupported.</t>
        </is>
      </c>
    </row>
    <row r="53">
      <c r="A53" s="4" t="inlineStr">
        <is>
          <t>B_platforms</t>
        </is>
      </c>
      <c r="B53" s="2" t="inlineStr">
        <is>
          <t>3d. Outputs - Stationary Vessel</t>
        </is>
      </c>
      <c r="C53" s="2" t="inlineStr">
        <is>
          <t>B6</t>
        </is>
      </c>
      <c r="D53" s="2" t="inlineStr">
        <is>
          <t>Transit time (no spray), stationary vessel</t>
        </is>
      </c>
      <c r="E53" s="2" t="n">
        <v>0.0121765601217656</v>
      </c>
      <c r="F53" s="2" t="inlineStr">
        <is>
          <t>fraction of year</t>
        </is>
      </c>
      <c r="G53" s="2" t="inlineStr">
        <is>
          <t>Assumption: steam out and back, one round trip per year.</t>
        </is>
      </c>
      <c r="H53" s="2" t="inlineStr"/>
      <c r="I53" s="2" t="inlineStr"/>
      <c r="J53" s="2" t="inlineStr"/>
      <c r="K53" s="2" t="inlineStr"/>
      <c r="L53" s="2" t="n"/>
      <c r="M53" s="2" t="inlineStr"/>
      <c r="N53" s="2" t="inlineStr"/>
      <c r="O53" s="2" t="n"/>
      <c r="P53" s="2" t="inlineStr">
        <is>
          <t>point</t>
        </is>
      </c>
      <c r="Q53" s="2" t="n"/>
      <c r="R53" s="2" t="n"/>
      <c r="S53" s="2" t="inlineStr">
        <is>
          <t>range stated</t>
        </is>
      </c>
      <c r="T53" s="2" t="inlineStr"/>
      <c r="U53" s="2" t="inlineStr"/>
      <c r="V53" s="6" t="inlineStr">
        <is>
          <t>no comparable value</t>
        </is>
      </c>
      <c r="W53" s="2" t="inlineStr">
        <is>
          <t>neutral</t>
        </is>
      </c>
      <c r="X53" s="2" t="inlineStr">
        <is>
          <t>low</t>
        </is>
      </c>
      <c r="Y53" s="2">
        <f> 4.44 d/yr (1 round trip). Design parameter; distance-dependent. At IMO 2018 container-ship design speeds this is a few thousand nm; not sourced. Unsupported.</f>
        <v/>
      </c>
    </row>
    <row r="54">
      <c r="A54" s="4" t="inlineStr">
        <is>
          <t>B_platforms</t>
        </is>
      </c>
      <c r="B54" s="2" t="inlineStr">
        <is>
          <t>3a. Outputs - Dedicated Vessel</t>
        </is>
      </c>
      <c r="C54" s="2" t="inlineStr">
        <is>
          <t>B19</t>
        </is>
      </c>
      <c r="D54" s="2" t="inlineStr">
        <is>
          <t>Spray time - on station (zero for dedicated vessel)</t>
        </is>
      </c>
      <c r="E54" s="2" t="n">
        <v>0</v>
      </c>
      <c r="F54" s="2" t="inlineStr">
        <is>
          <t>fraction</t>
        </is>
      </c>
      <c r="G54" s="2" t="inlineStr"/>
      <c r="H54" s="2" t="inlineStr"/>
      <c r="I54" s="2" t="inlineStr"/>
      <c r="J54" s="2" t="inlineStr"/>
      <c r="K54" s="2" t="inlineStr"/>
      <c r="L54" s="2" t="n"/>
      <c r="M54" s="2" t="inlineStr"/>
      <c r="N54" s="2" t="inlineStr"/>
      <c r="O54" s="2" t="n"/>
      <c r="P54" s="2" t="inlineStr">
        <is>
          <t>point</t>
        </is>
      </c>
      <c r="Q54" s="2" t="n"/>
      <c r="R54" s="2" t="n"/>
      <c r="S54" s="2" t="inlineStr">
        <is>
          <t>range stated</t>
        </is>
      </c>
      <c r="T54" s="2" t="inlineStr"/>
      <c r="U54" s="2" t="inlineStr"/>
      <c r="V54" s="2" t="inlineStr">
        <is>
          <t>definitional</t>
        </is>
      </c>
      <c r="W54" s="2" t="inlineStr">
        <is>
          <t>n/a</t>
        </is>
      </c>
      <c r="X54" s="2" t="inlineStr">
        <is>
          <t>high</t>
        </is>
      </c>
      <c r="Y54" s="2" t="inlineStr">
        <is>
          <t>Structural zero / layout: scenario definition set to 0 by construction.</t>
        </is>
      </c>
    </row>
    <row r="55">
      <c r="A55" s="4" t="inlineStr">
        <is>
          <t>B_platforms</t>
        </is>
      </c>
      <c r="B55" s="2" t="inlineStr">
        <is>
          <t>3b. Outputs - Ship Piggyback</t>
        </is>
      </c>
      <c r="C55" s="2" t="inlineStr">
        <is>
          <t>B14</t>
        </is>
      </c>
      <c r="D55" s="2" t="inlineStr">
        <is>
          <t>Spray time - on station (zero, piggyback)</t>
        </is>
      </c>
      <c r="E55" s="2" t="n">
        <v>0</v>
      </c>
      <c r="F55" s="2" t="inlineStr">
        <is>
          <t>fraction</t>
        </is>
      </c>
      <c r="G55" s="2" t="inlineStr"/>
      <c r="H55" s="2" t="inlineStr"/>
      <c r="I55" s="2" t="inlineStr"/>
      <c r="J55" s="2" t="inlineStr"/>
      <c r="K55" s="2" t="inlineStr"/>
      <c r="L55" s="2" t="n"/>
      <c r="M55" s="2" t="inlineStr"/>
      <c r="N55" s="2" t="inlineStr"/>
      <c r="O55" s="2" t="n"/>
      <c r="P55" s="2" t="inlineStr">
        <is>
          <t>point</t>
        </is>
      </c>
      <c r="Q55" s="2" t="n"/>
      <c r="R55" s="2" t="n"/>
      <c r="S55" s="2" t="inlineStr">
        <is>
          <t>range stated</t>
        </is>
      </c>
      <c r="T55" s="2" t="inlineStr"/>
      <c r="U55" s="2" t="inlineStr"/>
      <c r="V55" s="2" t="inlineStr">
        <is>
          <t>definitional</t>
        </is>
      </c>
      <c r="W55" s="2" t="inlineStr">
        <is>
          <t>n/a</t>
        </is>
      </c>
      <c r="X55" s="2" t="inlineStr">
        <is>
          <t>high</t>
        </is>
      </c>
      <c r="Y55" s="2" t="inlineStr">
        <is>
          <t>Structural zero / layout: scenario definition set to 0 by construction.</t>
        </is>
      </c>
    </row>
    <row r="56">
      <c r="A56" s="4" t="inlineStr">
        <is>
          <t>B_platforms</t>
        </is>
      </c>
      <c r="B56" s="2" t="inlineStr">
        <is>
          <t>3b. Outputs - Ship Piggyback</t>
        </is>
      </c>
      <c r="C56" s="2" t="inlineStr">
        <is>
          <t>B15</t>
        </is>
      </c>
      <c r="D56" s="2" t="inlineStr">
        <is>
          <t>Transit time (zero, piggyback)</t>
        </is>
      </c>
      <c r="E56" s="2" t="n">
        <v>0</v>
      </c>
      <c r="F56" s="2" t="inlineStr">
        <is>
          <t>fraction</t>
        </is>
      </c>
      <c r="G56" s="2" t="inlineStr"/>
      <c r="H56" s="2" t="inlineStr"/>
      <c r="I56" s="2" t="inlineStr"/>
      <c r="J56" s="2" t="inlineStr"/>
      <c r="K56" s="2" t="inlineStr"/>
      <c r="L56" s="2" t="n"/>
      <c r="M56" s="2" t="inlineStr"/>
      <c r="N56" s="2" t="inlineStr"/>
      <c r="O56" s="2" t="n"/>
      <c r="P56" s="2" t="inlineStr">
        <is>
          <t>point</t>
        </is>
      </c>
      <c r="Q56" s="2" t="n"/>
      <c r="R56" s="2" t="n"/>
      <c r="S56" s="2" t="inlineStr">
        <is>
          <t>range stated</t>
        </is>
      </c>
      <c r="T56" s="2" t="inlineStr"/>
      <c r="U56" s="2" t="inlineStr"/>
      <c r="V56" s="2" t="inlineStr">
        <is>
          <t>definitional</t>
        </is>
      </c>
      <c r="W56" s="2" t="inlineStr">
        <is>
          <t>n/a</t>
        </is>
      </c>
      <c r="X56" s="2" t="inlineStr">
        <is>
          <t>high</t>
        </is>
      </c>
      <c r="Y56" s="2" t="inlineStr">
        <is>
          <t>Structural zero / layout: scenario definition set to 0 by construction.</t>
        </is>
      </c>
    </row>
    <row r="57">
      <c r="A57" s="4" t="inlineStr">
        <is>
          <t>B_platforms</t>
        </is>
      </c>
      <c r="B57" s="2" t="inlineStr">
        <is>
          <t>3c. Outputs - Fixed Platform</t>
        </is>
      </c>
      <c r="C57" s="2" t="inlineStr">
        <is>
          <t>B13</t>
        </is>
      </c>
      <c r="D57" s="2" t="inlineStr">
        <is>
          <t>Spray time - moving (zero, fixed platform)</t>
        </is>
      </c>
      <c r="E57" s="2" t="n">
        <v>0</v>
      </c>
      <c r="F57" s="2" t="inlineStr">
        <is>
          <t>fraction</t>
        </is>
      </c>
      <c r="G57" s="2" t="inlineStr"/>
      <c r="H57" s="2" t="inlineStr"/>
      <c r="I57" s="2" t="inlineStr"/>
      <c r="J57" s="2" t="inlineStr"/>
      <c r="K57" s="2" t="inlineStr"/>
      <c r="L57" s="2" t="n"/>
      <c r="M57" s="2" t="inlineStr"/>
      <c r="N57" s="2" t="inlineStr"/>
      <c r="O57" s="2" t="n"/>
      <c r="P57" s="2" t="inlineStr">
        <is>
          <t>point</t>
        </is>
      </c>
      <c r="Q57" s="2" t="n"/>
      <c r="R57" s="2" t="n"/>
      <c r="S57" s="2" t="inlineStr">
        <is>
          <t>range stated</t>
        </is>
      </c>
      <c r="T57" s="2" t="inlineStr"/>
      <c r="U57" s="2" t="inlineStr"/>
      <c r="V57" s="2" t="inlineStr">
        <is>
          <t>definitional</t>
        </is>
      </c>
      <c r="W57" s="2" t="inlineStr">
        <is>
          <t>n/a</t>
        </is>
      </c>
      <c r="X57" s="2" t="inlineStr">
        <is>
          <t>high</t>
        </is>
      </c>
      <c r="Y57" s="2" t="inlineStr">
        <is>
          <t>Structural zero / layout: scenario definition set to 0 by construction.</t>
        </is>
      </c>
    </row>
    <row r="58">
      <c r="A58" s="4" t="inlineStr">
        <is>
          <t>B_platforms</t>
        </is>
      </c>
      <c r="B58" s="2" t="inlineStr">
        <is>
          <t>3c. Outputs - Fixed Platform</t>
        </is>
      </c>
      <c r="C58" s="2" t="inlineStr">
        <is>
          <t>B15</t>
        </is>
      </c>
      <c r="D58" s="2" t="inlineStr">
        <is>
          <t>Transit time (zero, fixed platform)</t>
        </is>
      </c>
      <c r="E58" s="2" t="n">
        <v>0</v>
      </c>
      <c r="F58" s="2" t="inlineStr">
        <is>
          <t>fraction</t>
        </is>
      </c>
      <c r="G58" s="2" t="inlineStr"/>
      <c r="H58" s="2" t="inlineStr"/>
      <c r="I58" s="2" t="inlineStr"/>
      <c r="J58" s="2" t="inlineStr"/>
      <c r="K58" s="2" t="inlineStr"/>
      <c r="L58" s="2" t="n"/>
      <c r="M58" s="2" t="inlineStr"/>
      <c r="N58" s="2" t="inlineStr"/>
      <c r="O58" s="2" t="n"/>
      <c r="P58" s="2" t="inlineStr">
        <is>
          <t>point</t>
        </is>
      </c>
      <c r="Q58" s="2" t="n"/>
      <c r="R58" s="2" t="n"/>
      <c r="S58" s="2" t="inlineStr">
        <is>
          <t>range stated</t>
        </is>
      </c>
      <c r="T58" s="2" t="inlineStr"/>
      <c r="U58" s="2" t="inlineStr"/>
      <c r="V58" s="2" t="inlineStr">
        <is>
          <t>definitional</t>
        </is>
      </c>
      <c r="W58" s="2" t="inlineStr">
        <is>
          <t>n/a</t>
        </is>
      </c>
      <c r="X58" s="2" t="inlineStr">
        <is>
          <t>high</t>
        </is>
      </c>
      <c r="Y58" s="2" t="inlineStr">
        <is>
          <t>Structural zero / layout: scenario definition set to 0 by construction.</t>
        </is>
      </c>
    </row>
    <row r="59">
      <c r="A59" s="4" t="inlineStr">
        <is>
          <t>B_platforms</t>
        </is>
      </c>
      <c r="B59" s="2" t="inlineStr">
        <is>
          <t>3d. Outputs - Stationary Vessel</t>
        </is>
      </c>
      <c r="C59" s="2" t="inlineStr">
        <is>
          <t>B4</t>
        </is>
      </c>
      <c r="D59" s="2" t="inlineStr">
        <is>
          <t>Spray time - moving (zero, stationary vessel)</t>
        </is>
      </c>
      <c r="E59" s="2" t="n">
        <v>0</v>
      </c>
      <c r="F59" s="2" t="inlineStr">
        <is>
          <t>fraction</t>
        </is>
      </c>
      <c r="G59" s="2" t="inlineStr"/>
      <c r="H59" s="2" t="inlineStr"/>
      <c r="I59" s="2" t="inlineStr"/>
      <c r="J59" s="2" t="inlineStr"/>
      <c r="K59" s="2" t="inlineStr"/>
      <c r="L59" s="2" t="n"/>
      <c r="M59" s="2" t="inlineStr"/>
      <c r="N59" s="2" t="inlineStr"/>
      <c r="O59" s="2" t="n"/>
      <c r="P59" s="2" t="inlineStr">
        <is>
          <t>point</t>
        </is>
      </c>
      <c r="Q59" s="2" t="n"/>
      <c r="R59" s="2" t="n"/>
      <c r="S59" s="2" t="inlineStr">
        <is>
          <t>range stated</t>
        </is>
      </c>
      <c r="T59" s="2" t="inlineStr"/>
      <c r="U59" s="2" t="inlineStr"/>
      <c r="V59" s="2" t="inlineStr">
        <is>
          <t>definitional</t>
        </is>
      </c>
      <c r="W59" s="2" t="inlineStr">
        <is>
          <t>n/a</t>
        </is>
      </c>
      <c r="X59" s="2" t="inlineStr">
        <is>
          <t>high</t>
        </is>
      </c>
      <c r="Y59" s="2" t="inlineStr">
        <is>
          <t>Structural zero / layout: scenario definition set to 0 by construction.</t>
        </is>
      </c>
    </row>
    <row r="60">
      <c r="A60" s="4" t="inlineStr">
        <is>
          <t>B_platforms</t>
        </is>
      </c>
      <c r="B60" s="2" t="inlineStr">
        <is>
          <t>3a. Outputs - Dedicated Vessel</t>
        </is>
      </c>
      <c r="C60" s="2" t="inlineStr">
        <is>
          <t>B26</t>
        </is>
      </c>
      <c r="D60" s="2" t="inlineStr">
        <is>
          <t>Usable fraction of fuel tank</t>
        </is>
      </c>
      <c r="E60" s="2" t="n">
        <v>0.9</v>
      </c>
      <c r="F60" s="2" t="inlineStr">
        <is>
          <t>fraction</t>
        </is>
      </c>
      <c r="G60" s="2" t="inlineStr">
        <is>
          <t>Assumption (typed): 'Tanks are not run dry; 90% usable.'</t>
        </is>
      </c>
      <c r="H60" s="2" t="inlineStr">
        <is>
          <t>Mrzljak et al. 2023</t>
        </is>
      </c>
      <c r="I60" s="2" t="inlineStr">
        <is>
          <t>Mrzljak, V., Poljak, I., Kosor, M. &amp; Culin, J. (2023). Bisection Method for the Heavy Fuel Oil Tank Filling Problem at a Liquefied Natural Gas Carrier. J. Mar. Sci. Eng. 11(4), 849.</t>
        </is>
      </c>
      <c r="J60" s="2" t="inlineStr">
        <is>
          <t>10.3390/jmse11040849</t>
        </is>
      </c>
      <c r="K60" s="8" t="inlineStr">
        <is>
          <t>https://mdpi-res.com/d_attachment/jmse/jmse-11-00849/article_deploy/jmse-11-00849.pdf</t>
        </is>
      </c>
      <c r="L60" s="2" t="n">
        <v>200</v>
      </c>
      <c r="M60" s="2" t="inlineStr">
        <is>
          <t>Abstract + Section 2 (pdf p.1-4): tanks filled to 85% (some) or 90% by SMS policy; 10% lower limit of tank content; 100% upper limit in commingling example</t>
        </is>
      </c>
      <c r="N60" s="2" t="inlineStr">
        <is>
          <t>full text</t>
        </is>
      </c>
      <c r="O60" s="2" t="n">
        <v>0.8</v>
      </c>
      <c r="P60" s="2" t="inlineStr">
        <is>
          <t>point</t>
        </is>
      </c>
      <c r="Q60" s="2" t="n">
        <v>0.8</v>
      </c>
      <c r="R60" s="2" t="n">
        <v>0.9</v>
      </c>
      <c r="S60" s="2" t="inlineStr">
        <is>
          <t>range stated</t>
        </is>
      </c>
      <c r="T60" s="2" t="inlineStr">
        <is>
          <t>1 LNG-carrier HFO tank system (single ship type, company-policy values)</t>
        </is>
      </c>
      <c r="U60" s="2" t="inlineStr">
        <is>
          <t>operational policy window, not a measured distribution</t>
        </is>
      </c>
      <c r="V60" s="7" t="inlineStr">
        <is>
          <t>within</t>
        </is>
      </c>
      <c r="W60" s="2" t="inlineStr">
        <is>
          <t>neutral</t>
        </is>
      </c>
      <c r="X60" s="2" t="inlineStr">
        <is>
          <t>low</t>
        </is>
      </c>
      <c r="Y60" s="2" t="inlineStr">
        <is>
          <t>DERIVED: practical usable window = 90% max fill minus 10% min content = 0.80 of nominal tank volume (0.90 if only the fill ceiling applies; MARPOL Annex I defines oil-fuel capacity at 98% fill, seen only in a search snippet and not opened). Ship type (LNG carrier HFO tanks) differs from a small spray vessel. No paper giving a general 'usable fraction of bunker tank' for workboats found after 3 query formulations (MARPOL unpumpable, bunker tank usable capacity, tank filling limit).</t>
        </is>
      </c>
    </row>
    <row r="61">
      <c r="A61" s="4" t="inlineStr">
        <is>
          <t>B_platforms</t>
        </is>
      </c>
      <c r="B61" s="2" t="inlineStr">
        <is>
          <t>3b. Outputs - Ship Piggyback</t>
        </is>
      </c>
      <c r="C61" s="2" t="inlineStr">
        <is>
          <t>B5</t>
        </is>
      </c>
      <c r="D61" s="2" t="inlineStr">
        <is>
          <t>Containerized mounting capital per vessel</t>
        </is>
      </c>
      <c r="E61" s="2" t="n">
        <v>100000</v>
      </c>
      <c r="F61" s="2" t="inlineStr">
        <is>
          <t>$/vessel</t>
        </is>
      </c>
      <c r="G61" s="2" t="inlineStr">
        <is>
          <t>Assumption: gear mounting and integration only.</t>
        </is>
      </c>
      <c r="H61" s="2" t="inlineStr"/>
      <c r="I61" s="2" t="inlineStr"/>
      <c r="J61" s="2" t="inlineStr"/>
      <c r="K61" s="2" t="inlineStr"/>
      <c r="L61" s="2" t="n"/>
      <c r="M61" s="2" t="inlineStr"/>
      <c r="N61" s="2" t="inlineStr"/>
      <c r="O61" s="2" t="n"/>
      <c r="P61" s="2" t="inlineStr">
        <is>
          <t>point</t>
        </is>
      </c>
      <c r="Q61" s="2" t="n"/>
      <c r="R61" s="2" t="n"/>
      <c r="S61" s="2" t="inlineStr">
        <is>
          <t>range stated</t>
        </is>
      </c>
      <c r="T61" s="2" t="inlineStr"/>
      <c r="U61" s="2" t="inlineStr"/>
      <c r="V61" s="6" t="inlineStr">
        <is>
          <t>no comparable value</t>
        </is>
      </c>
      <c r="W61" s="2" t="inlineStr">
        <is>
          <t>neutral</t>
        </is>
      </c>
      <c r="X61" s="2" t="inlineStr">
        <is>
          <t>low</t>
        </is>
      </c>
      <c r="Y61" s="2" t="inlineStr">
        <is>
          <t>No source found after 4 queries (containerized seawater intake/filtration/UV skid price; ballast-water-treatment system retrofit price; container-ship deck equipment/lashing retrofit cost per TEU; generic genset skid). Only non-comparable hits: aquarium-grade recirculating skids ($4,950-6,340, Pentair catalog, not seawater intake) and BWTS cost guides of $0.6-5.5M installed (unverified marketing/blog estimates, not opened). Would need a vendor quote.</t>
        </is>
      </c>
    </row>
    <row r="62">
      <c r="A62" s="4" t="inlineStr">
        <is>
          <t>B_platforms</t>
        </is>
      </c>
      <c r="B62" s="2" t="inlineStr">
        <is>
          <t>3b. Outputs - Ship Piggyback</t>
        </is>
      </c>
      <c r="C62" s="2" t="inlineStr">
        <is>
          <t>B11</t>
        </is>
      </c>
      <c r="D62" s="2" t="inlineStr">
        <is>
          <t>Seawater skid, containerized (pumps, filtration, UV)</t>
        </is>
      </c>
      <c r="E62" s="2" t="n">
        <v>80000</v>
      </c>
      <c r="F62" s="2" t="inlineStr">
        <is>
          <t>$/vessel</t>
        </is>
      </c>
      <c r="G62" s="2" t="inlineStr">
        <is>
          <t>Typed (until 10/07 inside row-22 formula); no source.</t>
        </is>
      </c>
      <c r="H62" s="2" t="inlineStr"/>
      <c r="I62" s="2" t="inlineStr"/>
      <c r="J62" s="2" t="inlineStr"/>
      <c r="K62" s="2" t="inlineStr"/>
      <c r="L62" s="2" t="n"/>
      <c r="M62" s="2" t="inlineStr"/>
      <c r="N62" s="2" t="inlineStr"/>
      <c r="O62" s="2" t="n"/>
      <c r="P62" s="2" t="inlineStr">
        <is>
          <t>point</t>
        </is>
      </c>
      <c r="Q62" s="2" t="n"/>
      <c r="R62" s="2" t="n"/>
      <c r="S62" s="2" t="inlineStr">
        <is>
          <t>range stated</t>
        </is>
      </c>
      <c r="T62" s="2" t="inlineStr"/>
      <c r="U62" s="2" t="inlineStr"/>
      <c r="V62" s="6" t="inlineStr">
        <is>
          <t>no comparable value</t>
        </is>
      </c>
      <c r="W62" s="2" t="inlineStr">
        <is>
          <t>neutral</t>
        </is>
      </c>
      <c r="X62" s="2" t="inlineStr">
        <is>
          <t>low</t>
        </is>
      </c>
      <c r="Y62" s="2" t="inlineStr">
        <is>
          <t>No source found after 4 queries (containerized seawater intake/filtration/UV skid price; ballast-water-treatment system retrofit price; container-ship deck equipment/lashing retrofit cost per TEU; generic genset skid). Only non-comparable hits: aquarium-grade recirculating skids ($4,950-6,340, Pentair catalog, not seawater intake) and BWTS cost guides of $0.6-5.5M installed (unverified marketing/blog estimates, not opened). Would need a vendor quote.</t>
        </is>
      </c>
    </row>
    <row r="63">
      <c r="A63" s="4" t="inlineStr">
        <is>
          <t>B_platforms</t>
        </is>
      </c>
      <c r="B63" s="2" t="inlineStr">
        <is>
          <t>3b. Outputs - Ship Piggyback</t>
        </is>
      </c>
      <c r="C63" s="2" t="inlineStr">
        <is>
          <t>B6</t>
        </is>
      </c>
      <c r="D63" s="2" t="inlineStr">
        <is>
          <t>Technicians per vessel</t>
        </is>
      </c>
      <c r="E63" s="2" t="n">
        <v>3</v>
      </c>
      <c r="F63" s="2" t="inlineStr">
        <is>
          <t>people</t>
        </is>
      </c>
      <c r="G63" s="2" t="inlineStr">
        <is>
          <t>Assumption: 3 technicians per vessel.</t>
        </is>
      </c>
      <c r="H63" s="2" t="inlineStr"/>
      <c r="I63" s="2" t="inlineStr"/>
      <c r="J63" s="2" t="inlineStr"/>
      <c r="K63" s="2" t="inlineStr"/>
      <c r="L63" s="2" t="n"/>
      <c r="M63" s="2" t="inlineStr"/>
      <c r="N63" s="2" t="inlineStr"/>
      <c r="O63" s="2" t="n"/>
      <c r="P63" s="2" t="inlineStr">
        <is>
          <t>point</t>
        </is>
      </c>
      <c r="Q63" s="2" t="n"/>
      <c r="R63" s="2" t="n"/>
      <c r="S63" s="2" t="inlineStr">
        <is>
          <t>range stated</t>
        </is>
      </c>
      <c r="T63" s="2" t="inlineStr"/>
      <c r="U63" s="2" t="inlineStr"/>
      <c r="V63" s="6" t="inlineStr">
        <is>
          <t>no comparable value</t>
        </is>
      </c>
      <c r="W63" s="2" t="inlineStr">
        <is>
          <t>neutral</t>
        </is>
      </c>
      <c r="X63" s="2" t="inlineStr">
        <is>
          <t>low</t>
        </is>
      </c>
      <c r="Y63" s="2" t="inlineStr">
        <is>
          <t>Staffing assumption for an unproven system; no operating precedent exists. Not a literature quantity.</t>
        </is>
      </c>
    </row>
    <row r="64">
      <c r="A64" s="4" t="inlineStr">
        <is>
          <t>B_platforms</t>
        </is>
      </c>
      <c r="B64" s="2" t="inlineStr">
        <is>
          <t>3c. Outputs - Fixed Platform</t>
        </is>
      </c>
      <c r="C64" s="2" t="inlineStr">
        <is>
          <t>B6</t>
        </is>
      </c>
      <c r="D64" s="2" t="inlineStr">
        <is>
          <t>Technicians per platform</t>
        </is>
      </c>
      <c r="E64" s="2" t="n">
        <v>1</v>
      </c>
      <c r="F64" s="2" t="inlineStr">
        <is>
          <t>people</t>
        </is>
      </c>
      <c r="G64" s="2" t="inlineStr">
        <is>
          <t>Assumption: largely automated.</t>
        </is>
      </c>
      <c r="H64" s="2" t="inlineStr"/>
      <c r="I64" s="2" t="inlineStr"/>
      <c r="J64" s="2" t="inlineStr"/>
      <c r="K64" s="2" t="inlineStr"/>
      <c r="L64" s="2" t="n"/>
      <c r="M64" s="2" t="inlineStr"/>
      <c r="N64" s="2" t="inlineStr"/>
      <c r="O64" s="2" t="n"/>
      <c r="P64" s="2" t="inlineStr">
        <is>
          <t>point</t>
        </is>
      </c>
      <c r="Q64" s="2" t="n"/>
      <c r="R64" s="2" t="n"/>
      <c r="S64" s="2" t="inlineStr">
        <is>
          <t>range stated</t>
        </is>
      </c>
      <c r="T64" s="2" t="inlineStr"/>
      <c r="U64" s="2" t="inlineStr"/>
      <c r="V64" s="6" t="inlineStr">
        <is>
          <t>no comparable value</t>
        </is>
      </c>
      <c r="W64" s="2" t="inlineStr">
        <is>
          <t>yes</t>
        </is>
      </c>
      <c r="X64" s="2" t="inlineStr">
        <is>
          <t>low</t>
        </is>
      </c>
      <c r="Y64" s="2" t="inlineStr">
        <is>
          <t>Staffing assumption; a continuously spraying 4 MW compressor/genset plant plus seawater system with 1 FTE is optimistic but unsourced. Offshore unmanned platforms still need scheduled crewed visits (cost in B7 'incl. boat transfers').</t>
        </is>
      </c>
    </row>
    <row r="65">
      <c r="A65" s="4" t="inlineStr">
        <is>
          <t>B_platforms</t>
        </is>
      </c>
      <c r="B65" s="2" t="inlineStr">
        <is>
          <t>3b. Outputs - Ship Piggyback</t>
        </is>
      </c>
      <c r="C65" s="2" t="inlineStr">
        <is>
          <t>B7</t>
        </is>
      </c>
      <c r="D65" s="2" t="inlineStr">
        <is>
          <t>Technician annual cost (loaded)</t>
        </is>
      </c>
      <c r="E65" s="2" t="n">
        <v>180000</v>
      </c>
      <c r="F65" s="2" t="inlineStr">
        <is>
          <t>$/person</t>
        </is>
      </c>
      <c r="G65" s="2" t="inlineStr">
        <is>
          <t>Assumption (loaded annual cost).</t>
        </is>
      </c>
      <c r="H65" s="2" t="inlineStr">
        <is>
          <t>BLS OOH Wind Turbine Technicians</t>
        </is>
      </c>
      <c r="I65" s="2" t="inlineStr">
        <is>
          <t>U.S. Bureau of Labor Statistics, Occupational Outlook Handbook: Wind Turbine Technicians (May 2024 wage data).</t>
        </is>
      </c>
      <c r="J65" s="2" t="inlineStr"/>
      <c r="K65" s="8" t="inlineStr">
        <is>
          <t>https://www.bls.gov/ooh/installation-maintenance-and-repair/wind-turbine-technicians.htm</t>
        </is>
      </c>
      <c r="L65" s="2" t="n">
        <v>403</v>
      </c>
      <c r="M65" s="2" t="inlineStr">
        <is>
          <t>OOH Pay section: median annual wage May 2024 = $62,580; 10th pct &lt; $49,110; 90th pct &gt; $88,090 (figures read from search-result excerpt of the page; the BLS site returned 403 to scripted access)</t>
        </is>
      </c>
      <c r="N65" s="2" t="inlineStr">
        <is>
          <t>paywalled, from secondary</t>
        </is>
      </c>
      <c r="O65" s="2" t="n">
        <v>62580</v>
      </c>
      <c r="P65" s="2" t="inlineStr">
        <is>
          <t>median</t>
        </is>
      </c>
      <c r="Q65" s="2" t="n">
        <v>49110</v>
      </c>
      <c r="R65" s="2" t="n">
        <v>88090</v>
      </c>
      <c r="S65" s="2" t="inlineStr">
        <is>
          <t>range stated</t>
        </is>
      </c>
      <c r="T65" s="2" t="inlineStr">
        <is>
          <t>BLS OES May 2024, wind turbine technicians, ~13,600 jobs</t>
        </is>
      </c>
      <c r="U65" s="2" t="inlineStr">
        <is>
          <t>right-skewed wage distribution; low/high are 10th/90th percentiles (not 5/95)</t>
        </is>
      </c>
      <c r="V65" s="5" t="inlineStr">
        <is>
          <t>above range</t>
        </is>
      </c>
      <c r="W65" s="2" t="inlineStr">
        <is>
          <t>no</t>
        </is>
      </c>
      <c r="X65" s="2" t="inlineStr">
        <is>
          <t>medium</t>
        </is>
      </c>
      <c r="Y65" s="2" t="inlineStr">
        <is>
          <t>DERIVED: $180,000 / $62,580 = 2.88x the median wage, and 2.04x the 90th percentile. A 1.3-1.5x benefits/overhead load (an assumption, not sourced here) would give ~$81-94k; the extra premium would have to be offshore/marine/travel pay. Workbook is conservative (higher cost). The comparator is onshore wind technicians, not marine spray-train technicians.</t>
        </is>
      </c>
    </row>
    <row r="66">
      <c r="A66" s="4" t="inlineStr">
        <is>
          <t>B_platforms</t>
        </is>
      </c>
      <c r="B66" s="2" t="inlineStr">
        <is>
          <t>3c. Outputs - Fixed Platform</t>
        </is>
      </c>
      <c r="C66" s="2" t="inlineStr">
        <is>
          <t>B7</t>
        </is>
      </c>
      <c r="D66" s="2" t="inlineStr">
        <is>
          <t>Technician annual cost (loaded)</t>
        </is>
      </c>
      <c r="E66" s="2" t="n">
        <v>180000</v>
      </c>
      <c r="F66" s="2" t="inlineStr">
        <is>
          <t>$/person</t>
        </is>
      </c>
      <c r="G66" s="2" t="inlineStr">
        <is>
          <t>Assumption (loaded annual cost).</t>
        </is>
      </c>
      <c r="H66" s="2" t="inlineStr">
        <is>
          <t>BLS OOH Wind Turbine Technicians</t>
        </is>
      </c>
      <c r="I66" s="2" t="inlineStr">
        <is>
          <t>U.S. Bureau of Labor Statistics, Occupational Outlook Handbook: Wind Turbine Technicians (May 2024 wage data).</t>
        </is>
      </c>
      <c r="J66" s="2" t="inlineStr"/>
      <c r="K66" s="8" t="inlineStr">
        <is>
          <t>https://www.bls.gov/ooh/installation-maintenance-and-repair/wind-turbine-technicians.htm</t>
        </is>
      </c>
      <c r="L66" s="2" t="n">
        <v>403</v>
      </c>
      <c r="M66" s="2" t="inlineStr">
        <is>
          <t>OOH Pay section: median annual wage May 2024 = $62,580; 10th pct &lt; $49,110; 90th pct &gt; $88,090 (figures read from search-result excerpt of the page; the BLS site returned 403 to scripted access)</t>
        </is>
      </c>
      <c r="N66" s="2" t="inlineStr">
        <is>
          <t>paywalled, from secondary</t>
        </is>
      </c>
      <c r="O66" s="2" t="n">
        <v>62580</v>
      </c>
      <c r="P66" s="2" t="inlineStr">
        <is>
          <t>median</t>
        </is>
      </c>
      <c r="Q66" s="2" t="n">
        <v>49110</v>
      </c>
      <c r="R66" s="2" t="n">
        <v>88090</v>
      </c>
      <c r="S66" s="2" t="inlineStr">
        <is>
          <t>range stated</t>
        </is>
      </c>
      <c r="T66" s="2" t="inlineStr">
        <is>
          <t>BLS OES May 2024, wind turbine technicians, ~13,600 jobs</t>
        </is>
      </c>
      <c r="U66" s="2" t="inlineStr">
        <is>
          <t>right-skewed wage distribution; low/high are 10th/90th percentiles (not 5/95)</t>
        </is>
      </c>
      <c r="V66" s="5" t="inlineStr">
        <is>
          <t>above range</t>
        </is>
      </c>
      <c r="W66" s="2" t="inlineStr">
        <is>
          <t>no</t>
        </is>
      </c>
      <c r="X66" s="2" t="inlineStr">
        <is>
          <t>medium</t>
        </is>
      </c>
      <c r="Y66" s="2" t="inlineStr">
        <is>
          <t>DERIVED: $180,000 / $62,580 = 2.88x the median wage, and 2.04x the 90th percentile. A 1.3-1.5x benefits/overhead load (an assumption, not sourced here) would give ~$81-94k; the extra premium would have to be offshore/marine/travel pay. Workbook is conservative (higher cost). The comparator is onshore wind technicians, not marine spray-train technicians.</t>
        </is>
      </c>
    </row>
    <row r="67">
      <c r="A67" s="4" t="inlineStr">
        <is>
          <t>B_platforms</t>
        </is>
      </c>
      <c r="B67" s="2" t="inlineStr">
        <is>
          <t>3b. Outputs - Ship Piggyback</t>
        </is>
      </c>
      <c r="C67" s="2" t="inlineStr">
        <is>
          <t>B10</t>
        </is>
      </c>
      <c r="D67" s="2" t="inlineStr">
        <is>
          <t>Deck-slot rental per vessel per year (ship-owner fee)</t>
        </is>
      </c>
      <c r="E67" s="2" t="n">
        <v>2000000</v>
      </c>
      <c r="F67" s="2" t="inlineStr">
        <is>
          <t>$/vessel/yr</t>
        </is>
      </c>
      <c r="G67" s="2" t="inlineStr">
        <is>
          <t>Assumption.</t>
        </is>
      </c>
      <c r="H67" s="2" t="inlineStr">
        <is>
          <t>UNCTAD RMT 2024</t>
        </is>
      </c>
      <c r="I67" s="2" t="inlineStr">
        <is>
          <t>UNCTAD (2024). Review of Maritime Transport 2024. United Nations, Geneva.</t>
        </is>
      </c>
      <c r="J67" s="2" t="inlineStr"/>
      <c r="K67" s="8" t="inlineStr">
        <is>
          <t>https://unctad.org/system/files/official-document/rmt2024_en.pdf</t>
        </is>
      </c>
      <c r="L67" s="2" t="n">
        <v>200</v>
      </c>
      <c r="M67" s="2" t="inlineStr">
        <is>
          <t>Section on freight rates (pdf p.84): SCFI Shanghai-South America reached $9,026/TEU in July 2024 (+224% from Jan 2024), the highest since Sept 2022; Shanghai-South Africa $5,426/TEU; Shanghai-West Africa $5,563/TEU</t>
        </is>
      </c>
      <c r="N67" s="2" t="inlineStr">
        <is>
          <t>full text</t>
        </is>
      </c>
      <c r="O67" s="2" t="n">
        <v>9026</v>
      </c>
      <c r="P67" s="2" t="inlineStr">
        <is>
          <t>point</t>
        </is>
      </c>
      <c r="Q67" s="2" t="n">
        <v>5426</v>
      </c>
      <c r="R67" s="2" t="n">
        <v>9026</v>
      </c>
      <c r="S67" s="2" t="inlineStr">
        <is>
          <t>range stated</t>
        </is>
      </c>
      <c r="T67" s="2" t="inlineStr">
        <is>
          <t>3 SCFI routes, single month (July 2024), crisis peak (Red Sea disruption)</t>
        </is>
      </c>
      <c r="U67" s="2" t="inlineStr">
        <is>
          <t>spot freight is highly volatile; July 2024 values are near cycle highs</t>
        </is>
      </c>
      <c r="V67" s="6" t="inlineStr">
        <is>
          <t>no comparable value</t>
        </is>
      </c>
      <c r="W67" s="2" t="inlineStr">
        <is>
          <t>no</t>
        </is>
      </c>
      <c r="X67" s="2" t="inlineStr">
        <is>
          <t>low</t>
        </is>
      </c>
      <c r="Y67" s="2" t="inlineStr">
        <is>
          <t>DERIVED cross-check only: $2,000,000 / ~30 TEU of slots (workbook D41: 20-30 TEU) = ~$66,700 per TEU-slot-year, which equals ~7.4 sailings of full-price peak-crisis spot freight ($9,026/TEU) on those slots, or ~12 at $5,426. Number of laden legs per slot-year is not in the source and ship-owner revenue for a plug-in/gensets deck block (not a normal cargo box) is not published. No deck-slot or equipment-hosting rate on a container liner found after 3 formulations (container slot rent / time-charter equivalent per TEU / deck space equipment lease); UNCTAD ConTex index points exist but not in $/day. Treat $2M as unsupported; direction of error unknown.</t>
        </is>
      </c>
    </row>
    <row r="68">
      <c r="A68" s="4" t="inlineStr">
        <is>
          <t>B_platforms</t>
        </is>
      </c>
      <c r="B68" s="2" t="inlineStr">
        <is>
          <t>3b. Outputs - Ship Piggyback</t>
        </is>
      </c>
      <c r="C68" s="2" t="inlineStr">
        <is>
          <t>B41</t>
        </is>
      </c>
      <c r="D68" s="2" t="inlineStr">
        <is>
          <t>Power per host ship, own gensets (host auxiliary power at sea for comparison)</t>
        </is>
      </c>
      <c r="E68" s="2" t="n">
        <v>4500</v>
      </c>
      <c r="F68" s="2" t="inlineStr">
        <is>
          <t>kW</t>
        </is>
      </c>
      <c r="G68" s="2" t="inlineStr">
        <is>
          <t>Workbook note D41: 4.5 MW = 3-5 forty-foot genset boxes.</t>
        </is>
      </c>
      <c r="H68" s="2" t="inlineStr">
        <is>
          <t>IMO 2020 (Fourth IMO GHG Study)</t>
        </is>
      </c>
      <c r="I68" s="2" t="inlineStr">
        <is>
          <t>Faber, J. et al. (2020). Fourth IMO GHG Study 2020: Full report and annexes. International Maritime Organization, London.</t>
        </is>
      </c>
      <c r="J68" s="2" t="inlineStr"/>
      <c r="K68" s="8" t="inlineStr">
        <is>
          <t>https://wwwcdn.imo.org/localresources/en/OurWork/Environment/Documents/Fourth%20IMO%20GHG%20Study%202020%20-%20Full%20report%20and%20annexes.pdf</t>
        </is>
      </c>
      <c r="L68" s="2" t="n">
        <v>200</v>
      </c>
      <c r="M68" s="2" t="inlineStr">
        <is>
          <t>Table 17 (auxiliary engine power output at sea), Chapter 2, pdf p.96: container 0-999 TEU 190 kW; 1,000-1,999 900; 2,000-2,999 920; 3,000-4,999 1,400; 5,000-7,999 1,450; 8,000-11,999 1,800; 12,000-14,499 2,050; 14,500-19,999 2,300; 20,000+ 2,300</t>
        </is>
      </c>
      <c r="N68" s="2" t="inlineStr">
        <is>
          <t>full text</t>
        </is>
      </c>
      <c r="O68" s="2" t="n">
        <v>1450</v>
      </c>
      <c r="P68" s="2" t="inlineStr">
        <is>
          <t>median</t>
        </is>
      </c>
      <c r="Q68" s="2" t="n">
        <v>900</v>
      </c>
      <c r="R68" s="2" t="n">
        <v>2300</v>
      </c>
      <c r="S68" s="2" t="inlineStr">
        <is>
          <t>min-max across studies</t>
        </is>
      </c>
      <c r="T68" s="2" t="inlineStr">
        <is>
          <t>8 size classes &gt;=1,000 TEU (IMO modelled auxiliary power OUTPUT, not installed capacity)</t>
        </is>
      </c>
      <c r="U68" s="2" t="inlineStr">
        <is>
          <t>increases with ship size, saturates ~2.3 MW</t>
        </is>
      </c>
      <c r="V68" s="5" t="inlineStr">
        <is>
          <t>above range</t>
        </is>
      </c>
      <c r="W68" s="2" t="inlineStr">
        <is>
          <t>neutral</t>
        </is>
      </c>
      <c r="X68" s="2" t="inlineStr">
        <is>
          <t>medium</t>
        </is>
      </c>
      <c r="Y68" s="2" t="inlineStr">
        <is>
          <t>Host ships' modelled auxiliary electrical output at sea is 0.9-2.3 MW (median of class values 1.45 MW), so a 4.5 MW spray train is 2.0-5.0x the largest class's load and cannot be fed from the host's gensets; the workbook correctly brings its own gensets. These are loads, not installed kW, so spare installed capacity is unknown (not published in the study). Workbook's own B41 is a design choice, not a literature quantity.</t>
        </is>
      </c>
    </row>
    <row r="69">
      <c r="A69" s="4" t="inlineStr">
        <is>
          <t>B_platforms</t>
        </is>
      </c>
      <c r="B69" s="2" t="inlineStr">
        <is>
          <t>6c. Benefit - Global Piggyback</t>
        </is>
      </c>
      <c r="C69" s="2" t="inlineStr">
        <is>
          <t>B52</t>
        </is>
      </c>
      <c r="D69" s="2" t="inlineStr">
        <is>
          <t>Fully cellular container ships (fleet count)</t>
        </is>
      </c>
      <c r="E69" s="2" t="n">
        <v>6706</v>
      </c>
      <c r="F69" s="2" t="inlineStr">
        <is>
          <t>ships</t>
        </is>
      </c>
      <c r="G69" s="2" t="inlineStr">
        <is>
          <t>Alphaliner Apr 2026 (6,706); MDS Transmodal Apr 2025 via UNCTAD RMT 2025 (6,033); Alphaliner Monthly Monitor Jul 2024 (6,206).</t>
        </is>
      </c>
      <c r="H69" s="2" t="inlineStr">
        <is>
          <t>Alphaliner 2026 (Global Fleet Snapshot, Mar 2026)</t>
        </is>
      </c>
      <c r="I69" s="2" t="inlineStr">
        <is>
          <t>Alphaliner Global Fleet Snapshot March 2026, as reported by Global Maritime Hub (2 Apr 2026), 'Container shipping hits new fleet and capacity milestones'.</t>
        </is>
      </c>
      <c r="J69" s="2" t="inlineStr"/>
      <c r="K69" s="8" t="inlineStr">
        <is>
          <t>https://globalmaritimehub.com/container-shipping-hits-new-fleet-and-capacity-milestones/</t>
        </is>
      </c>
      <c r="L69" s="2" t="n">
        <v>200</v>
      </c>
      <c r="M69" s="2" t="inlineStr">
        <is>
          <t>Article text: '6,706 vessels now in active operation, carrying 33.6M TEU'</t>
        </is>
      </c>
      <c r="N69" s="2" t="inlineStr">
        <is>
          <t>paywalled, from secondary</t>
        </is>
      </c>
      <c r="O69" s="2" t="n">
        <v>6706</v>
      </c>
      <c r="P69" s="2" t="inlineStr">
        <is>
          <t>point</t>
        </is>
      </c>
      <c r="Q69" s="2" t="n">
        <v>6033</v>
      </c>
      <c r="R69" s="2" t="n">
        <v>6706</v>
      </c>
      <c r="S69" s="2" t="inlineStr">
        <is>
          <t>range stated</t>
        </is>
      </c>
      <c r="T69" s="2" t="inlineStr">
        <is>
          <t>3 independent counts: MDS Transmodal Apr 2025 = 6,033 (UNCTAD RMT 2025 Ch.II, pdf p.71); Alphaliner Jul 2024 = 6,206; Alphaliner Mar 2026 = 6,706; IMO 2018 = 5,171 Type 1+2 (+165 Type 3)</t>
        </is>
      </c>
      <c r="U69" s="2" t="inlineStr">
        <is>
          <t>growing ~5%/yr; differences are mostly dates and fleet definition (cellular only vs all container-carrying)</t>
        </is>
      </c>
      <c r="V69" s="7" t="inlineStr">
        <is>
          <t>within</t>
        </is>
      </c>
      <c r="W69" s="2" t="inlineStr">
        <is>
          <t>neutral</t>
        </is>
      </c>
      <c r="X69" s="2" t="inlineStr">
        <is>
          <t>high</t>
        </is>
      </c>
      <c r="Y69" s="2" t="inlineStr">
        <is>
          <t>Workbook 6c!B52 = 6,706 'fully cellular container ships (Alphaliner, Apr 2026)'. Source is Alphaliner's Global Fleet Snapshot for March 2026 published 2 Apr 2026 (33.6 Mteu), reached via Global Maritime Hub, not Alphaliner directly. Also confirmed: UNCTAD RMT 2025 'By April 2025, the global container ship fleet stood at 6,033 vessels... Total capacity reached 30.3 million TEU' (MDS Transmodal). IMO 2018 Table 81 container ships by class sum to 5,171 Type 1+2.</t>
        </is>
      </c>
    </row>
    <row r="70">
      <c r="A70" s="4" t="inlineStr">
        <is>
          <t>B_platforms</t>
        </is>
      </c>
      <c r="B70" s="2" t="inlineStr">
        <is>
          <t>6c. Benefit - Global Piggyback</t>
        </is>
      </c>
      <c r="C70" s="2" t="inlineStr">
        <is>
          <t>B52</t>
        </is>
      </c>
      <c r="D70" s="2" t="inlineStr">
        <is>
          <t>Fully cellular container ships (fleet count), MDS Transmodal via UNCTAD</t>
        </is>
      </c>
      <c r="E70" s="2" t="n">
        <v>6706</v>
      </c>
      <c r="F70" s="2" t="inlineStr">
        <is>
          <t>ships</t>
        </is>
      </c>
      <c r="G70" s="2" t="inlineStr">
        <is>
          <t>same</t>
        </is>
      </c>
      <c r="H70" s="2" t="inlineStr">
        <is>
          <t>UNCTAD RMT 2025</t>
        </is>
      </c>
      <c r="I70" s="2" t="inlineStr">
        <is>
          <t>UNCTAD (2025). Review of Maritime Transport 2025. United Nations, Geneva. (container fleet figure credited to MDS Transmodal, April 2025)</t>
        </is>
      </c>
      <c r="J70" s="2" t="inlineStr"/>
      <c r="K70" s="8" t="inlineStr">
        <is>
          <t>https://unctad.org/system/files/official-document/rmt2025_en.pdf</t>
        </is>
      </c>
      <c r="L70" s="2" t="n">
        <v>200</v>
      </c>
      <c r="M70" s="2" t="inlineStr">
        <is>
          <t>Chapter II (Fleet), pdf p.71, text: 'By April 2025, the global container ship fleet stood at 6,033 vessels, up 7.3 per cent over April 2024 and more than 23.1 per cent higher than April 2019 (MDS Transmodal, 2025)... 30.3 million TEU'</t>
        </is>
      </c>
      <c r="N70" s="2" t="inlineStr">
        <is>
          <t>full text</t>
        </is>
      </c>
      <c r="O70" s="2" t="n">
        <v>6033</v>
      </c>
      <c r="P70" s="2" t="inlineStr">
        <is>
          <t>point</t>
        </is>
      </c>
      <c r="Q70" s="2" t="n">
        <v>6033</v>
      </c>
      <c r="R70" s="2" t="n">
        <v>6033</v>
      </c>
      <c r="S70" s="2" t="inlineStr">
        <is>
          <t>range stated</t>
        </is>
      </c>
      <c r="T70" s="2" t="inlineStr">
        <is>
          <t>MDS Transmodal Containership Databank, Apr 2025</t>
        </is>
      </c>
      <c r="U70" s="2" t="inlineStr">
        <is>
          <t>point count</t>
        </is>
      </c>
      <c r="V70" s="7" t="inlineStr">
        <is>
          <t>within</t>
        </is>
      </c>
      <c r="W70" s="2" t="inlineStr">
        <is>
          <t>neutral</t>
        </is>
      </c>
      <c r="X70" s="2" t="inlineStr">
        <is>
          <t>high</t>
        </is>
      </c>
      <c r="Y70" s="2" t="inlineStr">
        <is>
          <t>Workbook value is 11% higher than 6,033 (14 months later, plausible with ~5-7%/yr growth plus definitional differences).</t>
        </is>
      </c>
    </row>
    <row r="71">
      <c r="A71" s="4" t="inlineStr">
        <is>
          <t>B_platforms</t>
        </is>
      </c>
      <c r="B71" s="2" t="inlineStr">
        <is>
          <t>6c. Benefit - Global Piggyback</t>
        </is>
      </c>
      <c r="C71" s="2" t="inlineStr">
        <is>
          <t>D54</t>
        </is>
      </c>
      <c r="D71" s="2" t="inlineStr">
        <is>
          <t>Share of fleet &gt;=1,000 TEU (eligible host share)</t>
        </is>
      </c>
      <c r="E71" s="2" t="n">
        <v>0.85</v>
      </c>
      <c r="F71" s="2" t="inlineStr">
        <is>
          <t>fraction of ships</t>
        </is>
      </c>
      <c r="G71" s="2" t="inlineStr">
        <is>
          <t>Alphaliner Jul 2024: 954 of 6,206 ships under 1,000 TEU.</t>
        </is>
      </c>
      <c r="H71" s="2" t="inlineStr">
        <is>
          <t>Alphaliner 2024 (Monthly Monitor Jul 2024)</t>
        </is>
      </c>
      <c r="I71" s="2" t="inlineStr">
        <is>
          <t>Alphaliner (2024). Monthly Monitor, July 2024, 'Cellular Fleet Breakdown - Existing Fleet' (public sample issue hosted by AXS Marine).</t>
        </is>
      </c>
      <c r="J71" s="2" t="inlineStr"/>
      <c r="K71" s="8" t="inlineStr">
        <is>
          <t>https://public.axsmarine.com/wp-content/uploads/2025/01/Alphaliner_Monthly_Monitor_Sample.pdf</t>
        </is>
      </c>
      <c r="L71" s="2" t="n">
        <v>200</v>
      </c>
      <c r="M71" s="2" t="inlineStr">
        <is>
          <t>'Cellular Fleet Breakdown - Existing Fleet' table, p.2: 500-999 TEU = 771 ships, 100-499 = 183, TOTAL 6,206; 1,000-1,499 = 783</t>
        </is>
      </c>
      <c r="N71" s="2" t="inlineStr">
        <is>
          <t>full text</t>
        </is>
      </c>
      <c r="O71" s="2" t="n">
        <v>0.846</v>
      </c>
      <c r="P71" s="2" t="inlineStr">
        <is>
          <t>point</t>
        </is>
      </c>
      <c r="Q71" s="2" t="n">
        <v>0.834</v>
      </c>
      <c r="R71" s="2" t="n">
        <v>0.846</v>
      </c>
      <c r="S71" s="2" t="inlineStr">
        <is>
          <t>min-max across studies</t>
        </is>
      </c>
      <c r="T71" s="2" t="inlineStr">
        <is>
          <t>Alphaliner Jul 2024 (6,206 ships) and IMO 2018 Type 1+2 (5,171 ships)</t>
        </is>
      </c>
      <c r="U71" s="2" t="inlineStr">
        <is>
          <t>DERIVED: Alphaliner (6,206-954)/6,206 = 0.846; IMO 2018 4,310/5,171 = 0.834. Fleet is heavily skewed: 1,000-2,999 TEU classes alone are 2,443 ships (39%).</t>
        </is>
      </c>
      <c r="V71" s="7" t="inlineStr">
        <is>
          <t>within</t>
        </is>
      </c>
      <c r="W71" s="2" t="inlineStr">
        <is>
          <t>neutral</t>
        </is>
      </c>
      <c r="X71" s="2" t="inlineStr">
        <is>
          <t>high</t>
        </is>
      </c>
      <c r="Y71" s="2" t="inlineStr">
        <is>
          <t>Arithmetic: 954 = 183+771. Share rounds to 0.85, matching the workbook. This only counts size; it does not test whether those ships sail through low-cloud MCB regions or can free 20-30 TEU. If the threshold were 2,000 TEU instead, share would be 0.59 (derived from the same table) and eligible ships ~3,970.</t>
        </is>
      </c>
    </row>
    <row r="72">
      <c r="A72" s="4" t="inlineStr">
        <is>
          <t>B_platforms</t>
        </is>
      </c>
      <c r="B72" s="2" t="inlineStr">
        <is>
          <t>6c. Benefit - Global Piggyback</t>
        </is>
      </c>
      <c r="C72" s="2" t="inlineStr">
        <is>
          <t>B54</t>
        </is>
      </c>
      <c r="D72" s="2" t="inlineStr">
        <is>
          <t>Eligible host ships (&gt;=1,000 TEU)</t>
        </is>
      </c>
      <c r="E72" s="2" t="n">
        <v>5700</v>
      </c>
      <c r="F72" s="2" t="inlineStr">
        <is>
          <t>ships</t>
        </is>
      </c>
      <c r="G72" s="2" t="inlineStr">
        <is>
          <t>D54 x B52.</t>
        </is>
      </c>
      <c r="H72" s="2" t="inlineStr">
        <is>
          <t>Alphaliner 2024 (Monthly Monitor Jul 2024)</t>
        </is>
      </c>
      <c r="I72" s="2" t="inlineStr">
        <is>
          <t>Alphaliner (2024). Monthly Monitor, July 2024, 'Cellular Fleet Breakdown - Existing Fleet' (public sample issue hosted by AXS Marine).</t>
        </is>
      </c>
      <c r="J72" s="2" t="inlineStr"/>
      <c r="K72" s="8" t="inlineStr">
        <is>
          <t>https://public.axsmarine.com/wp-content/uploads/2025/01/Alphaliner_Monthly_Monitor_Sample.pdf</t>
        </is>
      </c>
      <c r="L72" s="2" t="n">
        <v>200</v>
      </c>
      <c r="M72" s="2" t="inlineStr">
        <is>
          <t>derived: 6,706 x 0.846 = 5,673; 6,033 x 0.846 = 5,104</t>
        </is>
      </c>
      <c r="N72" s="2" t="inlineStr">
        <is>
          <t>full text</t>
        </is>
      </c>
      <c r="O72" s="2" t="n">
        <v>5673</v>
      </c>
      <c r="P72" s="2" t="inlineStr">
        <is>
          <t>point</t>
        </is>
      </c>
      <c r="Q72" s="2" t="n">
        <v>5104</v>
      </c>
      <c r="R72" s="2" t="n">
        <v>5700</v>
      </c>
      <c r="S72" s="2" t="inlineStr">
        <is>
          <t>range stated</t>
        </is>
      </c>
      <c r="T72" s="2" t="inlineStr">
        <is>
          <t>derived from the three fleet counts x 0.846</t>
        </is>
      </c>
      <c r="U72" s="2" t="inlineStr">
        <is>
          <t>derived</t>
        </is>
      </c>
      <c r="V72" s="7" t="inlineStr">
        <is>
          <t>within</t>
        </is>
      </c>
      <c r="W72" s="2" t="inlineStr">
        <is>
          <t>neutral</t>
        </is>
      </c>
      <c r="X72" s="2" t="inlineStr">
        <is>
          <t>medium</t>
        </is>
      </c>
      <c r="Y72" s="2" t="inlineStr">
        <is>
          <t>Derived (arithmetic shown in locator). Spread comes entirely from which fleet count is used. No source counts ships that actually transit MCB-suitable stratocumulus regions (a far smaller subset); that is the more binding eligibility limit and is unsourced.</t>
        </is>
      </c>
    </row>
    <row r="73">
      <c r="A73" s="4" t="inlineStr">
        <is>
          <t>B_platforms</t>
        </is>
      </c>
      <c r="B73" s="2" t="inlineStr">
        <is>
          <t>3c. Outputs - Fixed Platform</t>
        </is>
      </c>
      <c r="C73" s="2" t="inlineStr">
        <is>
          <t>B5</t>
        </is>
      </c>
      <c r="D73" s="2" t="inlineStr">
        <is>
          <t>Platform capital per unit (mooring system alone, per floating unit)</t>
        </is>
      </c>
      <c r="E73" s="2" t="n">
        <v>3000000</v>
      </c>
      <c r="F73" s="2" t="inlineStr">
        <is>
          <t>$/platform (workbook) vs GBP/unit (BVG)</t>
        </is>
      </c>
      <c r="G73" s="2" t="inlineStr">
        <is>
          <t>Assumption: moored buoy / small jack-up / repurposed barge with mooring.</t>
        </is>
      </c>
      <c r="H73" s="2" t="inlineStr">
        <is>
          <t>BVG Associates 2023 (Guide to a Floating Offshore Wind Farm)</t>
        </is>
      </c>
      <c r="I73" s="2" t="inlineStr">
        <is>
          <t>BVG Associates (2023). Guide to a Floating Offshore Wind Farm. Published on behalf of ORE Catapult, The Crown Estate and Crown Estate Scotland, May 2023.</t>
        </is>
      </c>
      <c r="J73" s="2" t="inlineStr"/>
      <c r="K73" s="8" t="inlineStr">
        <is>
          <t>https://tethys.pnnl.gov/sites/default/files/publications/BVG_2023.pdf</t>
        </is>
      </c>
      <c r="L73" s="2" t="n">
        <v>200</v>
      </c>
      <c r="M73" s="2" t="inlineStr">
        <is>
          <t>B.3 Mooring system, pdf p.76: 'About £80 million for a 450 MW floating offshore wind farm'; anchors pdf p.80: £17 million (drag embedment)</t>
        </is>
      </c>
      <c r="N73" s="2" t="inlineStr">
        <is>
          <t>full text</t>
        </is>
      </c>
      <c r="O73" s="2" t="n">
        <v>2666666.666666667</v>
      </c>
      <c r="P73" s="2" t="inlineStr">
        <is>
          <t>point</t>
        </is>
      </c>
      <c r="Q73" s="2" t="n">
        <v>566666.6666666666</v>
      </c>
      <c r="R73" s="2" t="n">
        <v>2666666.666666667</v>
      </c>
      <c r="S73" s="2" t="inlineStr">
        <is>
          <t>range stated</t>
        </is>
      </c>
      <c r="T73" s="2" t="inlineStr">
        <is>
          <t>single reference design (BVG 2023, 2025 FID, GBP); derived /30 units</t>
        </is>
      </c>
      <c r="U73" s="2" t="inlineStr">
        <is>
          <t>single-point estimate; BVG notes difficult ground can make anchor costs 'several times higher'</t>
        </is>
      </c>
      <c r="V73" s="6" t="inlineStr">
        <is>
          <t>no comparable value</t>
        </is>
      </c>
      <c r="W73" s="2" t="inlineStr">
        <is>
          <t>neutral</t>
        </is>
      </c>
      <c r="X73" s="2" t="inlineStr">
        <is>
          <t>low</t>
        </is>
      </c>
      <c r="Y73" s="2" t="inlineStr">
        <is>
          <t>BVG reference farm (Table 1, pdf p.16): 450 MW, 15 MW turbines (=30 units), 100 m water, 3-point mooring, drag-embedment anchors, benign ground. Per-unit figures here are DERIVED by dividing farm totals by 30. A spray platform is smaller than a 15 MW semi-submersible; these numbers show scale, not a like-for-like price. Mooring+anchoring alone = GBP 2.67M/unit (anchors GBP 0.57M of that). Workbook's $3M all-in for structure+mooring is the same order as mooring alone for a 15 MW floating unit, but a small buoy needs a much lighter mooring. Currency not converted (GBP). No like-for-like small-platform price found; workbook value cannot be bounded.</t>
        </is>
      </c>
    </row>
    <row r="74">
      <c r="A74" s="4" t="inlineStr">
        <is>
          <t>B_platforms</t>
        </is>
      </c>
      <c r="B74" s="2" t="inlineStr">
        <is>
          <t>3c. Outputs - Fixed Platform</t>
        </is>
      </c>
      <c r="C74" s="2" t="inlineStr">
        <is>
          <t>B5</t>
        </is>
      </c>
      <c r="D74" s="2" t="inlineStr">
        <is>
          <t>Platform capital per unit (floating substructure, per 15 MW unit)</t>
        </is>
      </c>
      <c r="E74" s="2" t="n">
        <v>3000000</v>
      </c>
      <c r="F74" s="2" t="inlineStr">
        <is>
          <t>$/platform (workbook) vs GBP/unit (BVG)</t>
        </is>
      </c>
      <c r="G74" s="2" t="inlineStr">
        <is>
          <t>Assumption.</t>
        </is>
      </c>
      <c r="H74" s="2" t="inlineStr">
        <is>
          <t>BVG Associates 2023 (Guide to a Floating Offshore Wind Farm)</t>
        </is>
      </c>
      <c r="I74" s="2" t="inlineStr">
        <is>
          <t>BVG Associates (2023). Guide to a Floating Offshore Wind Farm. Published on behalf of ORE Catapult, The Crown Estate and Crown Estate Scotland, May 2023.</t>
        </is>
      </c>
      <c r="J74" s="2" t="inlineStr"/>
      <c r="K74" s="8" t="inlineStr">
        <is>
          <t>https://tethys.pnnl.gov/sites/default/files/publications/BVG_2023.pdf</t>
        </is>
      </c>
      <c r="L74" s="2" t="n">
        <v>200</v>
      </c>
      <c r="M74" s="2" t="inlineStr">
        <is>
          <t>B.2 Floating substructure, pdf p.70: 'About £430 million for a 450 MW floating offshore wind farm' (primary steel £360M, pdf p.71; secondary steel £30M; corrosion protection £22M)</t>
        </is>
      </c>
      <c r="N74" s="2" t="inlineStr">
        <is>
          <t>full text</t>
        </is>
      </c>
      <c r="O74" s="2" t="n">
        <v>14333333.33333333</v>
      </c>
      <c r="P74" s="2" t="inlineStr">
        <is>
          <t>point</t>
        </is>
      </c>
      <c r="Q74" s="2" t="n"/>
      <c r="R74" s="2" t="n"/>
      <c r="S74" s="2" t="inlineStr">
        <is>
          <t>range stated</t>
        </is>
      </c>
      <c r="T74" s="2" t="inlineStr">
        <is>
          <t>single reference design, derived /30</t>
        </is>
      </c>
      <c r="U74" s="2" t="inlineStr">
        <is>
          <t>single-point estimate</t>
        </is>
      </c>
      <c r="V74" s="5" t="inlineStr">
        <is>
          <t>above range</t>
        </is>
      </c>
      <c r="W74" s="2" t="inlineStr">
        <is>
          <t>yes</t>
        </is>
      </c>
      <c r="X74" s="2" t="inlineStr">
        <is>
          <t>low</t>
        </is>
      </c>
      <c r="Y74" s="2" t="inlineStr">
        <is>
          <t>BVG reference farm (Table 1, pdf p.16): 450 MW, 15 MW turbines (=30 units), 100 m water, 3-point mooring, drag-embedment anchors, benign ground. Per-unit figures here are DERIVED by dividing farm totals by 30. A spray platform is smaller than a 15 MW semi-submersible; these numbers show scale, not a like-for-like price. Substructure GBP 14.3M/unit is ~4-5x the workbook platform. If the spray plant needed a semi-sub-class hull the workbook platform would be ~4x too cheap; if a spar-buoy/barge suffices it is plausible. Treat as an unbounded-below scenario risk. Direction of workbook error (if hull is large) favours MCB.</t>
        </is>
      </c>
    </row>
    <row r="75">
      <c r="A75" s="4" t="inlineStr">
        <is>
          <t>B_platforms</t>
        </is>
      </c>
      <c r="B75" s="2" t="inlineStr">
        <is>
          <t>3c. Outputs - Fixed Platform</t>
        </is>
      </c>
      <c r="C75" s="2" t="inlineStr">
        <is>
          <t>B9</t>
        </is>
      </c>
      <c r="D75" s="2" t="inlineStr">
        <is>
          <t>Siting + permitting per platform</t>
        </is>
      </c>
      <c r="E75" s="2" t="n">
        <v>250000</v>
      </c>
      <c r="F75" s="2" t="inlineStr">
        <is>
          <t>$/platform</t>
        </is>
      </c>
      <c r="G75" s="2" t="inlineStr">
        <is>
          <t>Assumption: environmental review, marine permits, consultation.</t>
        </is>
      </c>
      <c r="H75" s="2" t="inlineStr">
        <is>
          <t>BVG Associates 2023 (Guide to a Floating Offshore Wind Farm)</t>
        </is>
      </c>
      <c r="I75" s="2" t="inlineStr">
        <is>
          <t>BVG Associates (2023). Guide to a Floating Offshore Wind Farm. Published on behalf of ORE Catapult, The Crown Estate and Crown Estate Scotland, May 2023.</t>
        </is>
      </c>
      <c r="J75" s="2" t="inlineStr"/>
      <c r="K75" s="8" t="inlineStr">
        <is>
          <t>https://tethys.pnnl.gov/sites/default/files/publications/BVG_2023.pdf</t>
        </is>
      </c>
      <c r="L75" s="2" t="n">
        <v>200</v>
      </c>
      <c r="M75" s="2" t="inlineStr">
        <is>
          <t>P.1.1 Environmental impact assessments, pdf p.28: 'About £4.6 million for a 450 MW floating offshore wind farm'; P.1 Development and project management, pdf p.25: £66 million for the whole 450 MW farm (excludes site lease)</t>
        </is>
      </c>
      <c r="N75" s="2" t="inlineStr">
        <is>
          <t>full text</t>
        </is>
      </c>
      <c r="O75" s="2" t="n">
        <v>4600000</v>
      </c>
      <c r="P75" s="2" t="inlineStr">
        <is>
          <t>point</t>
        </is>
      </c>
      <c r="Q75" s="2" t="n"/>
      <c r="R75" s="2" t="n"/>
      <c r="S75" s="2" t="inlineStr">
        <is>
          <t>range stated</t>
        </is>
      </c>
      <c r="T75" s="2" t="inlineStr">
        <is>
          <t>one 450 MW farm reference design (GBP)</t>
        </is>
      </c>
      <c r="U75" s="2" t="inlineStr">
        <is>
          <t>single point; scales with project size</t>
        </is>
      </c>
      <c r="V75" s="6" t="inlineStr">
        <is>
          <t>no comparable value</t>
        </is>
      </c>
      <c r="W75" s="2" t="inlineStr">
        <is>
          <t>neutral</t>
        </is>
      </c>
      <c r="X75" s="2" t="inlineStr">
        <is>
          <t>low</t>
        </is>
      </c>
      <c r="Y75" s="2" t="inlineStr">
        <is>
          <t>Only a whole-farm number exists: EIA = GBP 4.6M for a 450 MW farm (30 units), i.e. ~GBP 0.15M per unit if it scaled linearly (derived; it does not, since survey and consultation costs are largely fixed per site). No per-platform figure found after 3 query formulations (offshore platform/buoy permitting cost; EIS/marine permit cost offshore energy demonstration; BOEM/BSEE research lease cost). Only a harbor-float line item ($35k environmental permitting) which is not comparable. Workbook $250k is plausible only for a very small single-site project; treat as weakly supported.</t>
        </is>
      </c>
    </row>
    <row r="76">
      <c r="A76" s="4" t="inlineStr">
        <is>
          <t>B_platforms</t>
        </is>
      </c>
      <c r="B76" s="2" t="inlineStr">
        <is>
          <t>3c. Outputs - Fixed Platform</t>
        </is>
      </c>
      <c r="C76" s="2" t="inlineStr">
        <is>
          <t>B10</t>
        </is>
      </c>
      <c r="D76" s="2" t="inlineStr">
        <is>
          <t>Mooring + station-keeping O&amp;M</t>
        </is>
      </c>
      <c r="E76" s="2" t="n">
        <v>60000</v>
      </c>
      <c r="F76" s="2" t="inlineStr">
        <is>
          <t>$/platform/yr</t>
        </is>
      </c>
      <c r="G76" s="2" t="inlineStr">
        <is>
          <t>Assumption.</t>
        </is>
      </c>
      <c r="H76" s="2" t="inlineStr">
        <is>
          <t>Detrick et al. 2000 (DEOS moored buoy study)</t>
        </is>
      </c>
      <c r="I76" s="2" t="inlineStr">
        <is>
          <t>Detrick, R., Frye, D., Collins, J., et al. (c.2000-2001). DEOS Moored Buoy Observatory Design Study. Woods Hole Oceanographic Institution / Scripps / Deep Oil Technology.</t>
        </is>
      </c>
      <c r="J76" s="2" t="inlineStr"/>
      <c r="K76" s="8" t="inlineStr">
        <is>
          <t>https://www.ncedc.org/ftp/outgoing/barbara/,ion/o2001024.pdf</t>
        </is>
      </c>
      <c r="L76" s="2" t="n">
        <v>200</v>
      </c>
      <c r="M76" s="2" t="inlineStr">
        <is>
          <t>Executive summary, pdf p.4: 'Annual maintenance and operations costs would be ~$500K/node for the high-bandwidth systems and ~$200K/node for the low-bandwidth systems' (20-node network built for ~$38M)</t>
        </is>
      </c>
      <c r="N76" s="2" t="inlineStr">
        <is>
          <t>full text</t>
        </is>
      </c>
      <c r="O76" s="2" t="n">
        <v>350000</v>
      </c>
      <c r="P76" s="2" t="inlineStr">
        <is>
          <t>point</t>
        </is>
      </c>
      <c r="Q76" s="2" t="n">
        <v>200000</v>
      </c>
      <c r="R76" s="2" t="n">
        <v>500000</v>
      </c>
      <c r="S76" s="2" t="inlineStr">
        <is>
          <t>range stated</t>
        </is>
      </c>
      <c r="T76" s="2" t="inlineStr">
        <is>
          <t>20-node moored-buoy ocean observatory design study (c.2000-2001); includes instruments, telemetry and ship time, not mooring alone</t>
        </is>
      </c>
      <c r="U76" s="2" t="inlineStr">
        <is>
          <t>design-study estimate, c.2000 dollars</t>
        </is>
      </c>
      <c r="V76" s="5" t="inlineStr">
        <is>
          <t>below range</t>
        </is>
      </c>
      <c r="W76" s="2" t="inlineStr">
        <is>
          <t>yes</t>
        </is>
      </c>
      <c r="X76" s="2" t="inlineStr">
        <is>
          <t>low</t>
        </is>
      </c>
      <c r="Y76" s="2" t="inlineStr">
        <is>
          <t>Not like-for-like: DEOS O&amp;M covers whole science buoy nodes (instruments, annual ship servicing). Workbook's $60k is mooring inspection/anti-fouling only. A second hit (NWS Buoy 46089 annual running cost ~$60,000, 2013 notice on unidata.ucar.edu) matches the workbook figure but the page redirected to a dead host (HTTP 302 to page-not-found) so it is NOT cited as resolved. BVG 2023 gives no mooring-only O&amp;M line. Also found: EU MooringSense (2020) diver/ROV inspection ~EUR 30,000 per DAY (secondary, not opened). A single inspection day at that rate is 1/2 the workbook's annual figure.</t>
        </is>
      </c>
    </row>
    <row r="77">
      <c r="A77" s="4" t="inlineStr">
        <is>
          <t>B_platforms</t>
        </is>
      </c>
      <c r="B77" s="2" t="inlineStr">
        <is>
          <t>3c. Outputs - Fixed Platform</t>
        </is>
      </c>
      <c r="C77" s="2" t="inlineStr">
        <is>
          <t>B8</t>
        </is>
      </c>
      <c r="D77" s="2" t="inlineStr">
        <is>
          <t>Shore power price</t>
        </is>
      </c>
      <c r="E77" s="2" t="n">
        <v>0.15</v>
      </c>
      <c r="F77" s="2" t="inlineStr">
        <is>
          <t>$/kWh</t>
        </is>
      </c>
      <c r="G77" s="2" t="inlineStr">
        <is>
          <t>Assumption: shore power; set 0.30 for diesel gensets.</t>
        </is>
      </c>
      <c r="H77" s="2" t="inlineStr">
        <is>
          <t>EIA Electric Power Monthly Table 5.6.A</t>
        </is>
      </c>
      <c r="I77" s="2" t="inlineStr">
        <is>
          <t>U.S. EIA, Electric Power Monthly, Table 5.6.A 'Average Price of Electricity to Ultimate Customers by End-Use Sector, by State, August 2026 and 2025' (released 23 Oct 2026).</t>
        </is>
      </c>
      <c r="J77" s="2" t="inlineStr"/>
      <c r="K77" s="8" t="inlineStr">
        <is>
          <t>https://www.eia.gov/electricity/monthly/epm_table_grapher.php?t=epmt_5_6_a</t>
        </is>
      </c>
      <c r="L77" s="2" t="n">
        <v>200</v>
      </c>
      <c r="M77" s="2" t="inlineStr">
        <is>
          <t>Table 5.6.A, Aug 2026: U.S. total commercial 14.47 c/kWh, industrial 9.64 c/kWh, all sectors 14.87 c/kWh (Aug 2025: 13.87 / 8.98 / 14.15). State range, commercial: Texas 8.96 c, Louisiana 11.09 c, California 30.02 c, Hawaii 34 c</t>
        </is>
      </c>
      <c r="N77" s="2" t="inlineStr">
        <is>
          <t>full text</t>
        </is>
      </c>
      <c r="O77" s="2" t="n">
        <v>0.1447</v>
      </c>
      <c r="P77" s="2" t="inlineStr">
        <is>
          <t>point</t>
        </is>
      </c>
      <c r="Q77" s="2" t="n">
        <v>0.0896</v>
      </c>
      <c r="R77" s="2" t="n">
        <v>0.3002</v>
      </c>
      <c r="S77" s="2" t="inlineStr">
        <is>
          <t>range stated</t>
        </is>
      </c>
      <c r="T77" s="2" t="inlineStr">
        <is>
          <t>U.S. total + 50-state table, ONE month (Aug 2026); not an annual mean</t>
        </is>
      </c>
      <c r="U77" s="2" t="inlineStr">
        <is>
          <t>right-skewed across states (CA, New England, Hawaii high)</t>
        </is>
      </c>
      <c r="V77" s="7" t="inlineStr">
        <is>
          <t>within</t>
        </is>
      </c>
      <c r="W77" s="2" t="inlineStr">
        <is>
          <t>neutral</t>
        </is>
      </c>
      <c r="X77" s="2" t="inlineStr">
        <is>
          <t>medium</t>
        </is>
      </c>
      <c r="Y77" s="2" t="inlineStr">
        <is>
          <t>$0.15/kWh sits at the U.S. commercial average (14.5 c). Coastal-state commercial prices range 9-30 c. Cheaper (industrial, 9.6 c) or dearer (CA, 30 c) are both plausible. This is grid retail power, not the cost of extending a subsea cable to the platform, which workbook tab 3c leaves out entirely (see cable rows). Single-month data; annual averages are in EIA Electric Power Annual (not opened).</t>
        </is>
      </c>
    </row>
    <row r="78">
      <c r="A78" s="4" t="inlineStr">
        <is>
          <t>B_platforms</t>
        </is>
      </c>
      <c r="B78" s="2" t="inlineStr">
        <is>
          <t>3c. Outputs - Fixed Platform</t>
        </is>
      </c>
      <c r="C78" s="2" t="inlineStr">
        <is>
          <t>A2</t>
        </is>
      </c>
      <c r="D78" s="2" t="inlineStr">
        <is>
          <t>Subsea HVAC export cable cost (supply, 132-220 kV)</t>
        </is>
      </c>
      <c r="E78" s="2" t="inlineStr">
        <is>
          <t>0.8-1.5 M$/km</t>
        </is>
      </c>
      <c r="F78" s="2" t="inlineStr">
        <is>
          <t>$/km</t>
        </is>
      </c>
      <c r="G78" s="2" t="inlineStr">
        <is>
          <t>Text in A2: '~$0.8-1.5M/km HVAC export, install +30-60%, 2025-26 market data'.</t>
        </is>
      </c>
      <c r="H78" s="2" t="inlineStr">
        <is>
          <t>NREL ORBIT cable library</t>
        </is>
      </c>
      <c r="I78" s="2" t="inlineStr">
        <is>
          <t>NREL / WISDEM (open source, Apache-2.0). ORBIT library/cables/*.yaml (cost_per_km, cable material cost in USD). Model described in Nunemaker, Shields, Hammond &amp; Duffy (2020), NREL/TP-5000-77081.</t>
        </is>
      </c>
      <c r="J78" s="2" t="inlineStr"/>
      <c r="K78" s="8" t="inlineStr">
        <is>
          <t>https://github.com/WISDEM/ORBIT/tree/main/library/cables</t>
        </is>
      </c>
      <c r="L78" s="2" t="n">
        <v>200</v>
      </c>
      <c r="M78" s="2" t="inlineStr">
        <is>
          <t>XLPE_630mm_220kV 853,557; XLPE_800mm_220kV 932,902; XLPE_1000mm_220kV 1,500,902; XLPE_500mm_132kV 528,487 (cost_per_km)</t>
        </is>
      </c>
      <c r="N78" s="2" t="inlineStr">
        <is>
          <t>full text</t>
        </is>
      </c>
      <c r="O78" s="2" t="n">
        <v>932902</v>
      </c>
      <c r="P78" s="2" t="inlineStr">
        <is>
          <t>median</t>
        </is>
      </c>
      <c r="Q78" s="2" t="n">
        <v>853557</v>
      </c>
      <c r="R78" s="2" t="n">
        <v>1500902</v>
      </c>
      <c r="S78" s="2" t="inlineStr">
        <is>
          <t>min-max across studies</t>
        </is>
      </c>
      <c r="T78" s="2" t="inlineStr">
        <is>
          <t>3 x 220 kV cables (4 incl. 132 kV, 528,487)</t>
        </is>
      </c>
      <c r="U78" s="2" t="inlineStr">
        <is>
          <t>right-skewed with conductor size (630-800-1000 mm2)</t>
        </is>
      </c>
      <c r="V78" s="7" t="inlineStr">
        <is>
          <t>within</t>
        </is>
      </c>
      <c r="W78" s="2" t="inlineStr">
        <is>
          <t>neutral</t>
        </is>
      </c>
      <c r="X78" s="2" t="inlineStr">
        <is>
          <t>medium</t>
        </is>
      </c>
      <c r="Y78" s="2" t="inlineStr">
        <is>
          <t>NREL ORBIT library cable yamls; cost_per_km is cable material/supply in USD (year not stated in the files; file last changed 2025-02-25 in the git history). Installation is NOT included. 220 kV three-core supply $0.85-1.50M/km brackets the workbook's $0.8-1.5M/km exactly, so the workbook range reads as supply price; the +30-60% is then the installation add-on.</t>
        </is>
      </c>
    </row>
    <row r="79">
      <c r="A79" s="4" t="inlineStr">
        <is>
          <t>B_platforms</t>
        </is>
      </c>
      <c r="B79" s="2" t="inlineStr">
        <is>
          <t>3c. Outputs - Fixed Platform</t>
        </is>
      </c>
      <c r="C79" s="2" t="inlineStr">
        <is>
          <t>A2</t>
        </is>
      </c>
      <c r="D79" s="2" t="inlineStr">
        <is>
          <t>Subsea HVAC export cable cost, per circuit (derived from farm total)</t>
        </is>
      </c>
      <c r="E79" s="2" t="inlineStr">
        <is>
          <t>0.8-1.5 M$/km</t>
        </is>
      </c>
      <c r="F79" s="2" t="inlineStr">
        <is>
          <t>GBP/km</t>
        </is>
      </c>
      <c r="G79" s="2" t="inlineStr">
        <is>
          <t>Same.</t>
        </is>
      </c>
      <c r="H79" s="2" t="inlineStr">
        <is>
          <t>BVG Associates 2023 (Guide to a Floating Offshore Wind Farm)</t>
        </is>
      </c>
      <c r="I79" s="2" t="inlineStr">
        <is>
          <t>BVG Associates (2023). Guide to a Floating Offshore Wind Farm. Published on behalf of ORE Catapult, The Crown Estate and Crown Estate Scotland, May 2023.</t>
        </is>
      </c>
      <c r="J79" s="2" t="inlineStr"/>
      <c r="K79" s="8" t="inlineStr">
        <is>
          <t>https://tethys.pnnl.gov/sites/default/files/publications/BVG_2023.pdf</t>
        </is>
      </c>
      <c r="L79" s="2" t="n">
        <v>200</v>
      </c>
      <c r="M79" s="2" t="inlineStr">
        <is>
          <t>B.1.2 Export cable, pdf p.61 (printed p.59): 'About £88 million for a 450 MW floating offshore wind farm' with 60 km offshore-substation-to-landfall (Table 1, pdf p.16); HVAC 220 kV ~300 MW per three-core cable</t>
        </is>
      </c>
      <c r="N79" s="2" t="inlineStr">
        <is>
          <t>full text</t>
        </is>
      </c>
      <c r="O79" s="2" t="n">
        <v>733333.3333333334</v>
      </c>
      <c r="P79" s="2" t="inlineStr">
        <is>
          <t>point</t>
        </is>
      </c>
      <c r="Q79" s="2" t="n">
        <v>733333.3333333334</v>
      </c>
      <c r="R79" s="2" t="n">
        <v>1466666.666666667</v>
      </c>
      <c r="S79" s="2" t="inlineStr">
        <is>
          <t>range stated</t>
        </is>
      </c>
      <c r="T79" s="2" t="inlineStr">
        <is>
          <t>single reference design, derived</t>
        </is>
      </c>
      <c r="U79" s="2" t="inlineStr">
        <is>
          <t>single point; low = 2 circuits x 60 km, high = 1 circuit x 60 km</t>
        </is>
      </c>
      <c r="V79" s="7" t="inlineStr">
        <is>
          <t>within</t>
        </is>
      </c>
      <c r="W79" s="2" t="inlineStr">
        <is>
          <t>neutral</t>
        </is>
      </c>
      <c r="X79" s="2" t="inlineStr">
        <is>
          <t>low</t>
        </is>
      </c>
      <c r="Y79" s="2" t="inlineStr">
        <is>
          <t>DERIVED: GBP 88M / (2 circuits x 60 km) = GBP 0.73M/km per circuit, or GBP 1.47M/km if only one circuit-equivalent. Circuit count (2) is my inference from '~300 MW per cable' and 450 MW; BVG does not state it. At any plausible USD/GBP (about 1.25-1.35, an assumption) the per-circuit value is about $0.9-1.0M/km, i.e. inside the workbook's range. Whether the 88M includes terminations/onshore joints is not stated.</t>
        </is>
      </c>
    </row>
    <row r="80">
      <c r="A80" s="4" t="inlineStr">
        <is>
          <t>B_platforms</t>
        </is>
      </c>
      <c r="B80" s="2" t="inlineStr">
        <is>
          <t>3c. Outputs - Fixed Platform</t>
        </is>
      </c>
      <c r="C80" s="2" t="inlineStr">
        <is>
          <t>A2</t>
        </is>
      </c>
      <c r="D80" s="2" t="inlineStr">
        <is>
          <t>Subsea cable installation markup over supply, export cable</t>
        </is>
      </c>
      <c r="E80" s="2" t="inlineStr">
        <is>
          <t>+30-60%</t>
        </is>
      </c>
      <c r="F80" s="2" t="inlineStr">
        <is>
          <t>% of supply cost</t>
        </is>
      </c>
      <c r="G80" s="2" t="inlineStr">
        <is>
          <t>Text in A2: 'install +30-60%'.</t>
        </is>
      </c>
      <c r="H80" s="2" t="inlineStr">
        <is>
          <t>BVG Associates 2023 (Guide to a Floating Offshore Wind Farm)</t>
        </is>
      </c>
      <c r="I80" s="2" t="inlineStr">
        <is>
          <t>BVG Associates (2023). Guide to a Floating Offshore Wind Farm. Published on behalf of ORE Catapult, The Crown Estate and Crown Estate Scotland, May 2023.</t>
        </is>
      </c>
      <c r="J80" s="2" t="inlineStr"/>
      <c r="K80" s="8" t="inlineStr">
        <is>
          <t>https://tethys.pnnl.gov/sites/default/files/publications/BVG_2023.pdf</t>
        </is>
      </c>
      <c r="L80" s="2" t="n">
        <v>200</v>
      </c>
      <c r="M80" s="2" t="inlineStr">
        <is>
          <t>I.2.1 Export cable installation, pdf p.101 (printed p.100): 'About £20 million for a 450 MW floating offshore wind farm. This includes the CLV, and cable lay and burial... survey works, route clearance and... cable protection'; supply £88M (B.1.2)</t>
        </is>
      </c>
      <c r="N80" s="2" t="inlineStr">
        <is>
          <t>full text</t>
        </is>
      </c>
      <c r="O80" s="2" t="n">
        <v>0.2272727272727273</v>
      </c>
      <c r="P80" s="2" t="inlineStr">
        <is>
          <t>point</t>
        </is>
      </c>
      <c r="Q80" s="2" t="n">
        <v>0.2272727272727273</v>
      </c>
      <c r="R80" s="2" t="n">
        <v>0.2272727272727273</v>
      </c>
      <c r="S80" s="2" t="inlineStr">
        <is>
          <t>range stated</t>
        </is>
      </c>
      <c r="T80" s="2" t="inlineStr">
        <is>
          <t>single reference design (BVG 2023)</t>
        </is>
      </c>
      <c r="U80" s="2" t="inlineStr">
        <is>
          <t>single point</t>
        </is>
      </c>
      <c r="V80" s="5" t="inlineStr">
        <is>
          <t>below range</t>
        </is>
      </c>
      <c r="W80" s="2" t="inlineStr">
        <is>
          <t>yes</t>
        </is>
      </c>
      <c r="X80" s="2" t="inlineStr">
        <is>
          <t>medium</t>
        </is>
      </c>
      <c r="Y80" s="2" t="inlineStr">
        <is>
          <t>DERIVED: 20/88 = +23% of supply cost for export-cable installation in a benign 100 m site, a bit below the workbook's +30% floor. Excludes weather risk, HDD shore landfall and contingency. Workbook's +30-60% is therefore slightly high versus this one datum (conservative for MCB).</t>
        </is>
      </c>
    </row>
    <row r="81">
      <c r="A81" s="4" t="inlineStr">
        <is>
          <t>B_platforms</t>
        </is>
      </c>
      <c r="B81" s="2" t="inlineStr">
        <is>
          <t>3c. Outputs - Fixed Platform</t>
        </is>
      </c>
      <c r="C81" s="2" t="inlineStr">
        <is>
          <t>A2</t>
        </is>
      </c>
      <c r="D81" s="2" t="inlineStr">
        <is>
          <t>Subsea cable installation markup over supply, array cable</t>
        </is>
      </c>
      <c r="E81" s="2" t="inlineStr">
        <is>
          <t>+30-60% (stated for export; array not stated)</t>
        </is>
      </c>
      <c r="F81" s="2" t="inlineStr">
        <is>
          <t>% of supply cost</t>
        </is>
      </c>
      <c r="G81" s="2" t="inlineStr">
        <is>
          <t>Not stated.</t>
        </is>
      </c>
      <c r="H81" s="2" t="inlineStr">
        <is>
          <t>BVG Associates 2023 (Guide to a Floating Offshore Wind Farm)</t>
        </is>
      </c>
      <c r="I81" s="2" t="inlineStr">
        <is>
          <t>BVG Associates (2023). Guide to a Floating Offshore Wind Farm. Published on behalf of ORE Catapult, The Crown Estate and Crown Estate Scotland, May 2023.</t>
        </is>
      </c>
      <c r="J81" s="2" t="inlineStr"/>
      <c r="K81" s="8" t="inlineStr">
        <is>
          <t>https://tethys.pnnl.gov/sites/default/files/publications/BVG_2023.pdf</t>
        </is>
      </c>
      <c r="L81" s="2" t="n">
        <v>200</v>
      </c>
      <c r="M81" s="2" t="inlineStr">
        <is>
          <t>I.2.2 Array cable installation, pdf p.103 (printed p.102): 'About £34 million for a 450 MW farm... CLV, cable lay and burial, survey, route clearance, cable protection'; supply B.1.1, pdf p.56: 'About £32 million for a 450 MW farm'</t>
        </is>
      </c>
      <c r="N81" s="2" t="inlineStr">
        <is>
          <t>full text</t>
        </is>
      </c>
      <c r="O81" s="2" t="n">
        <v>1.0625</v>
      </c>
      <c r="P81" s="2" t="inlineStr">
        <is>
          <t>point</t>
        </is>
      </c>
      <c r="Q81" s="2" t="n">
        <v>1.0625</v>
      </c>
      <c r="R81" s="2" t="n">
        <v>1.0625</v>
      </c>
      <c r="S81" s="2" t="inlineStr">
        <is>
          <t>range stated</t>
        </is>
      </c>
      <c r="T81" s="2" t="inlineStr">
        <is>
          <t>single reference design (66 kV dynamic+static array)</t>
        </is>
      </c>
      <c r="U81" s="2" t="inlineStr">
        <is>
          <t>single point; array installation is turbine-by-turbine and slow</t>
        </is>
      </c>
      <c r="V81" s="5" t="inlineStr">
        <is>
          <t>above range</t>
        </is>
      </c>
      <c r="W81" s="2" t="inlineStr">
        <is>
          <t>yes</t>
        </is>
      </c>
      <c r="X81" s="2" t="inlineStr">
        <is>
          <t>medium</t>
        </is>
      </c>
      <c r="Y81" s="2" t="inlineStr">
        <is>
          <t>DERIVED: 34/32 = +106% of supply (install roughly equal to supply). Array-class (33-66 kV) cables carry a far higher installation share than export cables, so the +30-60% rule understates the install cost of a short MV cable to a 4-5 MW platform. Floating-farm array cables include dynamic sections, which inflate both numbers.</t>
        </is>
      </c>
    </row>
    <row r="82">
      <c r="A82" s="4" t="inlineStr">
        <is>
          <t>B_platforms</t>
        </is>
      </c>
      <c r="B82" s="2" t="inlineStr">
        <is>
          <t>3c. Outputs - Fixed Platform</t>
        </is>
      </c>
      <c r="C82" s="2" t="inlineStr">
        <is>
          <t>A2</t>
        </is>
      </c>
      <c r="D82" s="2" t="inlineStr">
        <is>
          <t>Subsea array cable: installation vs supply ratio from a second source</t>
        </is>
      </c>
      <c r="E82" s="2" t="inlineStr">
        <is>
          <t>+30-60%</t>
        </is>
      </c>
      <c r="F82" s="2" t="inlineStr">
        <is>
          <t>$/km or GBP/km</t>
        </is>
      </c>
      <c r="G82" s="2" t="inlineStr">
        <is>
          <t>Not stated.</t>
        </is>
      </c>
      <c r="H82" s="2" t="inlineStr">
        <is>
          <t>Kikuchi &amp; Ishihara 2023</t>
        </is>
      </c>
      <c r="I82" s="2" t="inlineStr">
        <is>
          <t>Kikuchi, Y. &amp; Ishihara, T. (2023). Assessment of capital expenditure for fixed-bottom offshore wind farms using probabilistic engineering cost model. Applied Energy 341, 120912.</t>
        </is>
      </c>
      <c r="J82" s="2" t="inlineStr">
        <is>
          <t>10.1016/j.apenergy.2023.120912</t>
        </is>
      </c>
      <c r="K82" s="8" t="inlineStr">
        <is>
          <t>https://doi.org/10.1016/j.apenergy.2023.120912</t>
        </is>
      </c>
      <c r="L82" s="2" t="n">
        <v>200</v>
      </c>
      <c r="M82" s="2" t="inlineStr">
        <is>
          <t>Secondary: DTU TOPFARM cost-model issue #15 quotes 'Array cable installation cost: 662,266 GBP/km; Unit cable cost for array cable: 220,755 GBP/km' from this paper (full text paywalled; ScienceDirect and the publisher returned 403/blocked)</t>
        </is>
      </c>
      <c r="N82" s="2" t="inlineStr">
        <is>
          <t>paywalled, from secondary</t>
        </is>
      </c>
      <c r="O82" s="2" t="n">
        <v>220755</v>
      </c>
      <c r="P82" s="2" t="inlineStr">
        <is>
          <t>point</t>
        </is>
      </c>
      <c r="Q82" s="2" t="n"/>
      <c r="R82" s="2" t="n"/>
      <c r="S82" s="2" t="inlineStr">
        <is>
          <t>range stated</t>
        </is>
      </c>
      <c r="T82" s="2" t="inlineStr">
        <is>
          <t>1 probabilistic cost model for fixed-bottom offshore wind (Applied Energy 2023)</t>
        </is>
      </c>
      <c r="U82" s="2" t="inlineStr">
        <is>
          <t>mean/median not stated in the secondary quote</t>
        </is>
      </c>
      <c r="V82" s="5" t="inlineStr">
        <is>
          <t>above range</t>
        </is>
      </c>
      <c r="W82" s="2" t="inlineStr">
        <is>
          <t>yes</t>
        </is>
      </c>
      <c r="X82" s="2" t="inlineStr">
        <is>
          <t>low</t>
        </is>
      </c>
      <c r="Y82" s="2" t="inlineStr">
        <is>
          <t>DERIVED: install/supply = 662,266 / 220,755 = 3.0x (+200%). Value attributed by the DTU issue to this paper; I could not read the paper, so context (voltage, burial, year, mean vs median) is unknown. Directionally agrees with BVG: array-cable installation is at least equal to supply, well above +30-60%.</t>
        </is>
      </c>
    </row>
    <row r="83">
      <c r="A83" s="4" t="inlineStr">
        <is>
          <t>B_platforms</t>
        </is>
      </c>
      <c r="B83" s="2" t="inlineStr">
        <is>
          <t>3c. Outputs - Fixed Platform</t>
        </is>
      </c>
      <c r="C83" s="2" t="inlineStr">
        <is>
          <t>A2</t>
        </is>
      </c>
      <c r="D83" s="2" t="inlineStr">
        <is>
          <t>Subsea array-class cable supply cost, 33-66 kV (applies to ~5 MW platform feeder)</t>
        </is>
      </c>
      <c r="E83" s="2" t="inlineStr">
        <is>
          <t>not in workbook (cable unpriced)</t>
        </is>
      </c>
      <c r="F83" s="2" t="inlineStr">
        <is>
          <t>$/km</t>
        </is>
      </c>
      <c r="G83" s="2" t="inlineStr">
        <is>
          <t>Cable to shore 'not priced'.</t>
        </is>
      </c>
      <c r="H83" s="2" t="inlineStr">
        <is>
          <t>NREL ORBIT cable library</t>
        </is>
      </c>
      <c r="I83" s="2" t="inlineStr">
        <is>
          <t>NREL / WISDEM (open source, Apache-2.0). ORBIT library/cables/*.yaml (cost_per_km, cable material cost in USD). Model described in Nunemaker, Shields, Hammond &amp; Duffy (2020), NREL/TP-5000-77081.</t>
        </is>
      </c>
      <c r="J83" s="2" t="inlineStr"/>
      <c r="K83" s="8" t="inlineStr">
        <is>
          <t>https://github.com/WISDEM/ORBIT/tree/main/library/cables</t>
        </is>
      </c>
      <c r="L83" s="2" t="n">
        <v>200</v>
      </c>
      <c r="M83" s="2" t="inlineStr">
        <is>
          <t>XLPE_185mm_66kV 241,542; XLPE_400mm_33kV 364,352; XLPE_630mm_33kV 546,528; XLPE_630mm_66kV 650,000 (cost_per_km)</t>
        </is>
      </c>
      <c r="N83" s="2" t="inlineStr">
        <is>
          <t>full text</t>
        </is>
      </c>
      <c r="O83" s="2" t="n">
        <v>455440</v>
      </c>
      <c r="P83" s="2" t="inlineStr">
        <is>
          <t>median</t>
        </is>
      </c>
      <c r="Q83" s="2" t="n">
        <v>241542</v>
      </c>
      <c r="R83" s="2" t="n">
        <v>650000</v>
      </c>
      <c r="S83" s="2" t="inlineStr">
        <is>
          <t>min-max across studies</t>
        </is>
      </c>
      <c r="T83" s="2" t="inlineStr">
        <is>
          <t>4 cable designs in the ORBIT library</t>
        </is>
      </c>
      <c r="U83" s="2" t="inlineStr">
        <is>
          <t>right-skewed with conductor size</t>
        </is>
      </c>
      <c r="V83" s="6" t="inlineStr">
        <is>
          <t>no comparable value</t>
        </is>
      </c>
      <c r="W83" s="2" t="inlineStr">
        <is>
          <t>yes</t>
        </is>
      </c>
      <c r="X83" s="2" t="inlineStr">
        <is>
          <t>medium</t>
        </is>
      </c>
      <c r="Y83" s="2" t="inlineStr">
        <is>
          <t>NREL ORBIT library cable yamls; cost_per_km is cable material/supply in USD (year not stated in the files; file last changed 2025-02-25 in the git history). Installation is NOT included. None of these is sized for ~5 MW (a 5 MW load at 33 kV is ~90 A, while the smallest listed cable is rated 445 A), so a purpose-sized cable might be cheaper per km; no smaller-cable price found. Add installation at +100% to +200% (BVG, Kikuchi) so installed cost is roughly $0.5-1.8M/km (derived). Because the workbook leaves the cable out, any platform more than a few km from a grid node is understated, which flatters 3c.</t>
        </is>
      </c>
    </row>
    <row r="84">
      <c r="A84" s="4" t="inlineStr">
        <is>
          <t>B_platforms</t>
        </is>
      </c>
      <c r="B84" s="2" t="inlineStr">
        <is>
          <t>3c. Outputs - Fixed Platform</t>
        </is>
      </c>
      <c r="C84" s="2" t="inlineStr">
        <is>
          <t>A2</t>
        </is>
      </c>
      <c r="D84" s="2" t="inlineStr">
        <is>
          <t>Cable to shore omitted from 3c cost build-up</t>
        </is>
      </c>
      <c r="E84" s="2" t="inlineStr">
        <is>
          <t>unpriced</t>
        </is>
      </c>
      <c r="F84" s="2" t="inlineStr">
        <is>
          <t>$ per platform</t>
        </is>
      </c>
      <c r="G84" s="2" t="inlineStr">
        <is>
          <t>'Cable to shore not priced: beyond a few km it can rival platform capex.'</t>
        </is>
      </c>
      <c r="H84" s="2" t="inlineStr">
        <is>
          <t>NREL ORBIT cable library</t>
        </is>
      </c>
      <c r="I84" s="2" t="inlineStr">
        <is>
          <t>NREL / WISDEM (open source, Apache-2.0). ORBIT library/cables/*.yaml (cost_per_km, cable material cost in USD). Model described in Nunemaker, Shields, Hammond &amp; Duffy (2020), NREL/TP-5000-77081.</t>
        </is>
      </c>
      <c r="J84" s="2" t="inlineStr"/>
      <c r="K84" s="8" t="inlineStr">
        <is>
          <t>https://github.com/WISDEM/ORBIT/tree/main/library/cables</t>
        </is>
      </c>
      <c r="L84" s="2" t="n">
        <v>200</v>
      </c>
      <c r="M84" s="2" t="inlineStr">
        <is>
          <t>derived: at ~$0.9M/km supply + 23-106% install = ~$1.1-1.9M/km, so ~2-3 km of 220 kV-class cable ~ the $3M platform capex; for array-class 33-66 kV ~$0.46M/km x (1+1.06) ~ $0.9M/km, so ~3-4 km</t>
        </is>
      </c>
      <c r="N84" s="2" t="inlineStr">
        <is>
          <t>full text</t>
        </is>
      </c>
      <c r="O84" s="2" t="n"/>
      <c r="P84" s="2" t="inlineStr">
        <is>
          <t>point</t>
        </is>
      </c>
      <c r="Q84" s="2" t="n"/>
      <c r="R84" s="2" t="n"/>
      <c r="S84" s="2" t="inlineStr">
        <is>
          <t>range stated</t>
        </is>
      </c>
      <c r="T84" s="2" t="inlineStr">
        <is>
          <t>derived from ORBIT supply + BVG install ratios</t>
        </is>
      </c>
      <c r="U84" s="2" t="inlineStr">
        <is>
          <t>n/a</t>
        </is>
      </c>
      <c r="V84" s="6" t="inlineStr">
        <is>
          <t>no comparable value</t>
        </is>
      </c>
      <c r="W84" s="2" t="inlineStr">
        <is>
          <t>yes</t>
        </is>
      </c>
      <c r="X84" s="2" t="inlineStr">
        <is>
          <t>low</t>
        </is>
      </c>
      <c r="Y84" s="2" t="inlineStr">
        <is>
          <t>The workbook's own caution is supported: at roughly $0.9-1.9M/km installed (derived), a 3c platform sited 10-30 km offshore would add $9-57M, versus total platform capex of $18.6M (3c!B25, incl. contingency). This is the single largest omission favouring MCB in tab 3c if platforms use grid power; the diesel-genset variant (B8 = 0.30) avoids it.</t>
        </is>
      </c>
    </row>
    <row r="85">
      <c r="A85" s="4" t="inlineStr">
        <is>
          <t>B_platforms</t>
        </is>
      </c>
      <c r="B85" s="2" t="inlineStr">
        <is>
          <t>3d. Outputs - Stationary Vessel</t>
        </is>
      </c>
      <c r="C85" s="2" t="inlineStr">
        <is>
          <t>B9</t>
        </is>
      </c>
      <c r="D85" s="2" t="inlineStr">
        <is>
          <t>Station-keeping fuel (dynamic positioning) for stationary vessel (workbook uses hotel burn only; tab 2 B26 = 2,700 L/day)</t>
        </is>
      </c>
      <c r="E85" s="2" t="inlineStr">
        <is>
          <t>hotel burn only</t>
        </is>
      </c>
      <c r="F85" s="2" t="inlineStr">
        <is>
          <t>t/day MGO</t>
        </is>
      </c>
      <c r="G85" s="2" t="inlineStr">
        <is>
          <t>Tab 3d notes: '90% of tank at hotel burn only - about 11 months on station'.</t>
        </is>
      </c>
      <c r="H85" s="2" t="inlineStr">
        <is>
          <t>Britoil BOS Precious spec sheet</t>
        </is>
      </c>
      <c r="I85" s="2" t="inlineStr">
        <is>
          <t>Britoil Offshore Services. BOS Precious Vessel Specification (73.6 m DPS-2 offshore support vessel, built 2010), performance table.</t>
        </is>
      </c>
      <c r="J85" s="2" t="inlineStr"/>
      <c r="K85" s="8" t="inlineStr">
        <is>
          <t>https://www.britoil.com.sg/hubfs/BOS%20Precious%20Vessel%20Specification.pdf?hsLang=en</t>
        </is>
      </c>
      <c r="L85" s="2" t="n">
        <v>200</v>
      </c>
      <c r="M85" s="2" t="inlineStr">
        <is>
          <t>Performance table: DP Mode ~6 MT/day MGO; In Port ~1 MT/day; Transit 13 kn ~15 MT/day; Economy 10 kn ~10.5 MT/day (73.6 m DPS-2 supply vessel, built 2010)</t>
        </is>
      </c>
      <c r="N85" s="2" t="inlineStr">
        <is>
          <t>full text</t>
        </is>
      </c>
      <c r="O85" s="2" t="n">
        <v>6</v>
      </c>
      <c r="P85" s="2" t="inlineStr">
        <is>
          <t>point</t>
        </is>
      </c>
      <c r="Q85" s="2" t="n">
        <v>1</v>
      </c>
      <c r="R85" s="2" t="n">
        <v>15</v>
      </c>
      <c r="S85" s="2" t="inlineStr">
        <is>
          <t>range stated</t>
        </is>
      </c>
      <c r="T85" s="2" t="inlineStr">
        <is>
          <t>1 vessel spec sheet (vendor data, single vessel; a second DP-vessel sheet found by search 404'd and is not cited)</t>
        </is>
      </c>
      <c r="U85" s="2" t="inlineStr">
        <is>
          <t>vessel- and sea-state-dependent</t>
        </is>
      </c>
      <c r="V85" s="5" t="inlineStr">
        <is>
          <t>above range</t>
        </is>
      </c>
      <c r="W85" s="2" t="inlineStr">
        <is>
          <t>yes</t>
        </is>
      </c>
      <c r="X85" s="2" t="inlineStr">
        <is>
          <t>low</t>
        </is>
      </c>
      <c r="Y85" s="2" t="inlineStr">
        <is>
          <t>A free-floating 'stationary vessel' must hold station by DP (or anchor/moor). Spec-sheet DP burn (~6 t/day) is ~2.6x the workbook's 2,700 L/day hotel burn (~2.3 t/day at an assumed 0.85 t/m3 MGO density, my conversion). Over 333 days that is ~1,200 t extra fuel. Workbook tank endurance of 333 days at 2,700 L/day would fall to ~130 days at 6 t/day (900 m3 usable / ~7,060 L/day, derived). If the vessel is moored or anchored instead, 3d needs mooring cost (see 3c). The workbook treats 3d as cheaper than 3a (0.91x), which flatters stationary operation. Vendor sheet; medium-size supply vessel is not the same size class as the modelled workboat.</t>
        </is>
      </c>
    </row>
    <row r="86">
      <c r="A86" s="4" t="inlineStr">
        <is>
          <t>B_platforms</t>
        </is>
      </c>
      <c r="B86" s="2" t="inlineStr">
        <is>
          <t>3b. Outputs - Ship Piggyback</t>
        </is>
      </c>
      <c r="C86" s="2" t="inlineStr">
        <is>
          <t>B5</t>
        </is>
      </c>
      <c r="D86" s="2" t="inlineStr">
        <is>
          <t>Piggyback concept feasibility and fixed-platform coverage (Latham 2012 on Salter 2008)</t>
        </is>
      </c>
      <c r="E86" s="2" t="inlineStr">
        <is>
          <t>scenario design</t>
        </is>
      </c>
      <c r="F86" s="2" t="inlineStr">
        <is>
          <t>text</t>
        </is>
      </c>
      <c r="G86" s="2" t="inlineStr">
        <is>
          <t>Not cited in tabs 3b/3c.</t>
        </is>
      </c>
      <c r="H86" s="2" t="inlineStr">
        <is>
          <t>Latham et al. 2012</t>
        </is>
      </c>
      <c r="I86" s="2" t="inlineStr">
        <is>
          <t>Latham, J., Bower, K., Choularton, T., et al. (2012). Marine cloud brightening. Phil. Trans. R. Soc. A 370, 4217-4262.</t>
        </is>
      </c>
      <c r="J86" s="2" t="inlineStr">
        <is>
          <t>10.1098/rsta.2012.0086</t>
        </is>
      </c>
      <c r="K86" s="8" t="inlineStr">
        <is>
          <t>https://pmc.ncbi.nlm.nih.gov/articles/PMC3405666/</t>
        </is>
      </c>
      <c r="L86" s="2" t="n">
        <v>200</v>
      </c>
      <c r="M86" s="2" t="inlineStr">
        <is>
          <t>Section 'Scene setting' text: 'fixed spraying locations from anchored platforms would have to be too numerous to provide a reasonable coverage... While the spraying equipment could be installed on regular cargo vessels as they plied the oceans, Salter et al. [4] concluded that it was better to have a vessel... dedicated'</t>
        </is>
      </c>
      <c r="N86" s="2" t="inlineStr">
        <is>
          <t>full text</t>
        </is>
      </c>
      <c r="O86" s="2" t="n"/>
      <c r="P86" s="2" t="inlineStr">
        <is>
          <t>point</t>
        </is>
      </c>
      <c r="Q86" s="2" t="n"/>
      <c r="R86" s="2" t="n"/>
      <c r="S86" s="2" t="inlineStr">
        <is>
          <t>range stated</t>
        </is>
      </c>
      <c r="T86" s="2" t="inlineStr">
        <is>
          <t>qualitative; Salter et al. 2008 (Phil Trans A 366, doi 10.1098/rsta.2008.0136) not retrieved (403)</t>
        </is>
      </c>
      <c r="U86" s="2" t="inlineStr">
        <is>
          <t>n/a</t>
        </is>
      </c>
      <c r="V86" s="6" t="inlineStr">
        <is>
          <t>no comparable value</t>
        </is>
      </c>
      <c r="W86" s="2" t="inlineStr">
        <is>
          <t>neutral</t>
        </is>
      </c>
      <c r="X86" s="2" t="inlineStr">
        <is>
          <t>medium</t>
        </is>
      </c>
      <c r="Y86" s="2" t="inlineStr">
        <is>
          <t>Latham et al. 2012 is the workbook's own reference and explicitly dismisses both 3b and 3c as inferior to a dedicated fleet: platforms (too many, and servicing at sea 'hazardous and expensive') and cargo ships. No cost number is given in this paper for either; the full Salter 2008 article, which may contain ship cost estimates, could not be opened.</t>
        </is>
      </c>
    </row>
    <row r="87">
      <c r="A87" s="4" t="inlineStr">
        <is>
          <t>C_physics</t>
        </is>
      </c>
      <c r="B87" s="2" t="inlineStr">
        <is>
          <t>5a. Cooling Model - Local</t>
        </is>
      </c>
      <c r="C87" s="2" t="inlineStr">
        <is>
          <t>B5</t>
        </is>
      </c>
      <c r="D87" s="2" t="inlineStr">
        <is>
          <t>Survival factor (plume coagulation/deposition to cloud base)</t>
        </is>
      </c>
      <c r="E87" s="2" t="n">
        <v>0.3</v>
      </c>
      <c r="F87" s="2" t="inlineStr">
        <is>
          <t>fraction</t>
        </is>
      </c>
      <c r="G87" s="2" t="inlineStr">
        <is>
          <t>Hernandez-Jaramillo et al. 2025a Front. Mar. Sci. p.1 (open research gap; 0.3 is a scenario choice); range 0.1-0.5</t>
        </is>
      </c>
      <c r="H87" s="2" t="inlineStr">
        <is>
          <t>Stuart et al. 2013</t>
        </is>
      </c>
      <c r="I87" s="2" t="inlineStr">
        <is>
          <t>Stuart, G. S., Stevens, R. G., Partanen, A.-I., et al. (2013). Reduced efficacy of marine cloud brightening geoengineering due to in-plume aerosol coagulation: parameterization and global implications. Atmos. Chem. Phys., 13, 10385-10396.</t>
        </is>
      </c>
      <c r="J87" s="2" t="inlineStr">
        <is>
          <t>10.5194/acp-13-10385-2013</t>
        </is>
      </c>
      <c r="K87" s="8" t="inlineStr">
        <is>
          <t>https://doi.org/10.5194/acp-13-10385-2013</t>
        </is>
      </c>
      <c r="L87" s="2" t="n">
        <v>200</v>
      </c>
      <c r="M87" s="2" t="inlineStr">
        <is>
          <t>Abstract; Sect. 6 global experiment (Tables 3-4)</t>
        </is>
      </c>
      <c r="N87" s="2" t="inlineStr">
        <is>
          <t>full text</t>
        </is>
      </c>
      <c r="O87" s="2" t="n">
        <v>0.5</v>
      </c>
      <c r="P87" s="2" t="inlineStr">
        <is>
          <t>point</t>
        </is>
      </c>
      <c r="Q87" s="2" t="n">
        <v>0.1</v>
      </c>
      <c r="R87" s="2" t="n">
        <v>0.9</v>
      </c>
      <c r="S87" s="2" t="inlineStr">
        <is>
          <t>range stated</t>
        </is>
      </c>
      <c r="T87" s="2" t="inlineStr">
        <is>
          <t>Gaussian-plume model over a range of wind speed, stability, emission rate and size; 1 global model (ECHAM-HAMMOZ)</t>
        </is>
      </c>
      <c r="U87" s="2" t="inlineStr">
        <is>
          <t>Strongly condition-dependent; number loss &gt;50% under previously proposed injection rates, from &lt;10% to &gt;90% depending on conditions</t>
        </is>
      </c>
      <c r="V87" s="7" t="inlineStr">
        <is>
          <t>within</t>
        </is>
      </c>
      <c r="W87" s="2" t="inlineStr">
        <is>
          <t>no</t>
        </is>
      </c>
      <c r="X87" s="2" t="inlineStr">
        <is>
          <t>medium</t>
        </is>
      </c>
      <c r="Y87" s="2" t="inlineStr">
        <is>
          <t>Abstract: particle number "reduced by over 50%, but this reduction varies from under 10% to over 90%". So survival is &lt;0.5 typical, range ~0.1 to &gt;0.9 (derived as 1 minus loss). Global run: CDNC over emission regions -46%, forcing -1.5 -&gt; -0.8 W/m2 (ratio 0.53). Losses scale with emission rate per sprayer.</t>
        </is>
      </c>
    </row>
    <row r="88">
      <c r="A88" s="4" t="inlineStr">
        <is>
          <t>C_physics</t>
        </is>
      </c>
      <c r="B88" s="2" t="inlineStr">
        <is>
          <t>5a. Cooling Model - Local</t>
        </is>
      </c>
      <c r="C88" s="2" t="inlineStr">
        <is>
          <t>B5</t>
        </is>
      </c>
      <c r="D88" s="2" t="inlineStr">
        <is>
          <t>Survival factor (plume coagulation/deposition to cloud base)</t>
        </is>
      </c>
      <c r="E88" s="2" t="n">
        <v>0.3</v>
      </c>
      <c r="F88" s="2" t="inlineStr">
        <is>
          <t>fraction</t>
        </is>
      </c>
      <c r="G88" s="2" t="inlineStr">
        <is>
          <t>Hernandez-Jaramillo et al. 2025a Front. Mar. Sci. p.1 (open research gap; 0.3 is a scenario choice); range 0.1-0.5</t>
        </is>
      </c>
      <c r="H88" s="2" t="inlineStr">
        <is>
          <t>Wood 2021</t>
        </is>
      </c>
      <c r="I88" s="2" t="inlineStr">
        <is>
          <t>Wood, R. (2021). Assessing the potential efficacy of marine cloud brightening for cooling Earth using a simple heuristic model. Atmos. Chem. Phys., 21, 14507-14533.</t>
        </is>
      </c>
      <c r="J88" s="2" t="inlineStr">
        <is>
          <t>10.5194/acp-21-14507-2021</t>
        </is>
      </c>
      <c r="K88" s="8" t="inlineStr">
        <is>
          <t>https://doi.org/10.5194/acp-21-14507-2021</t>
        </is>
      </c>
      <c r="L88" s="2" t="n">
        <v>200</v>
      </c>
      <c r="M88" s="2" t="inlineStr">
        <is>
          <t>Sect. 5.1, Fig. 11a,d (coagulation-dilution calculation)</t>
        </is>
      </c>
      <c r="N88" s="2" t="inlineStr">
        <is>
          <t>full text</t>
        </is>
      </c>
      <c r="O88" s="2" t="n"/>
      <c r="P88" s="2" t="inlineStr">
        <is>
          <t>point</t>
        </is>
      </c>
      <c r="Q88" s="2" t="n"/>
      <c r="R88" s="2" t="n"/>
      <c r="S88" s="2" t="inlineStr">
        <is>
          <t>range stated</t>
        </is>
      </c>
      <c r="T88" s="2" t="inlineStr">
        <is>
          <t>Single-diameter (100 nm) box-plume calculation, Turco &amp; Yu (1997) solution, neutral-stability dilution</t>
        </is>
      </c>
      <c r="U88" s="2" t="inlineStr">
        <is>
          <t>Loss is a threshold function of per-sprayer number rate: weak below ~1e16 s-1, sharp above; far-field cap ~5e16 s-1</t>
        </is>
      </c>
      <c r="V88" s="6" t="inlineStr">
        <is>
          <t>no comparable value</t>
        </is>
      </c>
      <c r="W88" s="2" t="inlineStr">
        <is>
          <t>no</t>
        </is>
      </c>
      <c r="X88" s="2" t="inlineStr">
        <is>
          <t>medium</t>
        </is>
      </c>
      <c r="Y88" s="2" t="inlineStr">
        <is>
          <t>Wood: "relatively weak particle losses from coagulation until particle injection rates exceed ~1e16 s-1". Workbook sprayer is ~1e15 s-1 per vessel (tab 1 / CS-06 p.1), i.e. in the weak-loss regime, so coagulation alone would not cut survival to 0.3. 0.3 is therefore conservative for coagulation; any lower value must come from other losses (deposition, sub-activation sizes) that no source here quantifies.</t>
        </is>
      </c>
    </row>
    <row r="89">
      <c r="A89" s="4" t="inlineStr">
        <is>
          <t>C_physics</t>
        </is>
      </c>
      <c r="B89" s="2" t="inlineStr">
        <is>
          <t>5a. Cooling Model - Local</t>
        </is>
      </c>
      <c r="C89" s="2" t="inlineStr">
        <is>
          <t>B5</t>
        </is>
      </c>
      <c r="D89" s="2" t="inlineStr">
        <is>
          <t>Survival factor (plume coagulation/deposition to cloud base)</t>
        </is>
      </c>
      <c r="E89" s="2" t="n">
        <v>0.3</v>
      </c>
      <c r="F89" s="2" t="inlineStr">
        <is>
          <t>fraction</t>
        </is>
      </c>
      <c r="G89" s="2" t="inlineStr">
        <is>
          <t>Hernandez-Jaramillo et al. 2025a Front. Mar. Sci. p.1 (open research gap; 0.3 is a scenario choice); range 0.1-0.5</t>
        </is>
      </c>
      <c r="H89" s="2" t="inlineStr">
        <is>
          <t>Hernandez-Jaramillo et al. 2025 (Front. Mar. Sci.)</t>
        </is>
      </c>
      <c r="I89" s="2" t="inlineStr">
        <is>
          <t>Hernandez-Jaramillo, D., Kelaher, B., Harrison, D. (2025). A review of plume dispersion and measurement techniques applicable to marine cloud brightening. Front. Mar. Sci., 12, 1450175.</t>
        </is>
      </c>
      <c r="J89" s="2" t="inlineStr">
        <is>
          <t>10.3389/fmars.2025.1450175</t>
        </is>
      </c>
      <c r="K89" s="8" t="inlineStr">
        <is>
          <t>https://doi.org/10.3389/fmars.2025.1450175</t>
        </is>
      </c>
      <c r="L89" s="2" t="n">
        <v>200</v>
      </c>
      <c r="M89" s="2" t="inlineStr">
        <is>
          <t>Abstract</t>
        </is>
      </c>
      <c r="N89" s="2" t="inlineStr">
        <is>
          <t>full text</t>
        </is>
      </c>
      <c r="O89" s="2" t="n"/>
      <c r="P89" s="2" t="inlineStr">
        <is>
          <t>point</t>
        </is>
      </c>
      <c r="Q89" s="2" t="n"/>
      <c r="R89" s="2" t="n"/>
      <c r="S89" s="2" t="inlineStr">
        <is>
          <t>range stated</t>
        </is>
      </c>
      <c r="T89" s="2" t="inlineStr">
        <is>
          <t>Literature review: 8 plume-dispersion studies, 1 empirically validated</t>
        </is>
      </c>
      <c r="U89" s="2" t="inlineStr">
        <is>
          <t>No quantitative survival fraction given</t>
        </is>
      </c>
      <c r="V89" s="6" t="inlineStr">
        <is>
          <t>no comparable value</t>
        </is>
      </c>
      <c r="W89" s="2" t="inlineStr">
        <is>
          <t>n/a</t>
        </is>
      </c>
      <c r="X89" s="2" t="inlineStr">
        <is>
          <t>high</t>
        </is>
      </c>
      <c r="Y89" s="2" t="inlineStr">
        <is>
          <t>Review states the effectiveness "depends on what fraction of the sea salt aerosols are incorporated into clouds" and flags "estimations of the portion of MCB aerosol reaching cloud base" as a priority gap. Confirms the workbook label "open research gap"; gives no number, so the 0.1-0.5 range in D5 is not from this source.</t>
        </is>
      </c>
    </row>
    <row r="90">
      <c r="A90" s="4" t="inlineStr">
        <is>
          <t>C_physics</t>
        </is>
      </c>
      <c r="B90" s="2" t="inlineStr">
        <is>
          <t>5a. Cooling Model - Local</t>
        </is>
      </c>
      <c r="C90" s="2" t="inlineStr">
        <is>
          <t>B5</t>
        </is>
      </c>
      <c r="D90" s="2" t="inlineStr">
        <is>
          <t>Survival factor (plume coagulation/deposition to cloud base)</t>
        </is>
      </c>
      <c r="E90" s="2" t="n">
        <v>0.3</v>
      </c>
      <c r="F90" s="2" t="inlineStr">
        <is>
          <t>fraction</t>
        </is>
      </c>
      <c r="G90" s="2" t="inlineStr">
        <is>
          <t>Hernandez-Jaramillo et al. 2025a Front. Mar. Sci. p.1 (open research gap; 0.3 is a scenario choice); range 0.1-0.5</t>
        </is>
      </c>
      <c r="H90" s="2" t="inlineStr">
        <is>
          <t>Hernandez-Jaramillo et al. 2025 (ERL)</t>
        </is>
      </c>
      <c r="I90" s="2" t="inlineStr">
        <is>
          <t>Hernandez-Jaramillo, D. C., Harrison, L., Gunner, G., et al. (2025). First generation outdoor marine cloud brightening trial increases aerosol concentration at cloud base height. Environ. Res. Lett., 20(5), 054065.</t>
        </is>
      </c>
      <c r="J90" s="2" t="inlineStr">
        <is>
          <t>10.1088/1748-9326/adccd7</t>
        </is>
      </c>
      <c r="K90" s="8" t="inlineStr">
        <is>
          <t>https://doi.org/10.1088/1748-9326/adccd7</t>
        </is>
      </c>
      <c r="L90" s="2" t="n">
        <v>200</v>
      </c>
      <c r="M90" s="2" t="inlineStr">
        <is>
          <t>p.6-7 Discussion; Fig. 9</t>
        </is>
      </c>
      <c r="N90" s="2" t="inlineStr">
        <is>
          <t>full text</t>
        </is>
      </c>
      <c r="O90" s="2" t="n">
        <v>1.25</v>
      </c>
      <c r="P90" s="2" t="inlineStr">
        <is>
          <t>point</t>
        </is>
      </c>
      <c r="Q90" s="2" t="n"/>
      <c r="R90" s="2" t="n"/>
      <c r="S90" s="2" t="inlineStr">
        <is>
          <t>range stated</t>
        </is>
      </c>
      <c r="T90" s="2" t="inlineStr">
        <is>
          <t>4 research flights, Feb 2022, GBR, one sprayer at ~4e14 s-1</t>
        </is>
      </c>
      <c r="U90" s="2" t="inlineStr">
        <is>
          <t>Cloud-base aerosol up to ~1.25x background (155 cm-3 added, ~100 CCN at 50 nm cut) on 12 Feb; peaks up to ~1e3 cm-3</t>
        </is>
      </c>
      <c r="V90" s="6" t="inlineStr">
        <is>
          <t>no comparable value</t>
        </is>
      </c>
      <c r="W90" s="2" t="inlineStr">
        <is>
          <t>n/a</t>
        </is>
      </c>
      <c r="X90" s="2" t="inlineStr">
        <is>
          <t>medium</t>
        </is>
      </c>
      <c r="Y90" s="2" t="inlineStr">
        <is>
          <t>Shows plume reaches cloud base (700-900 m) but does not report a mass- or number-survival fraction. Value shown is the cloud-base aerosol enhancement ratio, not survival.</t>
        </is>
      </c>
    </row>
    <row r="91">
      <c r="A91" s="4" t="inlineStr">
        <is>
          <t>C_physics</t>
        </is>
      </c>
      <c r="B91" s="2" t="inlineStr">
        <is>
          <t>5a. Cooling Model - Local</t>
        </is>
      </c>
      <c r="C91" s="2" t="inlineStr">
        <is>
          <t>B6</t>
        </is>
      </c>
      <c r="D91" s="2" t="inlineStr">
        <is>
          <t>Boundary-layer mixing depth</t>
        </is>
      </c>
      <c r="E91" s="2" t="n">
        <v>900</v>
      </c>
      <c r="F91" s="2" t="inlineStr">
        <is>
          <t>m</t>
        </is>
      </c>
      <c r="G91" s="2" t="inlineStr">
        <is>
          <t>CS-06 2025 p.2 (plumes reached cloud base 800-900 m); ERL 2025 abstract (700-900 m)</t>
        </is>
      </c>
      <c r="H91" s="2" t="inlineStr">
        <is>
          <t>Harrison et al. 2025 (RRAP CS-06)</t>
        </is>
      </c>
      <c r="I91" s="2" t="inlineStr">
        <is>
          <t>Harrison, D. P., Ristovski, Z., Rosenfeld, D., et al. (2025). Reef Restoration and Adaptation Program - Cloud and Sky Brightening Development (CS-06) Final Report 2025.</t>
        </is>
      </c>
      <c r="J91" s="2" t="inlineStr"/>
      <c r="K91" s="8" t="inlineStr">
        <is>
          <t>https://gbrrestoration.org/wp-content/uploads/2026/06/RRAP-CS-06_FINAL-REPORT-2025.pdf</t>
        </is>
      </c>
      <c r="L91" s="2" t="n">
        <v>200</v>
      </c>
      <c r="M91" s="2" t="inlineStr">
        <is>
          <t>p.2 summary (pdf p.10) and Key Findings table p.~24 (pdf p.30)</t>
        </is>
      </c>
      <c r="N91" s="2" t="inlineStr">
        <is>
          <t>full text</t>
        </is>
      </c>
      <c r="O91" s="2" t="n">
        <v>862.5</v>
      </c>
      <c r="P91" s="2" t="inlineStr">
        <is>
          <t>point</t>
        </is>
      </c>
      <c r="Q91" s="2" t="n">
        <v>800</v>
      </c>
      <c r="R91" s="2" t="n">
        <v>900</v>
      </c>
      <c r="S91" s="2" t="inlineStr">
        <is>
          <t>range stated</t>
        </is>
      </c>
      <c r="T91" s="2" t="inlineStr">
        <is>
          <t>Five GBR field campaigns</t>
        </is>
      </c>
      <c r="U91" s="2" t="inlineStr">
        <is>
          <t>Cloud base 800-900 m (summary), ~825-900 m (key findings table)</t>
        </is>
      </c>
      <c r="V91" s="7" t="inlineStr">
        <is>
          <t>within</t>
        </is>
      </c>
      <c r="W91" s="2" t="inlineStr">
        <is>
          <t>neutral</t>
        </is>
      </c>
      <c r="X91" s="2" t="inlineStr">
        <is>
          <t>high</t>
        </is>
      </c>
      <c r="Y91" s="2" t="inlineStr">
        <is>
          <t>Verbatim: "plumes consistently reached cloud base heights (800 - 900 metres)"; table: "(~825 - 900 metres)". Central is midpoint of 825-900 (derived).</t>
        </is>
      </c>
    </row>
    <row r="92">
      <c r="A92" s="4" t="inlineStr">
        <is>
          <t>C_physics</t>
        </is>
      </c>
      <c r="B92" s="2" t="inlineStr">
        <is>
          <t>5a. Cooling Model - Local</t>
        </is>
      </c>
      <c r="C92" s="2" t="inlineStr">
        <is>
          <t>B6</t>
        </is>
      </c>
      <c r="D92" s="2" t="inlineStr">
        <is>
          <t>Boundary-layer mixing depth</t>
        </is>
      </c>
      <c r="E92" s="2" t="n">
        <v>900</v>
      </c>
      <c r="F92" s="2" t="inlineStr">
        <is>
          <t>m</t>
        </is>
      </c>
      <c r="G92" s="2" t="inlineStr">
        <is>
          <t>CS-06 2025 p.2 (plumes reached cloud base 800-900 m); ERL 2025 abstract (700-900 m)</t>
        </is>
      </c>
      <c r="H92" s="2" t="inlineStr">
        <is>
          <t>Hernandez-Jaramillo et al. 2025 (ERL)</t>
        </is>
      </c>
      <c r="I92" s="2" t="inlineStr">
        <is>
          <t>Hernandez-Jaramillo, D. C., Harrison, L., Gunner, G., et al. (2025). First generation outdoor marine cloud brightening trial increases aerosol concentration at cloud base height. Environ. Res. Lett., 20(5), 054065.</t>
        </is>
      </c>
      <c r="J92" s="2" t="inlineStr">
        <is>
          <t>10.1088/1748-9326/adccd7</t>
        </is>
      </c>
      <c r="K92" s="8" t="inlineStr">
        <is>
          <t>https://doi.org/10.1088/1748-9326/adccd7</t>
        </is>
      </c>
      <c r="L92" s="2" t="n">
        <v>200</v>
      </c>
      <c r="M92" s="2" t="inlineStr">
        <is>
          <t>Abstract</t>
        </is>
      </c>
      <c r="N92" s="2" t="inlineStr">
        <is>
          <t>full text</t>
        </is>
      </c>
      <c r="O92" s="2" t="n">
        <v>800</v>
      </c>
      <c r="P92" s="2" t="inlineStr">
        <is>
          <t>point</t>
        </is>
      </c>
      <c r="Q92" s="2" t="n">
        <v>700</v>
      </c>
      <c r="R92" s="2" t="n">
        <v>900</v>
      </c>
      <c r="S92" s="2" t="inlineStr">
        <is>
          <t>range stated</t>
        </is>
      </c>
      <c r="T92" s="2" t="inlineStr">
        <is>
          <t>4 flights Feb 2022</t>
        </is>
      </c>
      <c r="U92" s="2" t="inlineStr">
        <is>
          <t>Plume detected just below cloud base at 700-900 m</t>
        </is>
      </c>
      <c r="V92" s="7" t="inlineStr">
        <is>
          <t>within</t>
        </is>
      </c>
      <c r="W92" s="2" t="inlineStr">
        <is>
          <t>neutral</t>
        </is>
      </c>
      <c r="X92" s="2" t="inlineStr">
        <is>
          <t>high</t>
        </is>
      </c>
      <c r="Y92" s="2" t="inlineStr">
        <is>
          <t>Central is midpoint (derived).</t>
        </is>
      </c>
    </row>
    <row r="93">
      <c r="A93" s="4" t="inlineStr">
        <is>
          <t>C_physics</t>
        </is>
      </c>
      <c r="B93" s="2" t="inlineStr">
        <is>
          <t>5a. Cooling Model - Local</t>
        </is>
      </c>
      <c r="C93" s="2" t="inlineStr">
        <is>
          <t>B6</t>
        </is>
      </c>
      <c r="D93" s="2" t="inlineStr">
        <is>
          <t>Boundary-layer mixing depth</t>
        </is>
      </c>
      <c r="E93" s="2" t="n">
        <v>900</v>
      </c>
      <c r="F93" s="2" t="inlineStr">
        <is>
          <t>m</t>
        </is>
      </c>
      <c r="G93" s="2" t="inlineStr">
        <is>
          <t>CS-06 2025 p.2 (plumes reached cloud base 800-900 m); ERL 2025 abstract (700-900 m)</t>
        </is>
      </c>
      <c r="H93" s="2" t="inlineStr">
        <is>
          <t>Wood 2021</t>
        </is>
      </c>
      <c r="I93" s="2" t="inlineStr">
        <is>
          <t>Wood, R. (2021). Assessing the potential efficacy of marine cloud brightening for cooling Earth using a simple heuristic model. Atmos. Chem. Phys., 21, 14507-14533.</t>
        </is>
      </c>
      <c r="J93" s="2" t="inlineStr">
        <is>
          <t>10.5194/acp-21-14507-2021</t>
        </is>
      </c>
      <c r="K93" s="8" t="inlineStr">
        <is>
          <t>https://doi.org/10.5194/acp-21-14507-2021</t>
        </is>
      </c>
      <c r="L93" s="2" t="n">
        <v>200</v>
      </c>
      <c r="M93" s="2" t="inlineStr">
        <is>
          <t>Table 1 (h); Table 2 (LES MBL depths)</t>
        </is>
      </c>
      <c r="N93" s="2" t="inlineStr">
        <is>
          <t>full text</t>
        </is>
      </c>
      <c r="O93" s="2" t="n">
        <v>1000</v>
      </c>
      <c r="P93" s="2" t="inlineStr">
        <is>
          <t>point</t>
        </is>
      </c>
      <c r="Q93" s="2" t="n">
        <v>350</v>
      </c>
      <c r="R93" s="2" t="n">
        <v>1500</v>
      </c>
      <c r="S93" s="2" t="inlineStr">
        <is>
          <t>min-max across studies</t>
        </is>
      </c>
      <c r="T93" s="2" t="inlineStr">
        <is>
          <t>Heuristic-model default; 6 LES cases (350-1500 m)</t>
        </is>
      </c>
      <c r="U93" s="2" t="inlineStr">
        <is>
          <t>Global marine low-cloud MBL; LES cases span collapsed (350 m) to deep open-cell (1500 m)</t>
        </is>
      </c>
      <c r="V93" s="7" t="inlineStr">
        <is>
          <t>within</t>
        </is>
      </c>
      <c r="W93" s="2" t="inlineStr">
        <is>
          <t>neutral</t>
        </is>
      </c>
      <c r="X93" s="2" t="inlineStr">
        <is>
          <t>medium</t>
        </is>
      </c>
      <c r="Y93" s="2" t="inlineStr">
        <is>
          <t>h = 1 km "typical mean value for marine low clouds over oceans". Area per tonne (B11) scales 1/B6, so a shallower BL would favour MCB.</t>
        </is>
      </c>
    </row>
    <row r="94">
      <c r="A94" s="4" t="inlineStr">
        <is>
          <t>C_physics</t>
        </is>
      </c>
      <c r="B94" s="2" t="inlineStr">
        <is>
          <t>5a. Cooling Model - Local</t>
        </is>
      </c>
      <c r="C94" s="2" t="inlineStr">
        <is>
          <t>B9</t>
        </is>
      </c>
      <c r="D94" s="2" t="inlineStr">
        <is>
          <t>Background cloud droplet number</t>
        </is>
      </c>
      <c r="E94" s="2" t="n">
        <v>100</v>
      </c>
      <c r="F94" s="2" t="inlineStr">
        <is>
          <t>/cm3</t>
        </is>
      </c>
      <c r="G94" s="2" t="inlineStr">
        <is>
          <t>CS-06 2025 pp.25-26: background CCN 50-200 cm-3, most common ~100</t>
        </is>
      </c>
      <c r="H94" s="2" t="inlineStr">
        <is>
          <t>Harrison et al. 2025 (RRAP CS-06)</t>
        </is>
      </c>
      <c r="I94" s="2" t="inlineStr">
        <is>
          <t>Harrison, D. P., Ristovski, Z., Rosenfeld, D., et al. (2025). Reef Restoration and Adaptation Program - Cloud and Sky Brightening Development (CS-06) Final Report 2025.</t>
        </is>
      </c>
      <c r="J94" s="2" t="inlineStr"/>
      <c r="K94" s="8" t="inlineStr">
        <is>
          <t>https://gbrrestoration.org/wp-content/uploads/2026/06/RRAP-CS-06_FINAL-REPORT-2025.pdf</t>
        </is>
      </c>
      <c r="L94" s="2" t="n">
        <v>200</v>
      </c>
      <c r="M94" s="2" t="inlineStr">
        <is>
          <t>Key Findings table, printed pp.25-26 (pdf p.30)</t>
        </is>
      </c>
      <c r="N94" s="2" t="inlineStr">
        <is>
          <t>full text</t>
        </is>
      </c>
      <c r="O94" s="2" t="n">
        <v>100</v>
      </c>
      <c r="P94" s="2" t="inlineStr">
        <is>
          <t>mode</t>
        </is>
      </c>
      <c r="Q94" s="2" t="n">
        <v>50</v>
      </c>
      <c r="R94" s="2" t="n">
        <v>200</v>
      </c>
      <c r="S94" s="2" t="inlineStr">
        <is>
          <t>range stated</t>
        </is>
      </c>
      <c r="T94" s="2" t="inlineStr">
        <is>
          <t>Satellite CCN mapping over the whole GBR, validated against in-situ CCN at Davies Reef</t>
        </is>
      </c>
      <c r="U94" s="2" t="inlineStr">
        <is>
          <t>Mode ~100 cm-3; S 0.3-0.7% (typical 0.4%); saturation of Nd above ~200 cm-3</t>
        </is>
      </c>
      <c r="V94" s="7" t="inlineStr">
        <is>
          <t>within</t>
        </is>
      </c>
      <c r="W94" s="2" t="inlineStr">
        <is>
          <t>neutral</t>
        </is>
      </c>
      <c r="X94" s="2" t="inlineStr">
        <is>
          <t>high</t>
        </is>
      </c>
      <c r="Y94" s="2" t="inlineStr">
        <is>
          <t>Note the source quantity is CCN (cloud-base), not cloud-top Nd. Workbook calls it droplet number.</t>
        </is>
      </c>
    </row>
    <row r="95">
      <c r="A95" s="4" t="inlineStr">
        <is>
          <t>C_physics</t>
        </is>
      </c>
      <c r="B95" s="2" t="inlineStr">
        <is>
          <t>5a. Cooling Model - Local</t>
        </is>
      </c>
      <c r="C95" s="2" t="inlineStr">
        <is>
          <t>B9</t>
        </is>
      </c>
      <c r="D95" s="2" t="inlineStr">
        <is>
          <t>Background cloud droplet number</t>
        </is>
      </c>
      <c r="E95" s="2" t="n">
        <v>100</v>
      </c>
      <c r="F95" s="2" t="inlineStr">
        <is>
          <t>/cm3</t>
        </is>
      </c>
      <c r="G95" s="2" t="inlineStr">
        <is>
          <t>CS-06 2025 pp.25-26: background CCN 50-200 cm-3, most common ~100</t>
        </is>
      </c>
      <c r="H95" s="2" t="inlineStr">
        <is>
          <t>Wood 2021</t>
        </is>
      </c>
      <c r="I95" s="2" t="inlineStr">
        <is>
          <t>Wood, R. (2021). Assessing the potential efficacy of marine cloud brightening for cooling Earth using a simple heuristic model. Atmos. Chem. Phys., 21, 14507-14533.</t>
        </is>
      </c>
      <c r="J95" s="2" t="inlineStr">
        <is>
          <t>10.5194/acp-21-14507-2021</t>
        </is>
      </c>
      <c r="K95" s="8" t="inlineStr">
        <is>
          <t>https://doi.org/10.5194/acp-21-14507-2021</t>
        </is>
      </c>
      <c r="L95" s="2" t="n">
        <v>200</v>
      </c>
      <c r="M95" s="2" t="inlineStr">
        <is>
          <t>Table 1 (N0,acc)</t>
        </is>
      </c>
      <c r="N95" s="2" t="inlineStr">
        <is>
          <t>full text</t>
        </is>
      </c>
      <c r="O95" s="2" t="n">
        <v>100</v>
      </c>
      <c r="P95" s="2" t="inlineStr">
        <is>
          <t>point</t>
        </is>
      </c>
      <c r="Q95" s="2" t="n">
        <v>50</v>
      </c>
      <c r="R95" s="2" t="n">
        <v>150</v>
      </c>
      <c r="S95" s="2" t="inlineStr">
        <is>
          <t>range stated</t>
        </is>
      </c>
      <c r="T95" s="2" t="inlineStr">
        <is>
          <t>Literature-based background accumulation-mode aerosol</t>
        </is>
      </c>
      <c r="U95" s="2" t="inlineStr">
        <is>
          <t>Background accumulation-mode number 50-150 cm-3</t>
        </is>
      </c>
      <c r="V95" s="7" t="inlineStr">
        <is>
          <t>within</t>
        </is>
      </c>
      <c r="W95" s="2" t="inlineStr">
        <is>
          <t>neutral</t>
        </is>
      </c>
      <c r="X95" s="2" t="inlineStr">
        <is>
          <t>medium</t>
        </is>
      </c>
      <c r="Y95" s="2" t="inlineStr">
        <is>
          <t>Central is midpoint (derived).</t>
        </is>
      </c>
    </row>
    <row r="96">
      <c r="A96" s="4" t="inlineStr">
        <is>
          <t>C_physics</t>
        </is>
      </c>
      <c r="B96" s="2" t="inlineStr">
        <is>
          <t>5a. Cooling Model - Local</t>
        </is>
      </c>
      <c r="C96" s="2" t="inlineStr">
        <is>
          <t>B9</t>
        </is>
      </c>
      <c r="D96" s="2" t="inlineStr">
        <is>
          <t>Background cloud droplet number</t>
        </is>
      </c>
      <c r="E96" s="2" t="n">
        <v>100</v>
      </c>
      <c r="F96" s="2" t="inlineStr">
        <is>
          <t>/cm3</t>
        </is>
      </c>
      <c r="G96" s="2" t="inlineStr">
        <is>
          <t>CS-06 2025 pp.25-26: background CCN 50-200 cm-3, most common ~100</t>
        </is>
      </c>
      <c r="H96" s="2" t="inlineStr">
        <is>
          <t>Harrison et al. 2025 (RRAP CS-01)</t>
        </is>
      </c>
      <c r="I96" s="2" t="inlineStr">
        <is>
          <t>Harrison, D., Ristovski, Z., Ryan, R., et al. (2025). Reef Restoration and Adaptation Program - GBR Atmospheric Survey (CS-01) Final Report 2025.</t>
        </is>
      </c>
      <c r="J96" s="2" t="inlineStr"/>
      <c r="K96" s="8" t="inlineStr">
        <is>
          <t>https://gbrrestoration.org/wp-content/uploads/2026/06/RRAP-CS-01_FINAL-REPORT-2025.pdf</t>
        </is>
      </c>
      <c r="L96" s="2" t="n">
        <v>200</v>
      </c>
      <c r="M96" s="2" t="inlineStr">
        <is>
          <t>p.11 (pdf text near Fig. 3)</t>
        </is>
      </c>
      <c r="N96" s="2" t="inlineStr">
        <is>
          <t>full text</t>
        </is>
      </c>
      <c r="O96" s="2" t="n"/>
      <c r="P96" s="2" t="inlineStr">
        <is>
          <t>point</t>
        </is>
      </c>
      <c r="Q96" s="2" t="n"/>
      <c r="R96" s="2" t="n">
        <v>30</v>
      </c>
      <c r="S96" s="2" t="inlineStr">
        <is>
          <t>range stated</t>
        </is>
      </c>
      <c r="T96" s="2" t="inlineStr">
        <is>
          <t>MODIS 2003-2020 climatology over GBR</t>
        </is>
      </c>
      <c r="U96" s="2" t="inlineStr">
        <is>
          <t>~40% of low clouds have Nd below ~30 cm-3</t>
        </is>
      </c>
      <c r="V96" s="7" t="inlineStr">
        <is>
          <t>within</t>
        </is>
      </c>
      <c r="W96" s="2" t="inlineStr">
        <is>
          <t>neutral</t>
        </is>
      </c>
      <c r="X96" s="2" t="inlineStr">
        <is>
          <t>medium</t>
        </is>
      </c>
      <c r="Y96" s="2" t="inlineStr">
        <is>
          <t>Verbatim: "A significant cloud cover effect is expected only when drop concentrations is smaller than ~30 cm-3. These conditions occur in ~40% of the low clouds." Implies the Nd distribution has a heavy low tail below the workbook 100. Lower background raises susceptibility (favours MCB) but B11 area scales with (B18-1)*B9, so the net effect in this workbook is mixed.</t>
        </is>
      </c>
    </row>
    <row r="97">
      <c r="A97" s="4" t="inlineStr">
        <is>
          <t>C_physics</t>
        </is>
      </c>
      <c r="B97" s="2" t="inlineStr">
        <is>
          <t>5a. Cooling Model - Local</t>
        </is>
      </c>
      <c r="C97" s="2" t="inlineStr">
        <is>
          <t>B12</t>
        </is>
      </c>
      <c r="D97" s="2" t="inlineStr">
        <is>
          <t>Critical activation diameter (Kohler threshold)</t>
        </is>
      </c>
      <c r="E97" s="2" t="n">
        <v>50</v>
      </c>
      <c r="F97" s="2" t="inlineStr">
        <is>
          <t>nm</t>
        </is>
      </c>
      <c r="G97" s="2" t="inlineStr">
        <is>
          <t>ERL 2025 p.9: ~50 nm at 0.5% SS, ~73 nm at 0.2% SS</t>
        </is>
      </c>
      <c r="H97" s="2" t="inlineStr">
        <is>
          <t>Hernandez-Jaramillo et al. 2025 (ERL)</t>
        </is>
      </c>
      <c r="I97" s="2" t="inlineStr">
        <is>
          <t>Hernandez-Jaramillo, D. C., Harrison, L., Gunner, G., et al. (2025). First generation outdoor marine cloud brightening trial increases aerosol concentration at cloud base height. Environ. Res. Lett., 20(5), 054065.</t>
        </is>
      </c>
      <c r="J97" s="2" t="inlineStr">
        <is>
          <t>10.1088/1748-9326/adccd7</t>
        </is>
      </c>
      <c r="K97" s="8" t="inlineStr">
        <is>
          <t>https://doi.org/10.1088/1748-9326/adccd7</t>
        </is>
      </c>
      <c r="L97" s="2" t="n">
        <v>200</v>
      </c>
      <c r="M97" s="2" t="inlineStr">
        <is>
          <t>Sect. 4 Discussion (p.6-7)</t>
        </is>
      </c>
      <c r="N97" s="2" t="inlineStr">
        <is>
          <t>full text</t>
        </is>
      </c>
      <c r="O97" s="2" t="n"/>
      <c r="P97" s="2" t="inlineStr">
        <is>
          <t>point</t>
        </is>
      </c>
      <c r="Q97" s="2" t="n">
        <v>50</v>
      </c>
      <c r="R97" s="2" t="n">
        <v>73</v>
      </c>
      <c r="S97" s="2" t="inlineStr">
        <is>
          <t>range stated</t>
        </is>
      </c>
      <c r="T97" s="2" t="inlineStr">
        <is>
          <t>Inferred from Mallet et al. GBR seawater CCN experiments (interpolated)</t>
        </is>
      </c>
      <c r="U97" s="2" t="inlineStr">
        <is>
          <t>~50 nm at 0.5% SS, ~73 nm at 0.2% SS</t>
        </is>
      </c>
      <c r="V97" s="7" t="inlineStr">
        <is>
          <t>within</t>
        </is>
      </c>
      <c r="W97" s="2" t="inlineStr">
        <is>
          <t>yes</t>
        </is>
      </c>
      <c r="X97" s="2" t="inlineStr">
        <is>
          <t>high</t>
        </is>
      </c>
      <c r="Y97" s="2" t="inlineStr">
        <is>
          <t>Workbook picks the 0.5% SS end. Not wired into any formula (D11 says not applied as a factor).</t>
        </is>
      </c>
    </row>
    <row r="98">
      <c r="A98" s="4" t="inlineStr">
        <is>
          <t>C_physics</t>
        </is>
      </c>
      <c r="B98" s="2" t="inlineStr">
        <is>
          <t>5a. Cooling Model - Local</t>
        </is>
      </c>
      <c r="C98" s="2" t="inlineStr">
        <is>
          <t>B12</t>
        </is>
      </c>
      <c r="D98" s="2" t="inlineStr">
        <is>
          <t>Critical activation diameter (Kohler threshold)</t>
        </is>
      </c>
      <c r="E98" s="2" t="n">
        <v>50</v>
      </c>
      <c r="F98" s="2" t="inlineStr">
        <is>
          <t>nm</t>
        </is>
      </c>
      <c r="G98" s="2" t="inlineStr">
        <is>
          <t>ERL 2025 p.9: ~50 nm at 0.5% SS, ~73 nm at 0.2% SS</t>
        </is>
      </c>
      <c r="H98" s="2" t="inlineStr">
        <is>
          <t>Harrison et al. 2025 (RRAP CS-06)</t>
        </is>
      </c>
      <c r="I98" s="2" t="inlineStr">
        <is>
          <t>Harrison, D. P., Ristovski, Z., Rosenfeld, D., et al. (2025). Reef Restoration and Adaptation Program - Cloud and Sky Brightening Development (CS-06) Final Report 2025.</t>
        </is>
      </c>
      <c r="J98" s="2" t="inlineStr"/>
      <c r="K98" s="8" t="inlineStr">
        <is>
          <t>https://gbrrestoration.org/wp-content/uploads/2026/06/RRAP-CS-06_FINAL-REPORT-2025.pdf</t>
        </is>
      </c>
      <c r="L98" s="2" t="n">
        <v>200</v>
      </c>
      <c r="M98" s="2" t="inlineStr">
        <is>
          <t>Key Findings table pp.25-26 (pdf p.30)</t>
        </is>
      </c>
      <c r="N98" s="2" t="inlineStr">
        <is>
          <t>full text</t>
        </is>
      </c>
      <c r="O98" s="2" t="n">
        <v>0.4</v>
      </c>
      <c r="P98" s="2" t="inlineStr">
        <is>
          <t>mode</t>
        </is>
      </c>
      <c r="Q98" s="2" t="n">
        <v>0.3</v>
      </c>
      <c r="R98" s="2" t="n">
        <v>0.7</v>
      </c>
      <c r="S98" s="2" t="inlineStr">
        <is>
          <t>range stated</t>
        </is>
      </c>
      <c r="T98" s="2" t="inlineStr">
        <is>
          <t>GBR satellite CCN(S) retrievals</t>
        </is>
      </c>
      <c r="U98" s="2" t="inlineStr">
        <is>
          <t>Activation supersaturation 0.3-0.7%, typical ~0.4% (value given is S in %, not diameter)</t>
        </is>
      </c>
      <c r="V98" s="7" t="inlineStr">
        <is>
          <t>within</t>
        </is>
      </c>
      <c r="W98" s="2" t="inlineStr">
        <is>
          <t>yes</t>
        </is>
      </c>
      <c r="X98" s="2" t="inlineStr">
        <is>
          <t>medium</t>
        </is>
      </c>
      <c r="Y98" s="2" t="inlineStr">
        <is>
          <t>Typical S 0.4% lies between the ERL 0.5% (50 nm) and 0.2% (73 nm) points, so the typical critical diameter is above 50 nm (qualitative; no diameter at 0.4% is stated).</t>
        </is>
      </c>
    </row>
    <row r="99">
      <c r="A99" s="4" t="inlineStr">
        <is>
          <t>C_physics</t>
        </is>
      </c>
      <c r="B99" s="2" t="inlineStr">
        <is>
          <t>5a. Cooling Model - Local</t>
        </is>
      </c>
      <c r="C99" s="2" t="inlineStr">
        <is>
          <t>B12</t>
        </is>
      </c>
      <c r="D99" s="2" t="inlineStr">
        <is>
          <t>Critical activation diameter (Kohler threshold)</t>
        </is>
      </c>
      <c r="E99" s="2" t="n">
        <v>50</v>
      </c>
      <c r="F99" s="2" t="inlineStr">
        <is>
          <t>nm</t>
        </is>
      </c>
      <c r="G99" s="2" t="inlineStr">
        <is>
          <t>ERL 2025 p.9: ~50 nm at 0.5% SS, ~73 nm at 0.2% SS</t>
        </is>
      </c>
      <c r="H99" s="2" t="inlineStr">
        <is>
          <t>Hirasawa et al. 2026 (EGUsphere preprint)</t>
        </is>
      </c>
      <c r="I99" s="2" t="inlineStr">
        <is>
          <t>Hirasawa, H., von Salzen, K., Henry, M., Smith, J., Bender, F. A.-M., Wang, C., Doherty, S., Wood, R., Rasch, P. J., Haywood, J. (2026). On the Range of Marine Cloud Brightening Radiative Forcing across Earth System Models. EGUsphere preprint, discussion started 21 Sep 2026.</t>
        </is>
      </c>
      <c r="J99" s="2" t="inlineStr">
        <is>
          <t>10.5194/egusphere-2026-5460</t>
        </is>
      </c>
      <c r="K99" s="8" t="inlineStr">
        <is>
          <t>https://doi.org/10.5194/egusphere-2026-5460</t>
        </is>
      </c>
      <c r="L99" s="2" t="n">
        <v>200</v>
      </c>
      <c r="M99" s="2" t="inlineStr">
        <is>
          <t>Sect. 4, line ~330; Fig. 1 caption</t>
        </is>
      </c>
      <c r="N99" s="2" t="inlineStr">
        <is>
          <t>full text</t>
        </is>
      </c>
      <c r="O99" s="2" t="n">
        <v>112</v>
      </c>
      <c r="P99" s="2" t="inlineStr">
        <is>
          <t>point</t>
        </is>
      </c>
      <c r="Q99" s="2" t="n"/>
      <c r="R99" s="2" t="n"/>
      <c r="S99" s="2" t="inlineStr">
        <is>
          <t>range stated</t>
        </is>
      </c>
      <c r="T99" s="2" t="inlineStr">
        <is>
          <t>pyrcel Kohler calculation</t>
        </is>
      </c>
      <c r="U99" s="2" t="inlineStr">
        <is>
          <t>Critical radius ~56 nm at S=0.1% (diameter ~112 nm, derived x2)</t>
        </is>
      </c>
      <c r="V99" s="5" t="inlineStr">
        <is>
          <t>below range</t>
        </is>
      </c>
      <c r="W99" s="2" t="inlineStr">
        <is>
          <t>yes</t>
        </is>
      </c>
      <c r="X99" s="2" t="inlineStr">
        <is>
          <t>high</t>
        </is>
      </c>
      <c r="Y99" s="2" t="inlineStr">
        <is>
          <t>This is the basis of the ESM "CCN fractions" used in tab 6a D16-D19. Different SS than the workbook 50 nm; shows the 6a CCN-fraction comparison is not on a common cutoff.</t>
        </is>
      </c>
    </row>
    <row r="100">
      <c r="A100" s="4" t="inlineStr">
        <is>
          <t>C_physics</t>
        </is>
      </c>
      <c r="B100" s="2" t="inlineStr">
        <is>
          <t>5a. Cooling Model - Local</t>
        </is>
      </c>
      <c r="C100" s="2" t="inlineStr">
        <is>
          <t>B13</t>
        </is>
      </c>
      <c r="D100" s="2" t="inlineStr">
        <is>
          <t>Unused input (superseded by cloud availability)</t>
        </is>
      </c>
      <c r="E100" s="2" t="n">
        <v>0.43</v>
      </c>
      <c r="F100" s="2" t="inlineStr">
        <is>
          <t>fraction</t>
        </is>
      </c>
      <c r="G100" s="2" t="inlineStr">
        <is>
          <t>Neutralized 2026-09-09; no formulas reference it</t>
        </is>
      </c>
      <c r="H100" s="2" t="inlineStr"/>
      <c r="I100" s="2" t="inlineStr"/>
      <c r="J100" s="2" t="inlineStr"/>
      <c r="K100" s="2" t="inlineStr"/>
      <c r="L100" s="2" t="n"/>
      <c r="M100" s="2" t="inlineStr"/>
      <c r="N100" s="2" t="inlineStr"/>
      <c r="O100" s="2" t="n"/>
      <c r="P100" s="2" t="inlineStr"/>
      <c r="Q100" s="2" t="n"/>
      <c r="R100" s="2" t="n"/>
      <c r="S100" s="2" t="inlineStr"/>
      <c r="T100" s="2" t="inlineStr"/>
      <c r="U100" s="2" t="inlineStr"/>
      <c r="V100" s="2" t="inlineStr">
        <is>
          <t>definitional</t>
        </is>
      </c>
      <c r="W100" s="2" t="inlineStr">
        <is>
          <t>n/a</t>
        </is>
      </c>
      <c r="X100" s="2" t="inlineStr">
        <is>
          <t>high</t>
        </is>
      </c>
      <c r="Y100" s="2" t="inlineStr">
        <is>
          <t>Unused cell; no search done.</t>
        </is>
      </c>
    </row>
    <row r="101">
      <c r="A101" s="4" t="inlineStr">
        <is>
          <t>C_physics</t>
        </is>
      </c>
      <c r="B101" s="2" t="inlineStr">
        <is>
          <t>5a. Cooling Model - Local</t>
        </is>
      </c>
      <c r="C101" s="2" t="inlineStr">
        <is>
          <t>B16</t>
        </is>
      </c>
      <c r="D101" s="2" t="inlineStr">
        <is>
          <t>Cloud-top shortwave (labelled daytime)</t>
        </is>
      </c>
      <c r="E101" s="2" t="n">
        <v>475</v>
      </c>
      <c r="F101" s="2" t="inlineStr">
        <is>
          <t>W/m2</t>
        </is>
      </c>
      <c r="G101" s="2" t="inlineStr">
        <is>
          <t>Assumption (daytime marine cloud-top shortwave)</t>
        </is>
      </c>
      <c r="H101" s="2" t="inlineStr">
        <is>
          <t>NASA POWER 2026 (CERES SYN1deg climatology 2001-2025)</t>
        </is>
      </c>
      <c r="I101" s="2" t="inlineStr">
        <is>
          <t>NASA Langley Research Center POWER Project, Climatology API v2.10.1, parameters TOA_SW_DWN, CLRSKY_SFC_SW_DWN, ALLSKY_SFC_SW_DWN (source SYN1DEG, Jan 2001-Dec 2025), queried 2026-10-26 at 16.5S 146.5E, 19.0S 148.0E, 23.0S 152.0E.</t>
        </is>
      </c>
      <c r="J101" s="2" t="inlineStr"/>
      <c r="K101" s="8" t="inlineStr">
        <is>
          <t>https://power.larc.nasa.gov/api/temporal/climatology/point?parameters=TOA_SW_DWN,ALLSKY_SFC_SW_DWN,CLRSKY_SFC_SW_DWN&amp;community=RE&amp;longitude=146.5&amp;latitude=-16.5&amp;format=JSON</t>
        </is>
      </c>
      <c r="L101" s="2" t="n">
        <v>200</v>
      </c>
      <c r="M101" s="2" t="inlineStr">
        <is>
          <t>TOA_SW_DWN monthly climatology, DEC/JAN/FEB, 3 GBR points</t>
        </is>
      </c>
      <c r="N101" s="2" t="inlineStr">
        <is>
          <t>full text</t>
        </is>
      </c>
      <c r="O101" s="2" t="n">
        <v>475</v>
      </c>
      <c r="P101" s="2" t="inlineStr">
        <is>
          <t>point</t>
        </is>
      </c>
      <c r="Q101" s="2" t="n">
        <v>460</v>
      </c>
      <c r="R101" s="2" t="n">
        <v>491</v>
      </c>
      <c r="S101" s="2" t="inlineStr">
        <is>
          <t>min-max across studies</t>
        </is>
      </c>
      <c r="T101" s="2" t="inlineStr">
        <is>
          <t>3 GBR points x 3 summer months; CERES SYN1deg 2001-2025</t>
        </is>
      </c>
      <c r="U101" s="2" t="inlineStr">
        <is>
          <t>24-h mean TOA insolation: 16.5S Dec 476 / Jan 474 / Feb 460; 19S 481/479/460; 23S 491/487/461 W/m2. Annual mean 387-400. Clear-sky surface DJF 326-354, all-sky surface 256-303</t>
        </is>
      </c>
      <c r="V101" s="7" t="inlineStr">
        <is>
          <t>within</t>
        </is>
      </c>
      <c r="W101" s="2" t="inlineStr">
        <is>
          <t>no</t>
        </is>
      </c>
      <c r="X101" s="2" t="inlineStr">
        <is>
          <t>high</t>
        </is>
      </c>
      <c r="Y101" s="2" t="inlineStr">
        <is>
          <t>Converted from kWh/m2/day x 1000/24 (derived). 475 equals the 24-HOUR MEAN TOA insolation in Dec-Jan, not a daytime value. Daytime-only mean TOA over Dec-Apr at 14-22S is ~850 W/m2 (derived from the prior-pass solar-geometry script, daylight fraction 0.52). Applying B20 = 0.4 on top of a 24-h mean double-counts the diurnal cycle.</t>
        </is>
      </c>
    </row>
    <row r="102">
      <c r="A102" s="4" t="inlineStr">
        <is>
          <t>C_physics</t>
        </is>
      </c>
      <c r="B102" s="2" t="inlineStr">
        <is>
          <t>5a. Cooling Model - Local</t>
        </is>
      </c>
      <c r="C102" s="2" t="inlineStr">
        <is>
          <t>B16</t>
        </is>
      </c>
      <c r="D102" s="2" t="inlineStr">
        <is>
          <t>Cloud-top shortwave (labelled daytime)</t>
        </is>
      </c>
      <c r="E102" s="2" t="n">
        <v>475</v>
      </c>
      <c r="F102" s="2" t="inlineStr">
        <is>
          <t>W/m2</t>
        </is>
      </c>
      <c r="G102" s="2" t="inlineStr">
        <is>
          <t>Assumption (daytime marine cloud-top shortwave)</t>
        </is>
      </c>
      <c r="H102" s="2" t="inlineStr">
        <is>
          <t>Wood 2021</t>
        </is>
      </c>
      <c r="I102" s="2" t="inlineStr">
        <is>
          <t>Wood, R. (2021). Assessing the potential efficacy of marine cloud brightening for cooling Earth using a simple heuristic model. Atmos. Chem. Phys., 21, 14507-14533.</t>
        </is>
      </c>
      <c r="J102" s="2" t="inlineStr">
        <is>
          <t>10.5194/acp-21-14507-2021</t>
        </is>
      </c>
      <c r="K102" s="8" t="inlineStr">
        <is>
          <t>https://doi.org/10.5194/acp-21-14507-2021</t>
        </is>
      </c>
      <c r="L102" s="2" t="n">
        <v>200</v>
      </c>
      <c r="M102" s="2" t="inlineStr">
        <is>
          <t>Sect. 2.1, Eq. 3 and text; Table 1 (F)</t>
        </is>
      </c>
      <c r="N102" s="2" t="inlineStr">
        <is>
          <t>full text</t>
        </is>
      </c>
      <c r="O102" s="2" t="n">
        <v>380</v>
      </c>
      <c r="P102" s="2" t="inlineStr">
        <is>
          <t>point</t>
        </is>
      </c>
      <c r="Q102" s="2" t="n"/>
      <c r="R102" s="2" t="n"/>
      <c r="S102" s="2" t="inlineStr">
        <is>
          <t>range stated</t>
        </is>
      </c>
      <c r="T102" s="2" t="inlineStr">
        <is>
          <t>Method convention (CERES-SYN-based T_FT = 0.8)</t>
        </is>
      </c>
      <c r="U102" s="2" t="inlineStr">
        <is>
          <t>Wood uses the day+night-averaged irradiance F (342 W/m2 global) with no extra diurnal factor; free-troposphere transmissivity T_FT = 0.8, phi_atm = 0.70 for TOA forcing</t>
        </is>
      </c>
      <c r="V102" s="5" t="inlineStr">
        <is>
          <t>above range</t>
        </is>
      </c>
      <c r="W102" s="2" t="inlineStr">
        <is>
          <t>yes</t>
        </is>
      </c>
      <c r="X102" s="2" t="inlineStr">
        <is>
          <t>medium</t>
        </is>
      </c>
      <c r="Y102" s="2" t="inlineStr">
        <is>
          <t>Derived: 475 W/m2 TOA x T_FT 0.8 = ~380 W/m2 24-h-mean cloud-top SW. As a cloud-top value 475 is ~25% high, but the 0.4 diurnal factor more than offsets it (net 190 vs ~380).</t>
        </is>
      </c>
    </row>
    <row r="103">
      <c r="A103" s="4" t="inlineStr">
        <is>
          <t>C_physics</t>
        </is>
      </c>
      <c r="B103" s="2" t="inlineStr">
        <is>
          <t>5a. Cooling Model - Local</t>
        </is>
      </c>
      <c r="C103" s="2" t="inlineStr">
        <is>
          <t>B17</t>
        </is>
      </c>
      <c r="D103" s="2" t="inlineStr">
        <is>
          <t>Marine cloud albedo</t>
        </is>
      </c>
      <c r="E103" s="2" t="n">
        <v>0.4</v>
      </c>
      <c r="F103" s="2" t="inlineStr">
        <is>
          <t>-</t>
        </is>
      </c>
      <c r="G103" s="2" t="inlineStr">
        <is>
          <t>Assumption: literature-typical stratocumulus albedo; Graham suggested 0.30 lower range (D17 says ~0.5)</t>
        </is>
      </c>
      <c r="H103" s="2" t="inlineStr">
        <is>
          <t>Wood 2021</t>
        </is>
      </c>
      <c r="I103" s="2" t="inlineStr">
        <is>
          <t>Wood, R. (2021). Assessing the potential efficacy of marine cloud brightening for cooling Earth using a simple heuristic model. Atmos. Chem. Phys., 21, 14507-14533.</t>
        </is>
      </c>
      <c r="J103" s="2" t="inlineStr">
        <is>
          <t>10.5194/acp-21-14507-2021</t>
        </is>
      </c>
      <c r="K103" s="8" t="inlineStr">
        <is>
          <t>https://doi.org/10.5194/acp-21-14507-2021</t>
        </is>
      </c>
      <c r="L103" s="2" t="n">
        <v>200</v>
      </c>
      <c r="M103" s="2" t="inlineStr">
        <is>
          <t>Sect. 2.1 and Table 1 (alpha_c)</t>
        </is>
      </c>
      <c r="N103" s="2" t="inlineStr">
        <is>
          <t>full text</t>
        </is>
      </c>
      <c r="O103" s="2" t="n">
        <v>0.5600000000000001</v>
      </c>
      <c r="P103" s="2" t="inlineStr">
        <is>
          <t>point</t>
        </is>
      </c>
      <c r="Q103" s="2" t="n">
        <v>0.3</v>
      </c>
      <c r="R103" s="2" t="n">
        <v>0.7</v>
      </c>
      <c r="S103" s="2" t="inlineStr">
        <is>
          <t>range stated</t>
        </is>
      </c>
      <c r="T103" s="2" t="inlineStr">
        <is>
          <t>Bender et al. 2011 overcast subtropical Sc (TOA 0.35-0.42, corrected to cloud albedo)</t>
        </is>
      </c>
      <c r="U103" s="2" t="inlineStr">
        <is>
          <t>Global subtropical stratocumulus; Wood notes integrated Twomey delta-albedo varies only ~10% for alpha_c 0.3-0.7</t>
        </is>
      </c>
      <c r="V103" s="7" t="inlineStr">
        <is>
          <t>within</t>
        </is>
      </c>
      <c r="W103" s="2" t="inlineStr">
        <is>
          <t>neutral</t>
        </is>
      </c>
      <c r="X103" s="2" t="inlineStr">
        <is>
          <t>medium</t>
        </is>
      </c>
      <c r="Y103" s="2" t="inlineStr">
        <is>
          <t>Stratocumulus-deck value; GBR summer clouds are shallow trade cumulus with lower albedo (see T14 row). Bender 2011 numbers via Wood (secondary).</t>
        </is>
      </c>
    </row>
    <row r="104">
      <c r="A104" s="4" t="inlineStr">
        <is>
          <t>C_physics</t>
        </is>
      </c>
      <c r="B104" s="2" t="inlineStr">
        <is>
          <t>5a. Cooling Model - Local</t>
        </is>
      </c>
      <c r="C104" s="2" t="inlineStr">
        <is>
          <t>B17</t>
        </is>
      </c>
      <c r="D104" s="2" t="inlineStr">
        <is>
          <t>Marine cloud albedo</t>
        </is>
      </c>
      <c r="E104" s="2" t="n">
        <v>0.4</v>
      </c>
      <c r="F104" s="2" t="inlineStr">
        <is>
          <t>-</t>
        </is>
      </c>
      <c r="G104" s="2" t="inlineStr">
        <is>
          <t>Assumption: literature-typical stratocumulus albedo; Graham suggested 0.30 lower range (D17 says ~0.5)</t>
        </is>
      </c>
      <c r="H104" s="2" t="inlineStr">
        <is>
          <t>Harrison et al. 2019 (RRAP T14)</t>
        </is>
      </c>
      <c r="I104" s="2" t="inlineStr">
        <is>
          <t>Harrison, D. P., Baird, M., Harrison, L., Utembe, S., Schofield, R., Escobar Correa, R., Mongin, M., Rizwi, F. (2019). Environmental Modelling of Large Scale Solar Radiation Management. RRAP T14 Final Report.</t>
        </is>
      </c>
      <c r="J104" s="2" t="inlineStr"/>
      <c r="K104" s="8" t="inlineStr">
        <is>
          <t>https://gbrrestoration.org/wp-content/uploads/2020/09/T14-Environmental-Modelling-of-Large-Scale-SRM_v3.03-3.pdf</t>
        </is>
      </c>
      <c r="L104" s="2" t="n">
        <v>200</v>
      </c>
      <c r="M104" s="2" t="inlineStr">
        <is>
          <t>Sect. 6.4, p.64-65, Fig. 40</t>
        </is>
      </c>
      <c r="N104" s="2" t="inlineStr">
        <is>
          <t>full text</t>
        </is>
      </c>
      <c r="O104" s="2" t="n">
        <v>0.2</v>
      </c>
      <c r="P104" s="2" t="inlineStr">
        <is>
          <t>point</t>
        </is>
      </c>
      <c r="Q104" s="2" t="n">
        <v>0.1</v>
      </c>
      <c r="R104" s="2" t="n">
        <v>0.3</v>
      </c>
      <c r="S104" s="2" t="inlineStr">
        <is>
          <t>range stated</t>
        </is>
      </c>
      <c r="T104" s="2" t="inlineStr">
        <is>
          <t>WRF-Chem base run, GBR domain, 1-10 Dec 2016 (low-cloud period)</t>
        </is>
      </c>
      <c r="U104" s="2" t="inlineStr">
        <is>
          <t>Domain-averaged cloud albedo 0.1-0.3, spike to ~0.55 on 27 Dec</t>
        </is>
      </c>
      <c r="V104" s="5" t="inlineStr">
        <is>
          <t>above range</t>
        </is>
      </c>
      <c r="W104" s="2" t="inlineStr">
        <is>
          <t>yes</t>
        </is>
      </c>
      <c r="X104" s="2" t="inlineStr">
        <is>
          <t>medium</t>
        </is>
      </c>
      <c r="Y104" s="2" t="inlineStr">
        <is>
          <t>Verbatim: "Average cloud albedo is relatively low throughout the period, at values ranging from 0.1 to 0.3". Twomey term A(1-A): workbook 0.24 vs 0.09-0.21 for A 0.1-0.3. Central is midpoint (derived).</t>
        </is>
      </c>
    </row>
    <row r="105">
      <c r="A105" s="4" t="inlineStr">
        <is>
          <t>C_physics</t>
        </is>
      </c>
      <c r="B105" s="2" t="inlineStr">
        <is>
          <t>5a. Cooling Model - Local</t>
        </is>
      </c>
      <c r="C105" s="2" t="inlineStr">
        <is>
          <t>B17</t>
        </is>
      </c>
      <c r="D105" s="2" t="inlineStr">
        <is>
          <t>Marine cloud albedo</t>
        </is>
      </c>
      <c r="E105" s="2" t="n">
        <v>0.4</v>
      </c>
      <c r="F105" s="2" t="inlineStr">
        <is>
          <t>-</t>
        </is>
      </c>
      <c r="G105" s="2" t="inlineStr">
        <is>
          <t>Assumption: literature-typical stratocumulus albedo; Graham suggested 0.30 lower range (D17 says ~0.5)</t>
        </is>
      </c>
      <c r="H105" s="2" t="inlineStr">
        <is>
          <t>Zhao et al. 2026 (EGUsphere preprint)</t>
        </is>
      </c>
      <c r="I105" s="2" t="inlineStr">
        <is>
          <t>Zhao, W., Huang, Y., Siems, S., Harrison, D. (2026). Sensitivity of Marine Cloud Brightening over the Great Barrier Reef to Spatial Variability in Aerosol Forcing: A Case Study using convection-permitting model. EGUsphere preprint.</t>
        </is>
      </c>
      <c r="J105" s="2" t="inlineStr">
        <is>
          <t>10.5194/egusphere-2026-1251</t>
        </is>
      </c>
      <c r="K105" s="8" t="inlineStr">
        <is>
          <t>https://doi.org/10.5194/egusphere-2026-1251</t>
        </is>
      </c>
      <c r="L105" s="2" t="n">
        <v>200</v>
      </c>
      <c r="M105" s="2" t="inlineStr">
        <is>
          <t>Sect. 3 (Eq. A = tau/(tau+6.8)); Sect. 3 results</t>
        </is>
      </c>
      <c r="N105" s="2" t="inlineStr">
        <is>
          <t>full text</t>
        </is>
      </c>
      <c r="O105" s="2" t="n"/>
      <c r="P105" s="2" t="inlineStr">
        <is>
          <t>point</t>
        </is>
      </c>
      <c r="Q105" s="2" t="n"/>
      <c r="R105" s="2" t="n"/>
      <c r="S105" s="2" t="inlineStr">
        <is>
          <t>range stated</t>
        </is>
      </c>
      <c r="T105" s="2" t="inlineStr">
        <is>
          <t>WRF convection-permitting case study, Cairns region</t>
        </is>
      </c>
      <c r="U105" s="2" t="inlineStr">
        <is>
          <t>Albedo computed from tau; EXP20 gives ~6% albedo increase for ~26% tau increase; baseline albedo value not stated in text</t>
        </is>
      </c>
      <c r="V105" s="6" t="inlineStr">
        <is>
          <t>no comparable value</t>
        </is>
      </c>
      <c r="W105" s="2" t="inlineStr">
        <is>
          <t>n/a</t>
        </is>
      </c>
      <c r="X105" s="2" t="inlineStr">
        <is>
          <t>low</t>
        </is>
      </c>
      <c r="Y105" s="2" t="inlineStr">
        <is>
          <t>Gives the albedo formula used for GBR trade cumulus but not a baseline albedo number in text (figures only).</t>
        </is>
      </c>
    </row>
    <row r="106">
      <c r="A106" s="4" t="inlineStr">
        <is>
          <t>C_physics</t>
        </is>
      </c>
      <c r="B106" s="2" t="inlineStr">
        <is>
          <t>5a. Cooling Model - Local</t>
        </is>
      </c>
      <c r="C106" s="2" t="inlineStr">
        <is>
          <t>B18</t>
        </is>
      </c>
      <c r="D106" s="2" t="inlineStr">
        <is>
          <t>Droplet-number enhancement (Nd ratio)</t>
        </is>
      </c>
      <c r="E106" s="2" t="n">
        <v>1.3</v>
      </c>
      <c r="F106" s="2" t="inlineStr">
        <is>
          <t>x</t>
        </is>
      </c>
      <c r="G106" s="2" t="inlineStr">
        <is>
          <t>D18: capped at measured ~200/cm3 ceiling (CS-06 p.34) = 2.0x here (inconsistent with 1.3 entered)</t>
        </is>
      </c>
      <c r="H106" s="2" t="inlineStr">
        <is>
          <t>Zhao et al. 2026 (EGUsphere preprint)</t>
        </is>
      </c>
      <c r="I106" s="2" t="inlineStr">
        <is>
          <t>Zhao, W., Huang, Y., Siems, S., Harrison, D. (2026). Sensitivity of Marine Cloud Brightening over the Great Barrier Reef to Spatial Variability in Aerosol Forcing: A Case Study using convection-permitting model. EGUsphere preprint.</t>
        </is>
      </c>
      <c r="J106" s="2" t="inlineStr">
        <is>
          <t>10.5194/egusphere-2026-1251</t>
        </is>
      </c>
      <c r="K106" s="8" t="inlineStr">
        <is>
          <t>https://doi.org/10.5194/egusphere-2026-1251</t>
        </is>
      </c>
      <c r="L106" s="2" t="n">
        <v>200</v>
      </c>
      <c r="M106" s="2" t="inlineStr">
        <is>
          <t>Sect. 3, lines 280-283</t>
        </is>
      </c>
      <c r="N106" s="2" t="inlineStr">
        <is>
          <t>full text</t>
        </is>
      </c>
      <c r="O106" s="2" t="n">
        <v>1.323</v>
      </c>
      <c r="P106" s="2" t="inlineStr">
        <is>
          <t>median</t>
        </is>
      </c>
      <c r="Q106" s="2" t="n">
        <v>1.139</v>
      </c>
      <c r="R106" s="2" t="n">
        <v>1.727</v>
      </c>
      <c r="S106" s="2" t="inlineStr">
        <is>
          <t>min-max across studies</t>
        </is>
      </c>
      <c r="T106" s="2" t="inlineStr">
        <is>
          <t>3 WRF emission configurations (EXP100, EXP40, EXP20), same total emission</t>
        </is>
      </c>
      <c r="U106" s="2" t="inlineStr">
        <is>
          <t>Domain-mean CDNC +13.9%, +32.3%, +72.7%</t>
        </is>
      </c>
      <c r="V106" s="7" t="inlineStr">
        <is>
          <t>within</t>
        </is>
      </c>
      <c r="W106" s="2" t="inlineStr">
        <is>
          <t>yes</t>
        </is>
      </c>
      <c r="X106" s="2" t="inlineStr">
        <is>
          <t>medium</t>
        </is>
      </c>
      <c r="Y106" s="2" t="inlineStr">
        <is>
          <t>Cooling per tonne in tab 5a scales as ln(r)/(r-1) (B19 has ln(r), B11 area has 1/(r-1)), which FALLS as r rises: 0.875 at 1.3 vs 0.693 at 2.0 (derived). So the low 1.3 raises cooling per tonne ~26% vs the 2.0 that D18 describes.</t>
        </is>
      </c>
    </row>
    <row r="107">
      <c r="A107" s="4" t="inlineStr">
        <is>
          <t>C_physics</t>
        </is>
      </c>
      <c r="B107" s="2" t="inlineStr">
        <is>
          <t>5a. Cooling Model - Local</t>
        </is>
      </c>
      <c r="C107" s="2" t="inlineStr">
        <is>
          <t>B18</t>
        </is>
      </c>
      <c r="D107" s="2" t="inlineStr">
        <is>
          <t>Droplet-number enhancement (Nd ratio)</t>
        </is>
      </c>
      <c r="E107" s="2" t="n">
        <v>1.3</v>
      </c>
      <c r="F107" s="2" t="inlineStr">
        <is>
          <t>x</t>
        </is>
      </c>
      <c r="G107" s="2" t="inlineStr">
        <is>
          <t>D18: capped at measured ~200/cm3 ceiling (CS-06 p.34) = 2.0x here (inconsistent with 1.3 entered)</t>
        </is>
      </c>
      <c r="H107" s="2" t="inlineStr">
        <is>
          <t>Harrison et al. 2025 (RRAP CS-06)</t>
        </is>
      </c>
      <c r="I107" s="2" t="inlineStr">
        <is>
          <t>Harrison, D. P., Ristovski, Z., Rosenfeld, D., et al. (2025). Reef Restoration and Adaptation Program - Cloud and Sky Brightening Development (CS-06) Final Report 2025.</t>
        </is>
      </c>
      <c r="J107" s="2" t="inlineStr"/>
      <c r="K107" s="8" t="inlineStr">
        <is>
          <t>https://gbrrestoration.org/wp-content/uploads/2026/06/RRAP-CS-06_FINAL-REPORT-2025.pdf</t>
        </is>
      </c>
      <c r="L107" s="2" t="n">
        <v>200</v>
      </c>
      <c r="M107" s="2" t="inlineStr">
        <is>
          <t>Key Findings table pp.25-26 (pdf p.30)</t>
        </is>
      </c>
      <c r="N107" s="2" t="inlineStr">
        <is>
          <t>full text</t>
        </is>
      </c>
      <c r="O107" s="2" t="n"/>
      <c r="P107" s="2" t="inlineStr">
        <is>
          <t>point</t>
        </is>
      </c>
      <c r="Q107" s="2" t="n">
        <v>1</v>
      </c>
      <c r="R107" s="2" t="n">
        <v>2</v>
      </c>
      <c r="S107" s="2" t="inlineStr">
        <is>
          <t>range stated</t>
        </is>
      </c>
      <c r="T107" s="2" t="inlineStr">
        <is>
          <t>GBR satellite CCN mapping</t>
        </is>
      </c>
      <c r="U107" s="2" t="inlineStr">
        <is>
          <t>Nd saturates above ~200 cm-3 total, i.e. max ~2x over a 100 cm-3 background (derived)</t>
        </is>
      </c>
      <c r="V107" s="7" t="inlineStr">
        <is>
          <t>within</t>
        </is>
      </c>
      <c r="W107" s="2" t="inlineStr">
        <is>
          <t>neutral</t>
        </is>
      </c>
      <c r="X107" s="2" t="inlineStr">
        <is>
          <t>medium</t>
        </is>
      </c>
      <c r="Y107" s="2" t="inlineStr">
        <is>
          <t>Verbatim: "adding CCN such that the concentration exceeds 200 cm-3 starts to saturate the cloud drop concentrations". Also: cloud fraction effect saturates at ~60-100 cm-3.</t>
        </is>
      </c>
    </row>
    <row r="108">
      <c r="A108" s="4" t="inlineStr">
        <is>
          <t>C_physics</t>
        </is>
      </c>
      <c r="B108" s="2" t="inlineStr">
        <is>
          <t>5a. Cooling Model - Local</t>
        </is>
      </c>
      <c r="C108" s="2" t="inlineStr">
        <is>
          <t>B18</t>
        </is>
      </c>
      <c r="D108" s="2" t="inlineStr">
        <is>
          <t>Droplet-number enhancement (Nd ratio)</t>
        </is>
      </c>
      <c r="E108" s="2" t="n">
        <v>1.3</v>
      </c>
      <c r="F108" s="2" t="inlineStr">
        <is>
          <t>x</t>
        </is>
      </c>
      <c r="G108" s="2" t="inlineStr">
        <is>
          <t>D18: capped at measured ~200/cm3 ceiling (CS-06 p.34) = 2.0x here (inconsistent with 1.3 entered)</t>
        </is>
      </c>
      <c r="H108" s="2" t="inlineStr">
        <is>
          <t>Hernandez-Jaramillo et al. 2025 (ERL)</t>
        </is>
      </c>
      <c r="I108" s="2" t="inlineStr">
        <is>
          <t>Hernandez-Jaramillo, D. C., Harrison, L., Gunner, G., et al. (2025). First generation outdoor marine cloud brightening trial increases aerosol concentration at cloud base height. Environ. Res. Lett., 20(5), 054065.</t>
        </is>
      </c>
      <c r="J108" s="2" t="inlineStr">
        <is>
          <t>10.1088/1748-9326/adccd7</t>
        </is>
      </c>
      <c r="K108" s="8" t="inlineStr">
        <is>
          <t>https://doi.org/10.1088/1748-9326/adccd7</t>
        </is>
      </c>
      <c r="L108" s="2" t="n">
        <v>200</v>
      </c>
      <c r="M108" s="2" t="inlineStr">
        <is>
          <t>Sect. 4 Discussion; Fig. 9</t>
        </is>
      </c>
      <c r="N108" s="2" t="inlineStr">
        <is>
          <t>full text</t>
        </is>
      </c>
      <c r="O108" s="2" t="n">
        <v>1.25</v>
      </c>
      <c r="P108" s="2" t="inlineStr">
        <is>
          <t>point</t>
        </is>
      </c>
      <c r="Q108" s="2" t="n">
        <v>1.2</v>
      </c>
      <c r="R108" s="2" t="n">
        <v>1.25</v>
      </c>
      <c r="S108" s="2" t="inlineStr">
        <is>
          <t>range stated</t>
        </is>
      </c>
      <c r="T108" s="2" t="inlineStr">
        <is>
          <t>Single-sprayer field trial, 4 flights</t>
        </is>
      </c>
      <c r="U108" s="2" t="inlineStr">
        <is>
          <t>Aerosol (not Nd) at cloud base 1.2-1.25x background</t>
        </is>
      </c>
      <c r="V108" s="7" t="inlineStr">
        <is>
          <t>within</t>
        </is>
      </c>
      <c r="W108" s="2" t="inlineStr">
        <is>
          <t>neutral</t>
        </is>
      </c>
      <c r="X108" s="2" t="inlineStr">
        <is>
          <t>medium</t>
        </is>
      </c>
      <c r="Y108" s="2" t="inlineStr">
        <is>
          <t>Aerosol enhancement, not droplet enhancement; single small sprayer.</t>
        </is>
      </c>
    </row>
    <row r="109">
      <c r="A109" s="4" t="inlineStr">
        <is>
          <t>C_physics</t>
        </is>
      </c>
      <c r="B109" s="2" t="inlineStr">
        <is>
          <t>5a. Cooling Model - Local</t>
        </is>
      </c>
      <c r="C109" s="2" t="inlineStr">
        <is>
          <t>B18</t>
        </is>
      </c>
      <c r="D109" s="2" t="inlineStr">
        <is>
          <t>Droplet-number enhancement (Nd ratio)</t>
        </is>
      </c>
      <c r="E109" s="2" t="n">
        <v>1.3</v>
      </c>
      <c r="F109" s="2" t="inlineStr">
        <is>
          <t>x</t>
        </is>
      </c>
      <c r="G109" s="2" t="inlineStr">
        <is>
          <t>D18: capped at measured ~200/cm3 ceiling (CS-06 p.34) = 2.0x here (inconsistent with 1.3 entered)</t>
        </is>
      </c>
      <c r="H109" s="2" t="inlineStr">
        <is>
          <t>Wood 2021</t>
        </is>
      </c>
      <c r="I109" s="2" t="inlineStr">
        <is>
          <t>Wood, R. (2021). Assessing the potential efficacy of marine cloud brightening for cooling Earth using a simple heuristic model. Atmos. Chem. Phys., 21, 14507-14533.</t>
        </is>
      </c>
      <c r="J109" s="2" t="inlineStr">
        <is>
          <t>10.5194/acp-21-14507-2021</t>
        </is>
      </c>
      <c r="K109" s="8" t="inlineStr">
        <is>
          <t>https://doi.org/10.5194/acp-21-14507-2021</t>
        </is>
      </c>
      <c r="L109" s="2" t="n">
        <v>200</v>
      </c>
      <c r="M109" s="2" t="inlineStr">
        <is>
          <t>Sect. 2.3</t>
        </is>
      </c>
      <c r="N109" s="2" t="inlineStr">
        <is>
          <t>full text</t>
        </is>
      </c>
      <c r="O109" s="2" t="n">
        <v>3</v>
      </c>
      <c r="P109" s="2" t="inlineStr">
        <is>
          <t>point</t>
        </is>
      </c>
      <c r="Q109" s="2" t="n"/>
      <c r="R109" s="2" t="n"/>
      <c r="S109" s="2" t="inlineStr">
        <is>
          <t>range stated</t>
        </is>
      </c>
      <c r="T109" s="2" t="inlineStr">
        <is>
          <t>Heuristic model, alpha_c = 0.56</t>
        </is>
      </c>
      <c r="U109" s="2" t="inlineStr">
        <is>
          <t>rN = 3.0 needed for forcing equal to 2xCO2 over the eligible ocean</t>
        </is>
      </c>
      <c r="V109" s="5" t="inlineStr">
        <is>
          <t>below range</t>
        </is>
      </c>
      <c r="W109" s="2" t="inlineStr">
        <is>
          <t>n/a</t>
        </is>
      </c>
      <c r="X109" s="2" t="inlineStr">
        <is>
          <t>medium</t>
        </is>
      </c>
      <c r="Y109" s="2" t="inlineStr">
        <is>
          <t>Global-deployment design point, not a GBR measurement.</t>
        </is>
      </c>
    </row>
    <row r="110">
      <c r="A110" s="4" t="inlineStr">
        <is>
          <t>C_physics</t>
        </is>
      </c>
      <c r="B110" s="2" t="inlineStr">
        <is>
          <t>5a. Cooling Model - Local</t>
        </is>
      </c>
      <c r="C110" s="2" t="inlineStr">
        <is>
          <t>B18</t>
        </is>
      </c>
      <c r="D110" s="2" t="inlineStr">
        <is>
          <t>Droplet-number enhancement (Nd ratio)</t>
        </is>
      </c>
      <c r="E110" s="2" t="n">
        <v>1.3</v>
      </c>
      <c r="F110" s="2" t="inlineStr">
        <is>
          <t>x</t>
        </is>
      </c>
      <c r="G110" s="2" t="inlineStr">
        <is>
          <t>D18: capped at measured ~200/cm3 ceiling (CS-06 p.34) = 2.0x here (inconsistent with 1.3 entered)</t>
        </is>
      </c>
      <c r="H110" s="2" t="inlineStr">
        <is>
          <t>Stjern et al. 2018</t>
        </is>
      </c>
      <c r="I110" s="2" t="inlineStr">
        <is>
          <t>Stjern, C. W., Muri, H., Ahlm, L., et al. (2018). Response to marine cloud brightening in a multi-model ensemble. Atmos. Chem. Phys., 18, 621-634.</t>
        </is>
      </c>
      <c r="J110" s="2" t="inlineStr">
        <is>
          <t>10.5194/acp-18-621-2018</t>
        </is>
      </c>
      <c r="K110" s="8" t="inlineStr">
        <is>
          <t>https://doi.org/10.5194/acp-18-621-2018</t>
        </is>
      </c>
      <c r="L110" s="2" t="n">
        <v>200</v>
      </c>
      <c r="M110" s="2" t="inlineStr">
        <is>
          <t>Abstract</t>
        </is>
      </c>
      <c r="N110" s="2" t="inlineStr">
        <is>
          <t>abstract only</t>
        </is>
      </c>
      <c r="O110" s="2" t="n">
        <v>1.5</v>
      </c>
      <c r="P110" s="2" t="inlineStr">
        <is>
          <t>point</t>
        </is>
      </c>
      <c r="Q110" s="2" t="n"/>
      <c r="R110" s="2" t="n"/>
      <c r="S110" s="2" t="inlineStr">
        <is>
          <t>range stated</t>
        </is>
      </c>
      <c r="T110" s="2" t="inlineStr">
        <is>
          <t>9 GeoMIP G4cdnc models</t>
        </is>
      </c>
      <c r="U110" s="2" t="inlineStr">
        <is>
          <t>Prescribed +50% CDNC in all marine low clouds</t>
        </is>
      </c>
      <c r="V110" s="5" t="inlineStr">
        <is>
          <t>below range</t>
        </is>
      </c>
      <c r="W110" s="2" t="inlineStr">
        <is>
          <t>n/a</t>
        </is>
      </c>
      <c r="X110" s="2" t="inlineStr">
        <is>
          <t>high</t>
        </is>
      </c>
      <c r="Y110" s="2" t="inlineStr">
        <is>
          <t>Prescribed experiment value, not observed.</t>
        </is>
      </c>
    </row>
    <row r="111">
      <c r="A111" s="4" t="inlineStr">
        <is>
          <t>C_physics</t>
        </is>
      </c>
      <c r="B111" s="2" t="inlineStr">
        <is>
          <t>5a. Cooling Model - Local</t>
        </is>
      </c>
      <c r="C111" s="2" t="inlineStr">
        <is>
          <t>B19</t>
        </is>
      </c>
      <c r="D111" s="2" t="inlineStr">
        <is>
          <t>Cloud adjustment multiplier on Twomey forcing (implicit 1.0 in B19)</t>
        </is>
      </c>
      <c r="E111" s="2" t="n">
        <v>1</v>
      </c>
      <c r="F111" s="2" t="inlineStr">
        <is>
          <t>x Twomey</t>
        </is>
      </c>
      <c r="G111" s="2" t="inlineStr">
        <is>
          <t>Twomey: Fsw x Ac x (1-Ac) x (1/3) x ln(Nd ratio); no LWP or cloud-fraction adjustment</t>
        </is>
      </c>
      <c r="H111" s="2" t="inlineStr">
        <is>
          <t>Bellouin et al. 2020</t>
        </is>
      </c>
      <c r="I111" s="2" t="inlineStr">
        <is>
          <t>Bellouin, N., Quaas, J., Gryspeerdt, E., et al. (2020). Bounding Global Aerosol Radiative Forcing of Climate Change. Rev. Geophys., 58, e2019RG000660.</t>
        </is>
      </c>
      <c r="J111" s="2" t="inlineStr">
        <is>
          <t>10.1029/2019RG000660</t>
        </is>
      </c>
      <c r="K111" s="8" t="inlineStr">
        <is>
          <t>https://doi.org/10.1029/2019RG000660</t>
        </is>
      </c>
      <c r="L111" s="2" t="n">
        <v>403</v>
      </c>
      <c r="M111" s="2" t="inlineStr">
        <is>
          <t>Table 4 (16-84%) and Sect. 8, Eq. 24 ranges</t>
        </is>
      </c>
      <c r="N111" s="2" t="inlineStr">
        <is>
          <t>full text</t>
        </is>
      </c>
      <c r="O111" s="2" t="n"/>
      <c r="P111" s="2" t="inlineStr">
        <is>
          <t>point</t>
        </is>
      </c>
      <c r="Q111" s="2" t="n">
        <v>0.1</v>
      </c>
      <c r="R111" s="2" t="n">
        <v>2.04</v>
      </c>
      <c r="S111" s="2" t="inlineStr">
        <is>
          <t>range stated</t>
        </is>
      </c>
      <c r="T111" s="2" t="inlineStr">
        <is>
          <t>Multiple lines of evidence (satellite, modelling, LES)</t>
        </is>
      </c>
      <c r="U111" s="2" t="inlineStr">
        <is>
          <t>beta(lnL-lnNd) -0.36 to -0.011; RAaci(LWP) +0.01 to +0.56 W/m2 vs RFaci -1.10 to -0.33; RAaci(cloud fraction) -1.14 to 0.0</t>
        </is>
      </c>
      <c r="V111" s="7" t="inlineStr">
        <is>
          <t>within</t>
        </is>
      </c>
      <c r="W111" s="2" t="inlineStr">
        <is>
          <t>neutral</t>
        </is>
      </c>
      <c r="X111" s="2" t="inlineStr">
        <is>
          <t>medium</t>
        </is>
      </c>
      <c r="Y111" s="2" t="inlineStr">
        <is>
          <t>Derived: with tau ~ L^(5/6) Nd^(1/3), beta_L -0.36 offsets 90% of Twomey and -0.011 offsets ~3%. Cloud-fraction adjustment can roughly double it: (RFaci -1.10 + RAcf -1.14)/(-1.10) = 2.04. Range 0.10-2.04 is derived from those bounds, not stated by Bellouin. Global anthropogenic-aerosol context, not MCB-specific.</t>
        </is>
      </c>
    </row>
    <row r="112">
      <c r="A112" s="4" t="inlineStr">
        <is>
          <t>C_physics</t>
        </is>
      </c>
      <c r="B112" s="2" t="inlineStr">
        <is>
          <t>5a. Cooling Model - Local</t>
        </is>
      </c>
      <c r="C112" s="2" t="inlineStr">
        <is>
          <t>B19</t>
        </is>
      </c>
      <c r="D112" s="2" t="inlineStr">
        <is>
          <t>Cloud adjustment multiplier on Twomey forcing (implicit 1.0 in B19)</t>
        </is>
      </c>
      <c r="E112" s="2" t="n">
        <v>1</v>
      </c>
      <c r="F112" s="2" t="inlineStr">
        <is>
          <t>x Twomey</t>
        </is>
      </c>
      <c r="G112" s="2" t="inlineStr">
        <is>
          <t>Twomey: Fsw x Ac x (1-Ac) x (1/3) x ln(Nd ratio); no LWP or cloud-fraction adjustment</t>
        </is>
      </c>
      <c r="H112" s="2" t="inlineStr">
        <is>
          <t>Glassmeier et al. 2021</t>
        </is>
      </c>
      <c r="I112" s="2" t="inlineStr">
        <is>
          <t>Glassmeier, F., Hoffmann, F., Johnson, J. S., Yamaguchi, T., Carslaw, K. S., Feingold, G. (2021). Aerosol-cloud-climate cooling overestimated by ship-track data. Science, 371, 485-489.</t>
        </is>
      </c>
      <c r="J112" s="2" t="inlineStr">
        <is>
          <t>10.1126/science.abd3980</t>
        </is>
      </c>
      <c r="K112" s="8" t="inlineStr">
        <is>
          <t>https://doi.org/10.1126/science.abd3980</t>
        </is>
      </c>
      <c r="L112" s="2" t="n">
        <v>403</v>
      </c>
      <c r="M112" s="2" t="inlineStr">
        <is>
          <t>Abstract</t>
        </is>
      </c>
      <c r="N112" s="2" t="inlineStr">
        <is>
          <t>abstract only</t>
        </is>
      </c>
      <c r="O112" s="2" t="n"/>
      <c r="P112" s="2" t="inlineStr">
        <is>
          <t>point</t>
        </is>
      </c>
      <c r="Q112" s="2" t="n"/>
      <c r="R112" s="2" t="n">
        <v>3</v>
      </c>
      <c r="S112" s="2" t="inlineStr">
        <is>
          <t>range stated</t>
        </is>
      </c>
      <c r="T112" s="2" t="inlineStr">
        <is>
          <t>LES vs satellite, non-precipitating stratocumulus</t>
        </is>
      </c>
      <c r="U112" s="2" t="inlineStr">
        <is>
          <t>Ship-track-derived sensitivity overestimates cooling by up to 200% (LWP/cloud-amount decrease offsets)</t>
        </is>
      </c>
      <c r="V112" s="7" t="inlineStr">
        <is>
          <t>within</t>
        </is>
      </c>
      <c r="W112" s="2" t="inlineStr">
        <is>
          <t>neutral</t>
        </is>
      </c>
      <c r="X112" s="2" t="inlineStr">
        <is>
          <t>medium</t>
        </is>
      </c>
      <c r="Y112" s="2" t="inlineStr">
        <is>
          <t>Applies to non-precipitating Sc; implies Twomey-only can overstate forcing in that regime.</t>
        </is>
      </c>
    </row>
    <row r="113">
      <c r="A113" s="4" t="inlineStr">
        <is>
          <t>C_physics</t>
        </is>
      </c>
      <c r="B113" s="2" t="inlineStr">
        <is>
          <t>5a. Cooling Model - Local</t>
        </is>
      </c>
      <c r="C113" s="2" t="inlineStr">
        <is>
          <t>B19</t>
        </is>
      </c>
      <c r="D113" s="2" t="inlineStr">
        <is>
          <t>Cloud adjustment multiplier on Twomey forcing (implicit 1.0 in B19)</t>
        </is>
      </c>
      <c r="E113" s="2" t="n">
        <v>1</v>
      </c>
      <c r="F113" s="2" t="inlineStr">
        <is>
          <t>x Twomey</t>
        </is>
      </c>
      <c r="G113" s="2" t="inlineStr">
        <is>
          <t>Twomey: Fsw x Ac x (1-Ac) x (1/3) x ln(Nd ratio); no LWP or cloud-fraction adjustment</t>
        </is>
      </c>
      <c r="H113" s="2" t="inlineStr">
        <is>
          <t>Diamond et al. 2020</t>
        </is>
      </c>
      <c r="I113" s="2" t="inlineStr">
        <is>
          <t>Diamond, M. S., Director, H. M., Eastman, R., Possner, A., Wood, R. (2020). Substantial Cloud Brightening From Shipping in Subtropical Low Clouds. AGU Advances, 1, e2019AV000111.</t>
        </is>
      </c>
      <c r="J113" s="2" t="inlineStr">
        <is>
          <t>10.1029/2019AV000111</t>
        </is>
      </c>
      <c r="K113" s="8" t="inlineStr">
        <is>
          <t>https://doi.org/10.1029/2019AV000111</t>
        </is>
      </c>
      <c r="L113" s="2" t="n">
        <v>403</v>
      </c>
      <c r="M113" s="2" t="inlineStr">
        <is>
          <t>Abstract</t>
        </is>
      </c>
      <c r="N113" s="2" t="inlineStr">
        <is>
          <t>abstract only</t>
        </is>
      </c>
      <c r="O113" s="2" t="n"/>
      <c r="P113" s="2" t="inlineStr">
        <is>
          <t>point</t>
        </is>
      </c>
      <c r="Q113" s="2" t="n"/>
      <c r="R113" s="2" t="n"/>
      <c r="S113" s="2" t="inlineStr">
        <is>
          <t>range stated</t>
        </is>
      </c>
      <c r="T113" s="2" t="inlineStr">
        <is>
          <t>SE Atlantic shipping corridor, multi-year satellite</t>
        </is>
      </c>
      <c r="U113" s="2" t="inlineStr">
        <is>
          <t>Morning brightening consistent with microphysics alone; afternoon brightening offset by cloud-water decrease; corridor ERF ~-2 W/m2; global low-cloud ERFaci -1.0 (95% CI -1.6 to -0.4)</t>
        </is>
      </c>
      <c r="V113" s="6" t="inlineStr">
        <is>
          <t>no comparable value</t>
        </is>
      </c>
      <c r="W113" s="2" t="inlineStr">
        <is>
          <t>n/a</t>
        </is>
      </c>
      <c r="X113" s="2" t="inlineStr">
        <is>
          <t>medium</t>
        </is>
      </c>
      <c r="Y113" s="2" t="inlineStr">
        <is>
          <t>Qualitative support that LWP adjustment partly offsets Twomey in Sc.</t>
        </is>
      </c>
    </row>
    <row r="114">
      <c r="A114" s="4" t="inlineStr">
        <is>
          <t>C_physics</t>
        </is>
      </c>
      <c r="B114" s="2" t="inlineStr">
        <is>
          <t>5a. Cooling Model - Local</t>
        </is>
      </c>
      <c r="C114" s="2" t="inlineStr">
        <is>
          <t>B19</t>
        </is>
      </c>
      <c r="D114" s="2" t="inlineStr">
        <is>
          <t>Cloud adjustment multiplier on Twomey forcing (implicit 1.0 in B19)</t>
        </is>
      </c>
      <c r="E114" s="2" t="n">
        <v>1</v>
      </c>
      <c r="F114" s="2" t="inlineStr">
        <is>
          <t>x Twomey</t>
        </is>
      </c>
      <c r="G114" s="2" t="inlineStr">
        <is>
          <t>Twomey: Fsw x Ac x (1-Ac) x (1/3) x ln(Nd ratio); no LWP or cloud-fraction adjustment</t>
        </is>
      </c>
      <c r="H114" s="2" t="inlineStr">
        <is>
          <t>Christensen et al. 2022</t>
        </is>
      </c>
      <c r="I114" s="2" t="inlineStr">
        <is>
          <t>Christensen, M. W., Gettelman, A., Cermak, J., et al. (2022). Opportunistic experiments to constrain aerosol effective radiative forcing. Atmos. Chem. Phys., 22, 641-674.</t>
        </is>
      </c>
      <c r="J114" s="2" t="inlineStr">
        <is>
          <t>10.5194/acp-22-641-2022</t>
        </is>
      </c>
      <c r="K114" s="8" t="inlineStr">
        <is>
          <t>https://doi.org/10.5194/acp-22-641-2022</t>
        </is>
      </c>
      <c r="L114" s="2" t="n">
        <v>200</v>
      </c>
      <c r="M114" s="2" t="inlineStr">
        <is>
          <t>Abstract</t>
        </is>
      </c>
      <c r="N114" s="2" t="inlineStr">
        <is>
          <t>abstract only</t>
        </is>
      </c>
      <c r="O114" s="2" t="n"/>
      <c r="P114" s="2" t="inlineStr">
        <is>
          <t>point</t>
        </is>
      </c>
      <c r="Q114" s="2" t="n"/>
      <c r="R114" s="2" t="n"/>
      <c r="S114" s="2" t="inlineStr">
        <is>
          <t>range stated</t>
        </is>
      </c>
      <c r="T114" s="2" t="inlineStr">
        <is>
          <t>Synthesis of opportunistic experiments (volcanoes, ships, industry, fires)</t>
        </is>
      </c>
      <c r="U114" s="2" t="inlineStr">
        <is>
          <t>Strong LWP increases largely ruled out on average; albedo perturbation strongly sensitive to meteorology</t>
        </is>
      </c>
      <c r="V114" s="6" t="inlineStr">
        <is>
          <t>no comparable value</t>
        </is>
      </c>
      <c r="W114" s="2" t="inlineStr">
        <is>
          <t>n/a</t>
        </is>
      </c>
      <c r="X114" s="2" t="inlineStr">
        <is>
          <t>medium</t>
        </is>
      </c>
      <c r="Y114" s="2" t="inlineStr"/>
    </row>
    <row r="115">
      <c r="A115" s="4" t="inlineStr">
        <is>
          <t>C_physics</t>
        </is>
      </c>
      <c r="B115" s="2" t="inlineStr">
        <is>
          <t>5a. Cooling Model - Local</t>
        </is>
      </c>
      <c r="C115" s="2" t="inlineStr">
        <is>
          <t>B19</t>
        </is>
      </c>
      <c r="D115" s="2" t="inlineStr">
        <is>
          <t>Cloud adjustment multiplier on Twomey forcing (implicit 1.0 in B19)</t>
        </is>
      </c>
      <c r="E115" s="2" t="n">
        <v>1</v>
      </c>
      <c r="F115" s="2" t="inlineStr">
        <is>
          <t>x Twomey</t>
        </is>
      </c>
      <c r="G115" s="2" t="inlineStr">
        <is>
          <t>Twomey: Fsw x Ac x (1-Ac) x (1/3) x ln(Nd ratio); no LWP or cloud-fraction adjustment</t>
        </is>
      </c>
      <c r="H115" s="2" t="inlineStr">
        <is>
          <t>Manshausen et al. 2022</t>
        </is>
      </c>
      <c r="I115" s="2" t="inlineStr">
        <is>
          <t>Manshausen, P., Watson-Parris, D., Christensen, M. W., Jalkanen, J.-P., Stier, P. (2022). Invisible ship tracks show large cloud sensitivity to aerosol. Nature, 610, 101-106.</t>
        </is>
      </c>
      <c r="J115" s="2" t="inlineStr">
        <is>
          <t>10.1038/s41586-022-05122-0</t>
        </is>
      </c>
      <c r="K115" s="8" t="inlineStr">
        <is>
          <t>https://doi.org/10.1038/s41586-022-05122-0</t>
        </is>
      </c>
      <c r="L115" s="2" t="n">
        <v>200</v>
      </c>
      <c r="M115" s="2" t="inlineStr">
        <is>
          <t>Abstract</t>
        </is>
      </c>
      <c r="N115" s="2" t="inlineStr">
        <is>
          <t>abstract only</t>
        </is>
      </c>
      <c r="O115" s="2" t="n"/>
      <c r="P115" s="2" t="inlineStr">
        <is>
          <t>point</t>
        </is>
      </c>
      <c r="Q115" s="2" t="n"/>
      <c r="R115" s="2" t="n"/>
      <c r="S115" s="2" t="inlineStr">
        <is>
          <t>range stated</t>
        </is>
      </c>
      <c r="T115" s="2" t="inlineStr">
        <is>
          <t>Global shipping, all clouds incl. trade cumulus Atlantic</t>
        </is>
      </c>
      <c r="U115" s="2" t="inlineStr">
        <is>
          <t>Invisible ship tracks show Nd increase and a MORE POSITIVE LWP response than visible tracks</t>
        </is>
      </c>
      <c r="V115" s="6" t="inlineStr">
        <is>
          <t>no comparable value</t>
        </is>
      </c>
      <c r="W115" s="2" t="inlineStr">
        <is>
          <t>n/a</t>
        </is>
      </c>
      <c r="X115" s="2" t="inlineStr">
        <is>
          <t>medium</t>
        </is>
      </c>
      <c r="Y115" s="2" t="inlineStr">
        <is>
          <t>Points the other way to Glassmeier: in trade cumulus, adjustments may add to Twomey.</t>
        </is>
      </c>
    </row>
    <row r="116">
      <c r="A116" s="4" t="inlineStr">
        <is>
          <t>C_physics</t>
        </is>
      </c>
      <c r="B116" s="2" t="inlineStr">
        <is>
          <t>5a. Cooling Model - Local</t>
        </is>
      </c>
      <c r="C116" s="2" t="inlineStr">
        <is>
          <t>B19</t>
        </is>
      </c>
      <c r="D116" s="2" t="inlineStr">
        <is>
          <t>Cloud adjustment multiplier on Twomey forcing (implicit 1.0 in B19)</t>
        </is>
      </c>
      <c r="E116" s="2" t="n">
        <v>1</v>
      </c>
      <c r="F116" s="2" t="inlineStr">
        <is>
          <t>x Twomey</t>
        </is>
      </c>
      <c r="G116" s="2" t="inlineStr">
        <is>
          <t>Twomey: Fsw x Ac x (1-Ac) x (1/3) x ln(Nd ratio); no LWP or cloud-fraction adjustment</t>
        </is>
      </c>
      <c r="H116" s="2" t="inlineStr">
        <is>
          <t>Zhao et al. 2026 (EGUsphere preprint)</t>
        </is>
      </c>
      <c r="I116" s="2" t="inlineStr">
        <is>
          <t>Zhao, W., Huang, Y., Siems, S., Harrison, D. (2026). Sensitivity of Marine Cloud Brightening over the Great Barrier Reef to Spatial Variability in Aerosol Forcing: A Case Study using convection-permitting model. EGUsphere preprint.</t>
        </is>
      </c>
      <c r="J116" s="2" t="inlineStr">
        <is>
          <t>10.5194/egusphere-2026-1251</t>
        </is>
      </c>
      <c r="K116" s="8" t="inlineStr">
        <is>
          <t>https://doi.org/10.5194/egusphere-2026-1251</t>
        </is>
      </c>
      <c r="L116" s="2" t="n">
        <v>200</v>
      </c>
      <c r="M116" s="2" t="inlineStr">
        <is>
          <t>Sect. 3, lines 285-303</t>
        </is>
      </c>
      <c r="N116" s="2" t="inlineStr">
        <is>
          <t>full text</t>
        </is>
      </c>
      <c r="O116" s="2" t="n">
        <v>1</v>
      </c>
      <c r="P116" s="2" t="inlineStr">
        <is>
          <t>point</t>
        </is>
      </c>
      <c r="Q116" s="2" t="n"/>
      <c r="R116" s="2" t="n"/>
      <c r="S116" s="2" t="inlineStr">
        <is>
          <t>range stated</t>
        </is>
      </c>
      <c r="T116" s="2" t="inlineStr">
        <is>
          <t>WRF case study, GBR Cairns, 24 h</t>
        </is>
      </c>
      <c r="U116" s="2" t="inlineStr">
        <is>
          <t>CWP +1.4% to +7.2%; cloud fraction change &lt;2%; "dominant Twomey effect"</t>
        </is>
      </c>
      <c r="V116" s="7" t="inlineStr">
        <is>
          <t>within</t>
        </is>
      </c>
      <c r="W116" s="2" t="inlineStr">
        <is>
          <t>neutral</t>
        </is>
      </c>
      <c r="X116" s="2" t="inlineStr">
        <is>
          <t>medium</t>
        </is>
      </c>
      <c r="Y116" s="2" t="inlineStr">
        <is>
          <t>GBR-specific support for a Twomey-only treatment in non-precipitating trade cumulus.</t>
        </is>
      </c>
    </row>
    <row r="117">
      <c r="A117" s="4" t="inlineStr">
        <is>
          <t>C_physics</t>
        </is>
      </c>
      <c r="B117" s="2" t="inlineStr">
        <is>
          <t>5a. Cooling Model - Local</t>
        </is>
      </c>
      <c r="C117" s="2" t="inlineStr">
        <is>
          <t>B19</t>
        </is>
      </c>
      <c r="D117" s="2" t="inlineStr">
        <is>
          <t>Cloud adjustment multiplier on Twomey forcing (implicit 1.0 in B19)</t>
        </is>
      </c>
      <c r="E117" s="2" t="n">
        <v>1</v>
      </c>
      <c r="F117" s="2" t="inlineStr">
        <is>
          <t>x Twomey</t>
        </is>
      </c>
      <c r="G117" s="2" t="inlineStr">
        <is>
          <t>Twomey: Fsw x Ac x (1-Ac) x (1/3) x ln(Nd ratio); no LWP or cloud-fraction adjustment</t>
        </is>
      </c>
      <c r="H117" s="2" t="inlineStr">
        <is>
          <t>Hirasawa et al. 2026 (EGUsphere preprint)</t>
        </is>
      </c>
      <c r="I117" s="2" t="inlineStr">
        <is>
          <t>Hirasawa, H., von Salzen, K., Henry, M., Smith, J., Bender, F. A.-M., Wang, C., Doherty, S., Wood, R., Rasch, P. J., Haywood, J. (2026). On the Range of Marine Cloud Brightening Radiative Forcing across Earth System Models. EGUsphere preprint, discussion started 21 Sep 2026.</t>
        </is>
      </c>
      <c r="J117" s="2" t="inlineStr">
        <is>
          <t>10.5194/egusphere-2026-5460</t>
        </is>
      </c>
      <c r="K117" s="8" t="inlineStr">
        <is>
          <t>https://doi.org/10.5194/egusphere-2026-5460</t>
        </is>
      </c>
      <c r="L117" s="2" t="n">
        <v>200</v>
      </c>
      <c r="M117" s="2" t="inlineStr">
        <is>
          <t>Sect. 5/6 discussion, lines ~465-473</t>
        </is>
      </c>
      <c r="N117" s="2" t="inlineStr">
        <is>
          <t>full text</t>
        </is>
      </c>
      <c r="O117" s="2" t="n"/>
      <c r="P117" s="2" t="inlineStr">
        <is>
          <t>point</t>
        </is>
      </c>
      <c r="Q117" s="2" t="n">
        <v>1</v>
      </c>
      <c r="R117" s="2" t="n">
        <v>2</v>
      </c>
      <c r="S117" s="2" t="inlineStr">
        <is>
          <t>model spread</t>
        </is>
      </c>
      <c r="T117" s="2" t="inlineStr">
        <is>
          <t>10 ESM configurations</t>
        </is>
      </c>
      <c r="U117" s="2" t="inlineStr">
        <is>
          <t>Cloud adjustments create ~2x difference in ERFaci (E3SMv2/CanAM5-PAM vs CESM2/CanAM5-PAM-Adj); ESMs may overestimate adjustment enhancement vs observations</t>
        </is>
      </c>
      <c r="V117" s="7" t="inlineStr">
        <is>
          <t>within</t>
        </is>
      </c>
      <c r="W117" s="2" t="inlineStr">
        <is>
          <t>neutral</t>
        </is>
      </c>
      <c r="X117" s="2" t="inlineStr">
        <is>
          <t>medium</t>
        </is>
      </c>
      <c r="Y117" s="2" t="inlineStr"/>
    </row>
    <row r="118">
      <c r="A118" s="4" t="inlineStr">
        <is>
          <t>C_physics</t>
        </is>
      </c>
      <c r="B118" s="2" t="inlineStr">
        <is>
          <t>5a. Cooling Model - Local</t>
        </is>
      </c>
      <c r="C118" s="2" t="inlineStr">
        <is>
          <t>B20</t>
        </is>
      </c>
      <c r="D118" s="2" t="inlineStr">
        <is>
          <t>Daytime averaging factor</t>
        </is>
      </c>
      <c r="E118" s="2" t="n">
        <v>0.4</v>
      </c>
      <c r="F118" s="2" t="inlineStr">
        <is>
          <t>fraction</t>
        </is>
      </c>
      <c r="G118" s="2" t="inlineStr">
        <is>
          <t>Assumption (daytime-averaging factor ~0.4)</t>
        </is>
      </c>
      <c r="H118" s="2" t="inlineStr">
        <is>
          <t>NASA POWER 2026 (CERES SYN1deg climatology 2001-2025)</t>
        </is>
      </c>
      <c r="I118" s="2" t="inlineStr">
        <is>
          <t>NASA Langley Research Center POWER Project, Climatology API v2.10.1, parameters TOA_SW_DWN, CLRSKY_SFC_SW_DWN, ALLSKY_SFC_SW_DWN (source SYN1DEG, Jan 2001-Dec 2025), queried 2026-10-26 at 16.5S 146.5E, 19.0S 148.0E, 23.0S 152.0E.</t>
        </is>
      </c>
      <c r="J118" s="2" t="inlineStr"/>
      <c r="K118" s="8" t="inlineStr">
        <is>
          <t>https://power.larc.nasa.gov/api/temporal/climatology/point?parameters=TOA_SW_DWN,ALLSKY_SFC_SW_DWN,CLRSKY_SFC_SW_DWN&amp;community=RE&amp;longitude=146.5&amp;latitude=-16.5&amp;format=JSON</t>
        </is>
      </c>
      <c r="L118" s="2" t="n">
        <v>200</v>
      </c>
      <c r="M118" s="2" t="inlineStr">
        <is>
          <t>TOA_SW_DWN DJF (see B16)</t>
        </is>
      </c>
      <c r="N118" s="2" t="inlineStr">
        <is>
          <t>full text</t>
        </is>
      </c>
      <c r="O118" s="2" t="n">
        <v>1</v>
      </c>
      <c r="P118" s="2" t="inlineStr">
        <is>
          <t>point</t>
        </is>
      </c>
      <c r="Q118" s="2" t="n">
        <v>0.52</v>
      </c>
      <c r="R118" s="2" t="n">
        <v>1</v>
      </c>
      <c r="S118" s="2" t="inlineStr">
        <is>
          <t>range stated</t>
        </is>
      </c>
      <c r="T118" s="2" t="inlineStr">
        <is>
          <t>Derived from NASA POWER + solar geometry</t>
        </is>
      </c>
      <c r="U118" s="2" t="inlineStr">
        <is>
          <t>If B16 is a 24-h mean (it is: 475 = DJF 24-h TOA mean), the correct extra factor is 1.0. If B16 were a true daytime mean (~850), the factor would be ~0.52-0.56</t>
        </is>
      </c>
      <c r="V118" s="5" t="inlineStr">
        <is>
          <t>below range</t>
        </is>
      </c>
      <c r="W118" s="2" t="inlineStr">
        <is>
          <t>no</t>
        </is>
      </c>
      <c r="X118" s="2" t="inlineStr">
        <is>
          <t>high</t>
        </is>
      </c>
      <c r="Y118" s="2" t="inlineStr">
        <is>
          <t>Derived: 475/850 = 0.56; daylight fraction Dec-Apr 14-22S = 0.52. Either way 0.4 is below. Combined effect of B16*B20: workbook 190 W/m2 vs ~380 (24-h cloud-top) -&gt; local forcing understated ~2x.</t>
        </is>
      </c>
    </row>
    <row r="119">
      <c r="A119" s="4" t="inlineStr">
        <is>
          <t>C_physics</t>
        </is>
      </c>
      <c r="B119" s="2" t="inlineStr">
        <is>
          <t>5a. Cooling Model - Local</t>
        </is>
      </c>
      <c r="C119" s="2" t="inlineStr">
        <is>
          <t>B20</t>
        </is>
      </c>
      <c r="D119" s="2" t="inlineStr">
        <is>
          <t>Daytime averaging factor</t>
        </is>
      </c>
      <c r="E119" s="2" t="n">
        <v>0.4</v>
      </c>
      <c r="F119" s="2" t="inlineStr">
        <is>
          <t>fraction</t>
        </is>
      </c>
      <c r="G119" s="2" t="inlineStr">
        <is>
          <t>Assumption (daytime-averaging factor ~0.4)</t>
        </is>
      </c>
      <c r="H119" s="2" t="inlineStr">
        <is>
          <t>Wood 2021</t>
        </is>
      </c>
      <c r="I119" s="2" t="inlineStr">
        <is>
          <t>Wood, R. (2021). Assessing the potential efficacy of marine cloud brightening for cooling Earth using a simple heuristic model. Atmos. Chem. Phys., 21, 14507-14533.</t>
        </is>
      </c>
      <c r="J119" s="2" t="inlineStr">
        <is>
          <t>10.5194/acp-21-14507-2021</t>
        </is>
      </c>
      <c r="K119" s="8" t="inlineStr">
        <is>
          <t>https://doi.org/10.5194/acp-21-14507-2021</t>
        </is>
      </c>
      <c r="L119" s="2" t="n">
        <v>200</v>
      </c>
      <c r="M119" s="2" t="inlineStr">
        <is>
          <t>Sect. 2.1 (F averaged over day and night)</t>
        </is>
      </c>
      <c r="N119" s="2" t="inlineStr">
        <is>
          <t>full text</t>
        </is>
      </c>
      <c r="O119" s="2" t="n">
        <v>1</v>
      </c>
      <c r="P119" s="2" t="inlineStr">
        <is>
          <t>point</t>
        </is>
      </c>
      <c r="Q119" s="2" t="n"/>
      <c r="R119" s="2" t="n"/>
      <c r="S119" s="2" t="inlineStr">
        <is>
          <t>range stated</t>
        </is>
      </c>
      <c r="T119" s="2" t="inlineStr">
        <is>
          <t>Method convention</t>
        </is>
      </c>
      <c r="U119" s="2" t="inlineStr">
        <is>
          <t>Uses day+night-mean irradiance directly, no separate diurnal factor</t>
        </is>
      </c>
      <c r="V119" s="5" t="inlineStr">
        <is>
          <t>below range</t>
        </is>
      </c>
      <c r="W119" s="2" t="inlineStr">
        <is>
          <t>no</t>
        </is>
      </c>
      <c r="X119" s="2" t="inlineStr">
        <is>
          <t>high</t>
        </is>
      </c>
      <c r="Y119" s="2" t="inlineStr"/>
    </row>
    <row r="120">
      <c r="A120" s="4" t="inlineStr">
        <is>
          <t>C_physics</t>
        </is>
      </c>
      <c r="B120" s="2" t="inlineStr">
        <is>
          <t>5a. Cooling Model - Local</t>
        </is>
      </c>
      <c r="C120" s="2" t="inlineStr">
        <is>
          <t>B21</t>
        </is>
      </c>
      <c r="D120" s="2" t="inlineStr">
        <is>
          <t>Cloud availability (susceptible low cloud)</t>
        </is>
      </c>
      <c r="E120" s="2" t="n">
        <v>0.2</v>
      </c>
      <c r="F120" s="2" t="inlineStr">
        <is>
          <t>fraction</t>
        </is>
      </c>
      <c r="G120" s="2" t="inlineStr">
        <is>
          <t>CS-01 2025 p.11: susceptible low cloud in summer '20% at the north and increases to 55% at the south'</t>
        </is>
      </c>
      <c r="H120" s="2" t="inlineStr">
        <is>
          <t>Harrison et al. 2025 (RRAP CS-01)</t>
        </is>
      </c>
      <c r="I120" s="2" t="inlineStr">
        <is>
          <t>Harrison, D., Ristovski, Z., Ryan, R., et al. (2025). Reef Restoration and Adaptation Program - GBR Atmospheric Survey (CS-01) Final Report 2025.</t>
        </is>
      </c>
      <c r="J120" s="2" t="inlineStr"/>
      <c r="K120" s="8" t="inlineStr">
        <is>
          <t>https://gbrrestoration.org/wp-content/uploads/2026/06/RRAP-CS-01_FINAL-REPORT-2025.pdf</t>
        </is>
      </c>
      <c r="L120" s="2" t="n">
        <v>200</v>
      </c>
      <c r="M120" s="2" t="inlineStr">
        <is>
          <t>p.11</t>
        </is>
      </c>
      <c r="N120" s="2" t="inlineStr">
        <is>
          <t>full text</t>
        </is>
      </c>
      <c r="O120" s="2" t="n"/>
      <c r="P120" s="2" t="inlineStr">
        <is>
          <t>point</t>
        </is>
      </c>
      <c r="Q120" s="2" t="n">
        <v>0.2</v>
      </c>
      <c r="R120" s="2" t="n">
        <v>0.55</v>
      </c>
      <c r="S120" s="2" t="inlineStr">
        <is>
          <t>range stated</t>
        </is>
      </c>
      <c r="T120" s="2" t="inlineStr">
        <is>
          <t>MODIS 2003-2020, summer, GBR</t>
        </is>
      </c>
      <c r="U120" s="2" t="inlineStr">
        <is>
          <t>North-south gradient 20% -&gt; 55%</t>
        </is>
      </c>
      <c r="V120" s="7" t="inlineStr">
        <is>
          <t>within</t>
        </is>
      </c>
      <c r="W120" s="2" t="inlineStr">
        <is>
          <t>no</t>
        </is>
      </c>
      <c r="X120" s="2" t="inlineStr">
        <is>
          <t>high</t>
        </is>
      </c>
      <c r="Y120" s="2" t="inlineStr">
        <is>
          <t>Workbook takes the northern (lowest) end. Metric is occurrence of susceptible low cloud, not cloud fraction within a scene.</t>
        </is>
      </c>
    </row>
    <row r="121">
      <c r="A121" s="4" t="inlineStr">
        <is>
          <t>C_physics</t>
        </is>
      </c>
      <c r="B121" s="2" t="inlineStr">
        <is>
          <t>5a. Cooling Model - Local</t>
        </is>
      </c>
      <c r="C121" s="2" t="inlineStr">
        <is>
          <t>B21</t>
        </is>
      </c>
      <c r="D121" s="2" t="inlineStr">
        <is>
          <t>Cloud availability (susceptible low cloud)</t>
        </is>
      </c>
      <c r="E121" s="2" t="n">
        <v>0.2</v>
      </c>
      <c r="F121" s="2" t="inlineStr">
        <is>
          <t>fraction</t>
        </is>
      </c>
      <c r="G121" s="2" t="inlineStr">
        <is>
          <t>CS-01 2025 p.11: susceptible low cloud in summer '20% at the north and increases to 55% at the south'</t>
        </is>
      </c>
      <c r="H121" s="2" t="inlineStr">
        <is>
          <t>Zhao et al. 2026 (EGUsphere preprint)</t>
        </is>
      </c>
      <c r="I121" s="2" t="inlineStr">
        <is>
          <t>Zhao, W., Huang, Y., Siems, S., Harrison, D. (2026). Sensitivity of Marine Cloud Brightening over the Great Barrier Reef to Spatial Variability in Aerosol Forcing: A Case Study using convection-permitting model. EGUsphere preprint.</t>
        </is>
      </c>
      <c r="J121" s="2" t="inlineStr">
        <is>
          <t>10.5194/egusphere-2026-1251</t>
        </is>
      </c>
      <c r="K121" s="8" t="inlineStr">
        <is>
          <t>https://doi.org/10.5194/egusphere-2026-1251</t>
        </is>
      </c>
      <c r="L121" s="2" t="n">
        <v>200</v>
      </c>
      <c r="M121" s="2" t="inlineStr">
        <is>
          <t>Sect. 3, lines 295-299</t>
        </is>
      </c>
      <c r="N121" s="2" t="inlineStr">
        <is>
          <t>full text</t>
        </is>
      </c>
      <c r="O121" s="2" t="n">
        <v>0.07000000000000001</v>
      </c>
      <c r="P121" s="2" t="inlineStr">
        <is>
          <t>point</t>
        </is>
      </c>
      <c r="Q121" s="2" t="n"/>
      <c r="R121" s="2" t="n"/>
      <c r="S121" s="2" t="inlineStr">
        <is>
          <t>range stated</t>
        </is>
      </c>
      <c r="T121" s="2" t="inlineStr">
        <is>
          <t>WRF case study, Cairns region, 24 h</t>
        </is>
      </c>
      <c r="U121" s="2" t="inlineStr">
        <is>
          <t>Domain-averaged cloud fraction ~7%, change &lt;2% with seeding</t>
        </is>
      </c>
      <c r="V121" s="5" t="inlineStr">
        <is>
          <t>above range</t>
        </is>
      </c>
      <c r="W121" s="2" t="inlineStr">
        <is>
          <t>yes</t>
        </is>
      </c>
      <c r="X121" s="2" t="inlineStr">
        <is>
          <t>low</t>
        </is>
      </c>
      <c r="Y121" s="2" t="inlineStr">
        <is>
          <t>Single case-day; binary grid cloud fraction. Shows that on a given trade-cumulus day the covered area can be far below 0.2.</t>
        </is>
      </c>
    </row>
    <row r="122">
      <c r="A122" s="4" t="inlineStr">
        <is>
          <t>C_physics</t>
        </is>
      </c>
      <c r="B122" s="2" t="inlineStr">
        <is>
          <t>5a. Cooling Model - Local</t>
        </is>
      </c>
      <c r="C122" s="2" t="inlineStr">
        <is>
          <t>B21</t>
        </is>
      </c>
      <c r="D122" s="2" t="inlineStr">
        <is>
          <t>Cloud availability (susceptible low cloud)</t>
        </is>
      </c>
      <c r="E122" s="2" t="n">
        <v>0.2</v>
      </c>
      <c r="F122" s="2" t="inlineStr">
        <is>
          <t>fraction</t>
        </is>
      </c>
      <c r="G122" s="2" t="inlineStr">
        <is>
          <t>CS-01 2025 p.11: susceptible low cloud in summer '20% at the north and increases to 55% at the south'</t>
        </is>
      </c>
      <c r="H122" s="2" t="inlineStr">
        <is>
          <t>Wood 2021</t>
        </is>
      </c>
      <c r="I122" s="2" t="inlineStr">
        <is>
          <t>Wood, R. (2021). Assessing the potential efficacy of marine cloud brightening for cooling Earth using a simple heuristic model. Atmos. Chem. Phys., 21, 14507-14533.</t>
        </is>
      </c>
      <c r="J122" s="2" t="inlineStr">
        <is>
          <t>10.5194/acp-21-14507-2021</t>
        </is>
      </c>
      <c r="K122" s="8" t="inlineStr">
        <is>
          <t>https://doi.org/10.5194/acp-21-14507-2021</t>
        </is>
      </c>
      <c r="L122" s="2" t="n">
        <v>200</v>
      </c>
      <c r="M122" s="2" t="inlineStr">
        <is>
          <t>Sect. 2.2, Eq. 4; Table 1 (f_low)</t>
        </is>
      </c>
      <c r="N122" s="2" t="inlineStr">
        <is>
          <t>full text</t>
        </is>
      </c>
      <c r="O122" s="2" t="n">
        <v>0.33</v>
      </c>
      <c r="P122" s="2" t="inlineStr">
        <is>
          <t>point</t>
        </is>
      </c>
      <c r="Q122" s="2" t="n">
        <v>0.33</v>
      </c>
      <c r="R122" s="2" t="n">
        <v>0.68</v>
      </c>
      <c r="S122" s="2" t="inlineStr">
        <is>
          <t>range stated</t>
        </is>
      </c>
      <c r="T122" s="2" t="inlineStr">
        <is>
          <t>MODIS Terra/Aqua 2006-2010 liquid cloud fraction, 10x10 deg boxes</t>
        </is>
      </c>
      <c r="U122" s="2" t="inlineStr">
        <is>
          <t>f_low 0.33 (all eligible ocean) to 0.68 (cloudiest boxes)</t>
        </is>
      </c>
      <c r="V122" s="5" t="inlineStr">
        <is>
          <t>below range</t>
        </is>
      </c>
      <c r="W122" s="2" t="inlineStr">
        <is>
          <t>no</t>
        </is>
      </c>
      <c r="X122" s="2" t="inlineStr">
        <is>
          <t>medium</t>
        </is>
      </c>
      <c r="Y122" s="2" t="inlineStr">
        <is>
          <t>Global ocean, not GBR.</t>
        </is>
      </c>
    </row>
    <row r="123">
      <c r="A123" s="4" t="inlineStr">
        <is>
          <t>C_physics</t>
        </is>
      </c>
      <c r="B123" s="2" t="inlineStr">
        <is>
          <t>5a. Cooling Model - Local</t>
        </is>
      </c>
      <c r="C123" s="2" t="inlineStr">
        <is>
          <t>B21</t>
        </is>
      </c>
      <c r="D123" s="2" t="inlineStr">
        <is>
          <t>Cloud availability (susceptible low cloud)</t>
        </is>
      </c>
      <c r="E123" s="2" t="n">
        <v>0.2</v>
      </c>
      <c r="F123" s="2" t="inlineStr">
        <is>
          <t>fraction</t>
        </is>
      </c>
      <c r="G123" s="2" t="inlineStr">
        <is>
          <t>CS-01 2025 p.11: susceptible low cloud in summer '20% at the north and increases to 55% at the south'</t>
        </is>
      </c>
      <c r="H123" s="2" t="inlineStr">
        <is>
          <t>Harrison et al. 2019 (RRAP T14)</t>
        </is>
      </c>
      <c r="I123" s="2" t="inlineStr">
        <is>
          <t>Harrison, D. P., Baird, M., Harrison, L., Utembe, S., Schofield, R., Escobar Correa, R., Mongin, M., Rizwi, F. (2019). Environmental Modelling of Large Scale Solar Radiation Management. RRAP T14 Final Report.</t>
        </is>
      </c>
      <c r="J123" s="2" t="inlineStr"/>
      <c r="K123" s="8" t="inlineStr">
        <is>
          <t>https://gbrrestoration.org/wp-content/uploads/2020/09/T14-Environmental-Modelling-of-Large-Scale-SRM_v3.03-3.pdf</t>
        </is>
      </c>
      <c r="L123" s="2" t="n">
        <v>200</v>
      </c>
      <c r="M123" s="2" t="inlineStr">
        <is>
          <t>Sect. 2-3, Fig. 5; p.2</t>
        </is>
      </c>
      <c r="N123" s="2" t="inlineStr">
        <is>
          <t>full text</t>
        </is>
      </c>
      <c r="O123" s="2" t="n"/>
      <c r="P123" s="2" t="inlineStr">
        <is>
          <t>point</t>
        </is>
      </c>
      <c r="Q123" s="2" t="n"/>
      <c r="R123" s="2" t="n"/>
      <c r="S123" s="2" t="inlineStr">
        <is>
          <t>range stated</t>
        </is>
      </c>
      <c r="T123" s="2" t="inlineStr">
        <is>
          <t>ACCESS-R monthly low-cloud fraction, summers 2015/16 and 2016/17</t>
        </is>
      </c>
      <c r="U123" s="2" t="inlineStr">
        <is>
          <t>Low cloud higher in 2016/17 than 2015/16; increases through the day (min morning, max afternoon)</t>
        </is>
      </c>
      <c r="V123" s="6" t="inlineStr">
        <is>
          <t>no comparable value</t>
        </is>
      </c>
      <c r="W123" s="2" t="inlineStr">
        <is>
          <t>n/a</t>
        </is>
      </c>
      <c r="X123" s="2" t="inlineStr">
        <is>
          <t>medium</t>
        </is>
      </c>
      <c r="Y123" s="2" t="inlineStr">
        <is>
          <t>Values are in figures only. Diurnal cycle of low cloud (afternoon max) interacts with the diurnal factor.</t>
        </is>
      </c>
    </row>
    <row r="124">
      <c r="A124" s="4" t="inlineStr">
        <is>
          <t>C_physics</t>
        </is>
      </c>
      <c r="B124" s="2" t="inlineStr">
        <is>
          <t>5a. Cooling Model - Local</t>
        </is>
      </c>
      <c r="C124" s="2" t="inlineStr">
        <is>
          <t>B22</t>
        </is>
      </c>
      <c r="D124" s="2" t="inlineStr">
        <is>
          <t>Realization factor (B20 x B21)</t>
        </is>
      </c>
      <c r="E124" s="2" t="n">
        <v>0.08</v>
      </c>
      <c r="F124" s="2" t="inlineStr">
        <is>
          <t>fraction</t>
        </is>
      </c>
      <c r="G124" s="2" t="inlineStr">
        <is>
          <t>Daytime averaging x cloud availability</t>
        </is>
      </c>
      <c r="H124" s="2" t="inlineStr">
        <is>
          <t>NASA POWER 2026 (CERES SYN1deg climatology 2001-2025)</t>
        </is>
      </c>
      <c r="I124" s="2" t="inlineStr">
        <is>
          <t>NASA Langley Research Center POWER Project, Climatology API v2.10.1, parameters TOA_SW_DWN, CLRSKY_SFC_SW_DWN, ALLSKY_SFC_SW_DWN (source SYN1DEG, Jan 2001-Dec 2025), queried 2026-10-26 at 16.5S 146.5E, 19.0S 148.0E, 23.0S 152.0E.</t>
        </is>
      </c>
      <c r="J124" s="2" t="inlineStr"/>
      <c r="K124" s="8" t="inlineStr">
        <is>
          <t>https://power.larc.nasa.gov/api/temporal/climatology/point?parameters=TOA_SW_DWN,ALLSKY_SFC_SW_DWN,CLRSKY_SFC_SW_DWN&amp;community=RE&amp;longitude=146.5&amp;latitude=-16.5&amp;format=JSON</t>
        </is>
      </c>
      <c r="L124" s="2" t="n">
        <v>200</v>
      </c>
      <c r="M124" s="2" t="inlineStr">
        <is>
          <t>derived from B16/B20/B21 rows</t>
        </is>
      </c>
      <c r="N124" s="2" t="inlineStr">
        <is>
          <t>full text</t>
        </is>
      </c>
      <c r="O124" s="2" t="n">
        <v>0.2</v>
      </c>
      <c r="P124" s="2" t="inlineStr">
        <is>
          <t>point</t>
        </is>
      </c>
      <c r="Q124" s="2" t="n">
        <v>0.104</v>
      </c>
      <c r="R124" s="2" t="n">
        <v>0.55</v>
      </c>
      <c r="S124" s="2" t="inlineStr">
        <is>
          <t>range stated</t>
        </is>
      </c>
      <c r="T124" s="2" t="inlineStr">
        <is>
          <t>Derived</t>
        </is>
      </c>
      <c r="U124" s="2" t="inlineStr">
        <is>
          <t>Correct product: diurnal 1.0 (B16 already 24-h mean) x availability 0.2-0.55 (CS-01)</t>
        </is>
      </c>
      <c r="V124" s="5" t="inlineStr">
        <is>
          <t>below range</t>
        </is>
      </c>
      <c r="W124" s="2" t="inlineStr">
        <is>
          <t>no</t>
        </is>
      </c>
      <c r="X124" s="2" t="inlineStr">
        <is>
          <t>medium</t>
        </is>
      </c>
      <c r="Y124" s="2" t="inlineStr">
        <is>
          <t>Derived: 1.0 x 0.2 = 0.20 (central at workbook availability); low 0.52 x 0.2 = 0.104 if B16 were reinterpreted as daytime; high 1.0 x 0.55. Workbook 0.08 understates local forcing 2.5x vs 0.20.</t>
        </is>
      </c>
    </row>
    <row r="125">
      <c r="A125" s="4" t="inlineStr">
        <is>
          <t>C_physics</t>
        </is>
      </c>
      <c r="B125" s="2" t="inlineStr">
        <is>
          <t>5a. Cooling Model - Local</t>
        </is>
      </c>
      <c r="C125" s="2" t="inlineStr">
        <is>
          <t>B24</t>
        </is>
      </c>
      <c r="D125" s="2" t="inlineStr">
        <is>
          <t>Aerosol lifetime</t>
        </is>
      </c>
      <c r="E125" s="2" t="n">
        <v>3</v>
      </c>
      <c r="F125" s="2" t="inlineStr">
        <is>
          <t>days</t>
        </is>
      </c>
      <c r="G125" s="2" t="inlineStr">
        <is>
          <t>Assumption (boundary-layer residence; uncertain)</t>
        </is>
      </c>
      <c r="H125" s="2" t="inlineStr">
        <is>
          <t>Hirasawa et al. 2026 (EGUsphere preprint)</t>
        </is>
      </c>
      <c r="I125" s="2" t="inlineStr">
        <is>
          <t>Hirasawa, H., von Salzen, K., Henry, M., Smith, J., Bender, F. A.-M., Wang, C., Doherty, S., Wood, R., Rasch, P. J., Haywood, J. (2026). On the Range of Marine Cloud Brightening Radiative Forcing across Earth System Models. EGUsphere preprint, discussion started 21 Sep 2026.</t>
        </is>
      </c>
      <c r="J125" s="2" t="inlineStr">
        <is>
          <t>10.5194/egusphere-2026-5460</t>
        </is>
      </c>
      <c r="K125" s="8" t="inlineStr">
        <is>
          <t>https://doi.org/10.5194/egusphere-2026-5460</t>
        </is>
      </c>
      <c r="L125" s="2" t="n">
        <v>200</v>
      </c>
      <c r="M125" s="2" t="inlineStr">
        <is>
          <t>Sect. 5, lines ~416-417; Fig. 7</t>
        </is>
      </c>
      <c r="N125" s="2" t="inlineStr">
        <is>
          <t>full text</t>
        </is>
      </c>
      <c r="O125" s="2" t="n">
        <v>3.5</v>
      </c>
      <c r="P125" s="2" t="inlineStr">
        <is>
          <t>point</t>
        </is>
      </c>
      <c r="Q125" s="2" t="n">
        <v>2.5</v>
      </c>
      <c r="R125" s="2" t="n">
        <v>7</v>
      </c>
      <c r="S125" s="2" t="inlineStr">
        <is>
          <t>model spread</t>
        </is>
      </c>
      <c r="T125" s="2" t="inlineStr">
        <is>
          <t>7 ESMs with lifetime estimate</t>
        </is>
      </c>
      <c r="U125" s="2" t="inlineStr">
        <is>
          <t>~2.5-4.5 d in six models; ~7 d in CanAM5-PAM-Adj (outlier, precipitation suppression); Ghosh variants shorter</t>
        </is>
      </c>
      <c r="V125" s="7" t="inlineStr">
        <is>
          <t>within</t>
        </is>
      </c>
      <c r="W125" s="2" t="inlineStr">
        <is>
          <t>neutral</t>
        </is>
      </c>
      <c r="X125" s="2" t="inlineStr">
        <is>
          <t>high</t>
        </is>
      </c>
      <c r="Y125" s="2" t="inlineStr">
        <is>
          <t>Central is midpoint of 2.5-4.5 (derived). Mass lifetime of accumulation-mode iSSA from burden-vs-flux regression.</t>
        </is>
      </c>
    </row>
    <row r="126">
      <c r="A126" s="4" t="inlineStr">
        <is>
          <t>C_physics</t>
        </is>
      </c>
      <c r="B126" s="2" t="inlineStr">
        <is>
          <t>5a. Cooling Model - Local</t>
        </is>
      </c>
      <c r="C126" s="2" t="inlineStr">
        <is>
          <t>B24</t>
        </is>
      </c>
      <c r="D126" s="2" t="inlineStr">
        <is>
          <t>Aerosol lifetime</t>
        </is>
      </c>
      <c r="E126" s="2" t="n">
        <v>3</v>
      </c>
      <c r="F126" s="2" t="inlineStr">
        <is>
          <t>days</t>
        </is>
      </c>
      <c r="G126" s="2" t="inlineStr">
        <is>
          <t>Assumption (boundary-layer residence; uncertain)</t>
        </is>
      </c>
      <c r="H126" s="2" t="inlineStr">
        <is>
          <t>Wood 2021</t>
        </is>
      </c>
      <c r="I126" s="2" t="inlineStr">
        <is>
          <t>Wood, R. (2021). Assessing the potential efficacy of marine cloud brightening for cooling Earth using a simple heuristic model. Atmos. Chem. Phys., 21, 14507-14533.</t>
        </is>
      </c>
      <c r="J126" s="2" t="inlineStr">
        <is>
          <t>10.5194/acp-21-14507-2021</t>
        </is>
      </c>
      <c r="K126" s="8" t="inlineStr">
        <is>
          <t>https://doi.org/10.5194/acp-21-14507-2021</t>
        </is>
      </c>
      <c r="L126" s="2" t="n">
        <v>200</v>
      </c>
      <c r="M126" s="2" t="inlineStr">
        <is>
          <t>Table 1 (tau_res)</t>
        </is>
      </c>
      <c r="N126" s="2" t="inlineStr">
        <is>
          <t>full text</t>
        </is>
      </c>
      <c r="O126" s="2" t="n">
        <v>2</v>
      </c>
      <c r="P126" s="2" t="inlineStr">
        <is>
          <t>point</t>
        </is>
      </c>
      <c r="Q126" s="2" t="n"/>
      <c r="R126" s="2" t="n"/>
      <c r="S126" s="2" t="inlineStr">
        <is>
          <t>range stated</t>
        </is>
      </c>
      <c r="T126" s="2" t="inlineStr">
        <is>
          <t>Based on Wood et al. 2012</t>
        </is>
      </c>
      <c r="U126" s="2" t="inlineStr">
        <is>
          <t>Residence time of injected particles 2 d</t>
        </is>
      </c>
      <c r="V126" s="5" t="inlineStr">
        <is>
          <t>above range</t>
        </is>
      </c>
      <c r="W126" s="2" t="inlineStr">
        <is>
          <t>yes</t>
        </is>
      </c>
      <c r="X126" s="2" t="inlineStr">
        <is>
          <t>medium</t>
        </is>
      </c>
      <c r="Y126" s="2" t="inlineStr">
        <is>
          <t>Cooling per tonne is linear in lifetime (B33), so 3 d vs 2 d raises cooling 50%.</t>
        </is>
      </c>
    </row>
    <row r="127">
      <c r="A127" s="4" t="inlineStr">
        <is>
          <t>C_physics</t>
        </is>
      </c>
      <c r="B127" s="2" t="inlineStr">
        <is>
          <t>5a. Cooling Model - Local</t>
        </is>
      </c>
      <c r="C127" s="2" t="inlineStr">
        <is>
          <t>B25</t>
        </is>
      </c>
      <c r="D127" s="2" t="inlineStr">
        <is>
          <t>Local temperature sensitivity (SST per W/m2 SW reduction)</t>
        </is>
      </c>
      <c r="E127" s="2" t="n">
        <v>0.0225</v>
      </c>
      <c r="F127" s="2" t="inlineStr">
        <is>
          <t>degC/(W/m2)</t>
        </is>
      </c>
      <c r="G127" s="2" t="inlineStr">
        <is>
          <t>Harrison et al. 2019 (T14), pp.32-33: 0.225 C per 10 W/m2</t>
        </is>
      </c>
      <c r="H127" s="2" t="inlineStr">
        <is>
          <t>Harrison et al. 2019 (RRAP T14)</t>
        </is>
      </c>
      <c r="I127" s="2" t="inlineStr">
        <is>
          <t>Harrison, D. P., Baird, M., Harrison, L., Utembe, S., Schofield, R., Escobar Correa, R., Mongin, M., Rizwi, F. (2019). Environmental Modelling of Large Scale Solar Radiation Management. RRAP T14 Final Report.</t>
        </is>
      </c>
      <c r="J127" s="2" t="inlineStr"/>
      <c r="K127" s="8" t="inlineStr">
        <is>
          <t>https://gbrrestoration.org/wp-content/uploads/2020/09/T14-Environmental-Modelling-of-Large-Scale-SRM_v3.03-3.pdf</t>
        </is>
      </c>
      <c r="L127" s="2" t="n">
        <v>200</v>
      </c>
      <c r="M127" s="2" t="inlineStr">
        <is>
          <t>Sect. 4.4, Fig. 15, printed p.32-33; Executive summary p.1-2</t>
        </is>
      </c>
      <c r="N127" s="2" t="inlineStr">
        <is>
          <t>full text</t>
        </is>
      </c>
      <c r="O127" s="2" t="n">
        <v>0.0225</v>
      </c>
      <c r="P127" s="2" t="inlineStr">
        <is>
          <t>point</t>
        </is>
      </c>
      <c r="Q127" s="2" t="n">
        <v>0.018</v>
      </c>
      <c r="R127" s="2" t="n">
        <v>0.0315</v>
      </c>
      <c r="S127" s="2" t="inlineStr">
        <is>
          <t>range stated</t>
        </is>
      </c>
      <c r="T127" s="2" t="inlineStr">
        <is>
          <t>~10 scenarios (2 summers, cloud-albedo and direct forcing), eReefs hydrodynamic model, mid-shelf off Cairns</t>
        </is>
      </c>
      <c r="U127" s="2" t="inlineStr">
        <is>
          <t>Linear over 0 to -35 W/m2 for SHELF forcing; DOMAIN forcing ~40% more cooling, REGION (Townsville-Cooktown) ~20% less</t>
        </is>
      </c>
      <c r="V127" s="7" t="inlineStr">
        <is>
          <t>within</t>
        </is>
      </c>
      <c r="W127" s="2" t="inlineStr">
        <is>
          <t>neutral</t>
        </is>
      </c>
      <c r="X127" s="2" t="inlineStr">
        <is>
          <t>medium</t>
        </is>
      </c>
      <c r="Y127" s="2" t="inlineStr">
        <is>
          <t>Low/high derived: 0.0225 x 0.8 = 0.018; x 1.4 = 0.0315. Single modelling study, single location, summer-mean SST vs summer-mean forcing. Workbook multiplies this by aerosol lifetime in days to get degC-ha-days, but T14 sensitivity is a seasonal steady response, not a per-day response (unit caveat).</t>
        </is>
      </c>
    </row>
    <row r="128">
      <c r="A128" s="4" t="inlineStr">
        <is>
          <t>C_physics</t>
        </is>
      </c>
      <c r="B128" s="2" t="inlineStr">
        <is>
          <t>5a. Cooling Model - Local</t>
        </is>
      </c>
      <c r="C128" s="2" t="inlineStr">
        <is>
          <t>B25</t>
        </is>
      </c>
      <c r="D128" s="2" t="inlineStr">
        <is>
          <t>Local temperature sensitivity (SST per W/m2 SW reduction)</t>
        </is>
      </c>
      <c r="E128" s="2" t="n">
        <v>0.0225</v>
      </c>
      <c r="F128" s="2" t="inlineStr">
        <is>
          <t>degC/(W/m2)</t>
        </is>
      </c>
      <c r="G128" s="2" t="inlineStr">
        <is>
          <t>Harrison et al. 2019 (T14), pp.32-33: 0.225 C per 10 W/m2</t>
        </is>
      </c>
      <c r="H128" s="2" t="inlineStr">
        <is>
          <t>Zhao et al. 2026 (EGUsphere preprint)</t>
        </is>
      </c>
      <c r="I128" s="2" t="inlineStr">
        <is>
          <t>Zhao, W., Huang, Y., Siems, S., Harrison, D. (2026). Sensitivity of Marine Cloud Brightening over the Great Barrier Reef to Spatial Variability in Aerosol Forcing: A Case Study using convection-permitting model. EGUsphere preprint.</t>
        </is>
      </c>
      <c r="J128" s="2" t="inlineStr">
        <is>
          <t>10.5194/egusphere-2026-1251</t>
        </is>
      </c>
      <c r="K128" s="8" t="inlineStr">
        <is>
          <t>https://doi.org/10.5194/egusphere-2026-1251</t>
        </is>
      </c>
      <c r="L128" s="2" t="n">
        <v>200</v>
      </c>
      <c r="M128" s="2" t="inlineStr">
        <is>
          <t>Sect. 4, lines 452-458</t>
        </is>
      </c>
      <c r="N128" s="2" t="inlineStr">
        <is>
          <t>full text</t>
        </is>
      </c>
      <c r="O128" s="2" t="n"/>
      <c r="P128" s="2" t="inlineStr">
        <is>
          <t>point</t>
        </is>
      </c>
      <c r="Q128" s="2" t="n"/>
      <c r="R128" s="2" t="n"/>
      <c r="S128" s="2" t="inlineStr">
        <is>
          <t>range stated</t>
        </is>
      </c>
      <c r="T128" s="2" t="inlineStr">
        <is>
          <t>Qualitative</t>
        </is>
      </c>
      <c r="U128" s="2" t="inlineStr">
        <is>
          <t>Several tens of W/m2 surface SW reduction sustained over days-weeks could lower SST "by a fraction of a degree" (cites Harrison 2019)</t>
        </is>
      </c>
      <c r="V128" s="6" t="inlineStr">
        <is>
          <t>no comparable value</t>
        </is>
      </c>
      <c r="W128" s="2" t="inlineStr">
        <is>
          <t>n/a</t>
        </is>
      </c>
      <c r="X128" s="2" t="inlineStr">
        <is>
          <t>low</t>
        </is>
      </c>
      <c r="Y128" s="2" t="inlineStr">
        <is>
          <t>No independent number; relies on T14.</t>
        </is>
      </c>
    </row>
    <row r="129">
      <c r="A129" s="4" t="inlineStr">
        <is>
          <t>C_physics</t>
        </is>
      </c>
      <c r="B129" s="2" t="inlineStr">
        <is>
          <t>5b. Cooling-Value Sensitivity</t>
        </is>
      </c>
      <c r="C129" s="2" t="inlineStr">
        <is>
          <t>B6/D6</t>
        </is>
      </c>
      <c r="D129" s="2" t="inlineStr">
        <is>
          <t>Sensitivity bounds: marine cloud albedo (0.3 to 0.6; base 0.4)</t>
        </is>
      </c>
      <c r="E129" s="2" t="inlineStr">
        <is>
          <t>0.3 / 0.6</t>
        </is>
      </c>
      <c r="F129" s="2" t="inlineStr">
        <is>
          <t>-</t>
        </is>
      </c>
      <c r="G129" s="2" t="inlineStr">
        <is>
          <t>Sensitivity bounds around tab 5a base; see tab 5a Sources</t>
        </is>
      </c>
      <c r="H129" s="2" t="inlineStr">
        <is>
          <t>Harrison et al. 2019 (RRAP T14)</t>
        </is>
      </c>
      <c r="I129" s="2" t="inlineStr">
        <is>
          <t>Harrison, D. P., Baird, M., Harrison, L., Utembe, S., Schofield, R., Escobar Correa, R., Mongin, M., Rizwi, F. (2019). Environmental Modelling of Large Scale Solar Radiation Management. RRAP T14 Final Report.</t>
        </is>
      </c>
      <c r="J129" s="2" t="inlineStr"/>
      <c r="K129" s="8" t="inlineStr">
        <is>
          <t>https://gbrrestoration.org/wp-content/uploads/2020/09/T14-Environmental-Modelling-of-Large-Scale-SRM_v3.03-3.pdf</t>
        </is>
      </c>
      <c r="L129" s="2" t="n">
        <v>200</v>
      </c>
      <c r="M129" s="2" t="inlineStr">
        <is>
          <t>Sect. 6.4 p.64-65</t>
        </is>
      </c>
      <c r="N129" s="2" t="inlineStr">
        <is>
          <t>full text</t>
        </is>
      </c>
      <c r="O129" s="2" t="n">
        <v>0.2</v>
      </c>
      <c r="P129" s="2" t="inlineStr">
        <is>
          <t>point</t>
        </is>
      </c>
      <c r="Q129" s="2" t="n">
        <v>0.1</v>
      </c>
      <c r="R129" s="2" t="n">
        <v>0.3</v>
      </c>
      <c r="S129" s="2" t="inlineStr">
        <is>
          <t>range stated</t>
        </is>
      </c>
      <c r="T129" s="2" t="inlineStr">
        <is>
          <t>WRF GBR Dec 2016</t>
        </is>
      </c>
      <c r="U129" s="2" t="inlineStr">
        <is>
          <t>GBR cloud albedo 0.1-0.3</t>
        </is>
      </c>
      <c r="V129" s="5" t="inlineStr">
        <is>
          <t>above range</t>
        </is>
      </c>
      <c r="W129" s="2" t="inlineStr">
        <is>
          <t>yes</t>
        </is>
      </c>
      <c r="X129" s="2" t="inlineStr">
        <is>
          <t>medium</t>
        </is>
      </c>
      <c r="Y129" s="2" t="inlineStr">
        <is>
          <t>A(1-A) is 0.21 at 0.3 and 0.24 at both 0.4 and 0.6, so the upside bound adds nothing and the downside barely moves. GBR-relevant 0.1-0.2 (A(1-A) 0.09-0.16) is missing from the tornado.</t>
        </is>
      </c>
    </row>
    <row r="130">
      <c r="A130" s="4" t="inlineStr">
        <is>
          <t>C_physics</t>
        </is>
      </c>
      <c r="B130" s="2" t="inlineStr">
        <is>
          <t>5b. Cooling-Value Sensitivity</t>
        </is>
      </c>
      <c r="C130" s="2" t="inlineStr">
        <is>
          <t>B12/D12</t>
        </is>
      </c>
      <c r="D130" s="2" t="inlineStr">
        <is>
          <t>Sensitivity bounds: cloud-top shortwave (400 to 550 W/m2; base 475)</t>
        </is>
      </c>
      <c r="E130" s="2" t="inlineStr">
        <is>
          <t>400 / 550</t>
        </is>
      </c>
      <c r="F130" s="2" t="inlineStr">
        <is>
          <t>W/m2</t>
        </is>
      </c>
      <c r="G130" s="2" t="inlineStr">
        <is>
          <t>Sensitivity bounds around tab 5a base</t>
        </is>
      </c>
      <c r="H130" s="2" t="inlineStr">
        <is>
          <t>NASA POWER 2026 (CERES SYN1deg climatology 2001-2025)</t>
        </is>
      </c>
      <c r="I130" s="2" t="inlineStr">
        <is>
          <t>NASA Langley Research Center POWER Project, Climatology API v2.10.1, parameters TOA_SW_DWN, CLRSKY_SFC_SW_DWN, ALLSKY_SFC_SW_DWN (source SYN1DEG, Jan 2001-Dec 2025), queried 2026-10-26 at 16.5S 146.5E, 19.0S 148.0E, 23.0S 152.0E.</t>
        </is>
      </c>
      <c r="J130" s="2" t="inlineStr"/>
      <c r="K130" s="8" t="inlineStr">
        <is>
          <t>https://power.larc.nasa.gov/api/temporal/climatology/point?parameters=TOA_SW_DWN,ALLSKY_SFC_SW_DWN,CLRSKY_SFC_SW_DWN&amp;community=RE&amp;longitude=146.5&amp;latitude=-16.5&amp;format=JSON</t>
        </is>
      </c>
      <c r="L130" s="2" t="n">
        <v>200</v>
      </c>
      <c r="M130" s="2" t="inlineStr">
        <is>
          <t>TOA_SW_DWN (see 5a B16)</t>
        </is>
      </c>
      <c r="N130" s="2" t="inlineStr">
        <is>
          <t>full text</t>
        </is>
      </c>
      <c r="O130" s="2" t="n">
        <v>475</v>
      </c>
      <c r="P130" s="2" t="inlineStr">
        <is>
          <t>point</t>
        </is>
      </c>
      <c r="Q130" s="2" t="n">
        <v>387</v>
      </c>
      <c r="R130" s="2" t="n">
        <v>491</v>
      </c>
      <c r="S130" s="2" t="inlineStr">
        <is>
          <t>min-max across studies</t>
        </is>
      </c>
      <c r="T130" s="2" t="inlineStr">
        <is>
          <t>3 GBR points; annual and DJF</t>
        </is>
      </c>
      <c r="U130" s="2" t="inlineStr">
        <is>
          <t>24-h TOA mean: annual 387-400, DJF 460-491</t>
        </is>
      </c>
      <c r="V130" s="7" t="inlineStr">
        <is>
          <t>within</t>
        </is>
      </c>
      <c r="W130" s="2" t="inlineStr">
        <is>
          <t>neutral</t>
        </is>
      </c>
      <c r="X130" s="2" t="inlineStr">
        <is>
          <t>high</t>
        </is>
      </c>
      <c r="Y130" s="2" t="inlineStr">
        <is>
          <t>Bounds are fine for 24-h TOA; the larger error is the 0.4 diurnal factor (5a B20), which the tornado does not test against 1.0.</t>
        </is>
      </c>
    </row>
    <row r="131">
      <c r="A131" s="4" t="inlineStr">
        <is>
          <t>C_physics</t>
        </is>
      </c>
      <c r="B131" s="2" t="inlineStr">
        <is>
          <t>5b. Cooling-Value Sensitivity</t>
        </is>
      </c>
      <c r="C131" s="2" t="inlineStr">
        <is>
          <t>B13/D13</t>
        </is>
      </c>
      <c r="D131" s="2" t="inlineStr">
        <is>
          <t>Sensitivity bounds: droplet-number enhancement (2 to 4; base 1.3)</t>
        </is>
      </c>
      <c r="E131" s="2" t="inlineStr">
        <is>
          <t>2 / 4</t>
        </is>
      </c>
      <c r="F131" s="2" t="inlineStr">
        <is>
          <t>x</t>
        </is>
      </c>
      <c r="G131" s="2" t="inlineStr"/>
      <c r="H131" s="2" t="inlineStr">
        <is>
          <t>Zhao et al. 2026 (EGUsphere preprint)</t>
        </is>
      </c>
      <c r="I131" s="2" t="inlineStr">
        <is>
          <t>Zhao, W., Huang, Y., Siems, S., Harrison, D. (2026). Sensitivity of Marine Cloud Brightening over the Great Barrier Reef to Spatial Variability in Aerosol Forcing: A Case Study using convection-permitting model. EGUsphere preprint.</t>
        </is>
      </c>
      <c r="J131" s="2" t="inlineStr">
        <is>
          <t>10.5194/egusphere-2026-1251</t>
        </is>
      </c>
      <c r="K131" s="8" t="inlineStr">
        <is>
          <t>https://doi.org/10.5194/egusphere-2026-1251</t>
        </is>
      </c>
      <c r="L131" s="2" t="n">
        <v>200</v>
      </c>
      <c r="M131" s="2" t="inlineStr">
        <is>
          <t>Sect. 3</t>
        </is>
      </c>
      <c r="N131" s="2" t="inlineStr">
        <is>
          <t>full text</t>
        </is>
      </c>
      <c r="O131" s="2" t="n">
        <v>1.323</v>
      </c>
      <c r="P131" s="2" t="inlineStr">
        <is>
          <t>median</t>
        </is>
      </c>
      <c r="Q131" s="2" t="n">
        <v>1.139</v>
      </c>
      <c r="R131" s="2" t="n">
        <v>1.727</v>
      </c>
      <c r="S131" s="2" t="inlineStr">
        <is>
          <t>min-max across studies</t>
        </is>
      </c>
      <c r="T131" s="2" t="inlineStr">
        <is>
          <t>3 WRF experiments</t>
        </is>
      </c>
      <c r="U131" s="2" t="inlineStr">
        <is>
          <t>CDNC ratio 1.14-1.73</t>
        </is>
      </c>
      <c r="V131" s="5" t="inlineStr">
        <is>
          <t>above range</t>
        </is>
      </c>
      <c r="W131" s="2" t="inlineStr">
        <is>
          <t>yes</t>
        </is>
      </c>
      <c r="X131" s="2" t="inlineStr">
        <is>
          <t>medium</t>
        </is>
      </c>
      <c r="Y131" s="2" t="inlineStr">
        <is>
          <t>Both bounds sit above the 1.3 base, so this is not a two-sided test. The 5b formula scales only ln(r) and omits the 1/(r-1) area term in 5a B11, so it shows r=2 and r=4 as cooling GAINS when in the 5a chain they are losses per tonne (ln2/1 = 0.69 vs ln1.3/0.3 = 0.87, derived).</t>
        </is>
      </c>
    </row>
    <row r="132">
      <c r="A132" s="4" t="inlineStr">
        <is>
          <t>C_physics</t>
        </is>
      </c>
      <c r="B132" s="2" t="inlineStr">
        <is>
          <t>5b. Cooling-Value Sensitivity</t>
        </is>
      </c>
      <c r="C132" s="2" t="inlineStr">
        <is>
          <t>B14/D14</t>
        </is>
      </c>
      <c r="D132" s="2" t="inlineStr">
        <is>
          <t>Sensitivity bounds: aerosol lifetime (2 to 4 d; base 3)</t>
        </is>
      </c>
      <c r="E132" s="2" t="inlineStr">
        <is>
          <t>2 / 4</t>
        </is>
      </c>
      <c r="F132" s="2" t="inlineStr">
        <is>
          <t>days</t>
        </is>
      </c>
      <c r="G132" s="2" t="inlineStr"/>
      <c r="H132" s="2" t="inlineStr">
        <is>
          <t>Hirasawa et al. 2026 (EGUsphere preprint)</t>
        </is>
      </c>
      <c r="I132" s="2" t="inlineStr">
        <is>
          <t>Hirasawa, H., von Salzen, K., Henry, M., Smith, J., Bender, F. A.-M., Wang, C., Doherty, S., Wood, R., Rasch, P. J., Haywood, J. (2026). On the Range of Marine Cloud Brightening Radiative Forcing across Earth System Models. EGUsphere preprint, discussion started 21 Sep 2026.</t>
        </is>
      </c>
      <c r="J132" s="2" t="inlineStr">
        <is>
          <t>10.5194/egusphere-2026-5460</t>
        </is>
      </c>
      <c r="K132" s="8" t="inlineStr">
        <is>
          <t>https://doi.org/10.5194/egusphere-2026-5460</t>
        </is>
      </c>
      <c r="L132" s="2" t="n">
        <v>200</v>
      </c>
      <c r="M132" s="2" t="inlineStr">
        <is>
          <t>Sect. 5, Fig. 7</t>
        </is>
      </c>
      <c r="N132" s="2" t="inlineStr">
        <is>
          <t>full text</t>
        </is>
      </c>
      <c r="O132" s="2" t="n">
        <v>3.5</v>
      </c>
      <c r="P132" s="2" t="inlineStr">
        <is>
          <t>point</t>
        </is>
      </c>
      <c r="Q132" s="2" t="n">
        <v>2.5</v>
      </c>
      <c r="R132" s="2" t="n">
        <v>7</v>
      </c>
      <c r="S132" s="2" t="inlineStr">
        <is>
          <t>model spread</t>
        </is>
      </c>
      <c r="T132" s="2" t="inlineStr">
        <is>
          <t>7 ESMs</t>
        </is>
      </c>
      <c r="U132" s="2" t="inlineStr">
        <is>
          <t>2.5-4.5 d typical, 7 d outlier</t>
        </is>
      </c>
      <c r="V132" s="7" t="inlineStr">
        <is>
          <t>within</t>
        </is>
      </c>
      <c r="W132" s="2" t="inlineStr">
        <is>
          <t>neutral</t>
        </is>
      </c>
      <c r="X132" s="2" t="inlineStr">
        <is>
          <t>high</t>
        </is>
      </c>
      <c r="Y132" s="2" t="inlineStr">
        <is>
          <t>Wood 2021 uses 2 d, at the downside bound.</t>
        </is>
      </c>
    </row>
    <row r="133">
      <c r="A133" s="4" t="inlineStr">
        <is>
          <t>C_physics</t>
        </is>
      </c>
      <c r="B133" s="2" t="inlineStr">
        <is>
          <t>5b. Cooling-Value Sensitivity</t>
        </is>
      </c>
      <c r="C133" s="2" t="inlineStr">
        <is>
          <t>B15/D15</t>
        </is>
      </c>
      <c r="D133" s="2" t="inlineStr">
        <is>
          <t>Sensitivity bounds: local temperature sensitivity (0.015 to 0.032; base 0.0225)</t>
        </is>
      </c>
      <c r="E133" s="2" t="inlineStr">
        <is>
          <t>0.015 / 0.032</t>
        </is>
      </c>
      <c r="F133" s="2" t="inlineStr">
        <is>
          <t>degC/(W/m2)</t>
        </is>
      </c>
      <c r="G133" s="2" t="inlineStr"/>
      <c r="H133" s="2" t="inlineStr">
        <is>
          <t>Harrison et al. 2019 (RRAP T14)</t>
        </is>
      </c>
      <c r="I133" s="2" t="inlineStr">
        <is>
          <t>Harrison, D. P., Baird, M., Harrison, L., Utembe, S., Schofield, R., Escobar Correa, R., Mongin, M., Rizwi, F. (2019). Environmental Modelling of Large Scale Solar Radiation Management. RRAP T14 Final Report.</t>
        </is>
      </c>
      <c r="J133" s="2" t="inlineStr"/>
      <c r="K133" s="8" t="inlineStr">
        <is>
          <t>https://gbrrestoration.org/wp-content/uploads/2020/09/T14-Environmental-Modelling-of-Large-Scale-SRM_v3.03-3.pdf</t>
        </is>
      </c>
      <c r="L133" s="2" t="n">
        <v>200</v>
      </c>
      <c r="M133" s="2" t="inlineStr">
        <is>
          <t>Sect. 4.4, Fig. 15, p.32</t>
        </is>
      </c>
      <c r="N133" s="2" t="inlineStr">
        <is>
          <t>full text</t>
        </is>
      </c>
      <c r="O133" s="2" t="n">
        <v>0.0225</v>
      </c>
      <c r="P133" s="2" t="inlineStr">
        <is>
          <t>point</t>
        </is>
      </c>
      <c r="Q133" s="2" t="n">
        <v>0.018</v>
      </c>
      <c r="R133" s="2" t="n">
        <v>0.0315</v>
      </c>
      <c r="S133" s="2" t="inlineStr">
        <is>
          <t>range stated</t>
        </is>
      </c>
      <c r="T133" s="2" t="inlineStr">
        <is>
          <t>T14 scenario spread (spatial extent)</t>
        </is>
      </c>
      <c r="U133" s="2" t="inlineStr">
        <is>
          <t>SHELF 0.0225; REGION ~0.018; DOMAIN ~0.0315 (derived)</t>
        </is>
      </c>
      <c r="V133" s="7" t="inlineStr">
        <is>
          <t>within</t>
        </is>
      </c>
      <c r="W133" s="2" t="inlineStr">
        <is>
          <t>neutral</t>
        </is>
      </c>
      <c r="X133" s="2" t="inlineStr">
        <is>
          <t>medium</t>
        </is>
      </c>
      <c r="Y133" s="2" t="inlineStr">
        <is>
          <t>Bounds match T14 spatial-extent spread; no second independent study.</t>
        </is>
      </c>
    </row>
    <row r="134">
      <c r="A134" s="4" t="inlineStr">
        <is>
          <t>C_physics</t>
        </is>
      </c>
      <c r="B134" s="2" t="inlineStr">
        <is>
          <t>5b. Cooling-Value Sensitivity</t>
        </is>
      </c>
      <c r="C134" s="2" t="inlineStr">
        <is>
          <t>B17/D17</t>
        </is>
      </c>
      <c r="D134" s="2" t="inlineStr">
        <is>
          <t>Sensitivity bounds: survival factor (0.1 to 0.5; base 0.3)</t>
        </is>
      </c>
      <c r="E134" s="2" t="inlineStr">
        <is>
          <t>0.1 / 0.5</t>
        </is>
      </c>
      <c r="F134" s="2" t="inlineStr">
        <is>
          <t>fraction</t>
        </is>
      </c>
      <c r="G134" s="2" t="inlineStr"/>
      <c r="H134" s="2" t="inlineStr">
        <is>
          <t>Stuart et al. 2013</t>
        </is>
      </c>
      <c r="I134" s="2" t="inlineStr">
        <is>
          <t>Stuart, G. S., Stevens, R. G., Partanen, A.-I., et al. (2013). Reduced efficacy of marine cloud brightening geoengineering due to in-plume aerosol coagulation: parameterization and global implications. Atmos. Chem. Phys., 13, 10385-10396.</t>
        </is>
      </c>
      <c r="J134" s="2" t="inlineStr">
        <is>
          <t>10.5194/acp-13-10385-2013</t>
        </is>
      </c>
      <c r="K134" s="8" t="inlineStr">
        <is>
          <t>https://doi.org/10.5194/acp-13-10385-2013</t>
        </is>
      </c>
      <c r="L134" s="2" t="n">
        <v>200</v>
      </c>
      <c r="M134" s="2" t="inlineStr">
        <is>
          <t>Abstract</t>
        </is>
      </c>
      <c r="N134" s="2" t="inlineStr">
        <is>
          <t>full text</t>
        </is>
      </c>
      <c r="O134" s="2" t="n">
        <v>0.5</v>
      </c>
      <c r="P134" s="2" t="inlineStr">
        <is>
          <t>point</t>
        </is>
      </c>
      <c r="Q134" s="2" t="n">
        <v>0.1</v>
      </c>
      <c r="R134" s="2" t="n">
        <v>0.9</v>
      </c>
      <c r="S134" s="2" t="inlineStr">
        <is>
          <t>range stated</t>
        </is>
      </c>
      <c r="T134" s="2" t="inlineStr">
        <is>
          <t>Gaussian plume model + 1 global model</t>
        </is>
      </c>
      <c r="U134" s="2" t="inlineStr">
        <is>
          <t>Loss &lt;10% to &gt;90%; &gt;50% typical</t>
        </is>
      </c>
      <c r="V134" s="7" t="inlineStr">
        <is>
          <t>within</t>
        </is>
      </c>
      <c r="W134" s="2" t="inlineStr">
        <is>
          <t>no</t>
        </is>
      </c>
      <c r="X134" s="2" t="inlineStr">
        <is>
          <t>medium</t>
        </is>
      </c>
      <c r="Y134" s="2" t="inlineStr">
        <is>
          <t>Upside bound 0.5 truncates the Stuart range (survival up to ~0.9 at low emission rates; Wood 2021 finds weak losses below 1e16 s-1).</t>
        </is>
      </c>
    </row>
    <row r="135">
      <c r="A135" s="4" t="inlineStr">
        <is>
          <t>C_physics</t>
        </is>
      </c>
      <c r="B135" s="2" t="inlineStr">
        <is>
          <t>6a. Cooling Model - Global</t>
        </is>
      </c>
      <c r="C135" s="2" t="inlineStr">
        <is>
          <t>C7</t>
        </is>
      </c>
      <c r="D135" s="2" t="inlineStr">
        <is>
          <t>Emission rate, Subtropical (3 regions), CESM2</t>
        </is>
      </c>
      <c r="E135" s="2" t="n">
        <v>7.5</v>
      </c>
      <c r="F135" s="2" t="inlineStr">
        <is>
          <t>Tg/yr</t>
        </is>
      </c>
      <c r="G135" s="2" t="inlineStr">
        <is>
          <t>Hirasawa et al. 2026, J. Climate 39(2): 14 regions, 3 models, equal-forcing emissions</t>
        </is>
      </c>
      <c r="H135" s="2" t="inlineStr">
        <is>
          <t>Hirasawa et al. 2026 (J. Clim.)</t>
        </is>
      </c>
      <c r="I135" s="2" t="inlineStr">
        <is>
          <t>Hirasawa, H., Henry, M., Mason, E., Rasch, P. J., Doherty, S. J., Wood, R. (2026). Forcing Susceptibility and Climate Sensitivity to Midlatitude Marine Cloud Brightening. J. Climate, 39(2), 769-784.</t>
        </is>
      </c>
      <c r="J135" s="2" t="inlineStr">
        <is>
          <t>10.1175/JCLI-D-25-0337.1</t>
        </is>
      </c>
      <c r="K135" s="8" t="inlineStr">
        <is>
          <t>https://doi.org/10.1175/JCLI-D-25-0337.1</t>
        </is>
      </c>
      <c r="L135" s="2" t="n">
        <v>200</v>
      </c>
      <c r="M135" s="2" t="inlineStr">
        <is>
          <t>Sect. 2a (nominal per-region rates from R2024); Fig. 1 &amp; 3 captions</t>
        </is>
      </c>
      <c r="N135" s="2" t="inlineStr">
        <is>
          <t>full text</t>
        </is>
      </c>
      <c r="O135" s="2" t="n">
        <v>7.5</v>
      </c>
      <c r="P135" s="2" t="inlineStr">
        <is>
          <t>point</t>
        </is>
      </c>
      <c r="Q135" s="2" t="n"/>
      <c r="R135" s="2" t="n"/>
      <c r="S135" s="2" t="inlineStr">
        <is>
          <t>range stated</t>
        </is>
      </c>
      <c r="T135" s="2" t="inlineStr">
        <is>
          <t>Nominal rate per model, applied per region</t>
        </is>
      </c>
      <c r="U135" s="2" t="inlineStr">
        <is>
          <t>Per-region nominal: CESM2 2.5, E3SMv2 16.5, UKESM1.0 50 Tg/yr</t>
        </is>
      </c>
      <c r="V135" s="7" t="inlineStr">
        <is>
          <t>within</t>
        </is>
      </c>
      <c r="W135" s="2" t="inlineStr">
        <is>
          <t>neutral</t>
        </is>
      </c>
      <c r="X135" s="2" t="inlineStr">
        <is>
          <t>high</t>
        </is>
      </c>
      <c r="Y135" s="2" t="inlineStr">
        <is>
          <t>Derived total 2.5 Tg/yr/region x 3. Paper stresses these mass fluxes "should not be treated as estimates of the emission rates that would be required for MCB interventions in practice".</t>
        </is>
      </c>
    </row>
    <row r="136">
      <c r="A136" s="4" t="inlineStr">
        <is>
          <t>C_physics</t>
        </is>
      </c>
      <c r="B136" s="2" t="inlineStr">
        <is>
          <t>6a. Cooling Model - Global</t>
        </is>
      </c>
      <c r="C136" s="2" t="inlineStr">
        <is>
          <t>C8</t>
        </is>
      </c>
      <c r="D136" s="2" t="inlineStr">
        <is>
          <t>Emission rate, Subtropical (3 regions), E3SMv2</t>
        </is>
      </c>
      <c r="E136" s="2" t="n">
        <v>49.5</v>
      </c>
      <c r="F136" s="2" t="inlineStr">
        <is>
          <t>Tg/yr</t>
        </is>
      </c>
      <c r="G136" s="2" t="inlineStr">
        <is>
          <t>Hirasawa et al. 2026, J. Climate 39(2): 14 regions, 3 models, equal-forcing emissions</t>
        </is>
      </c>
      <c r="H136" s="2" t="inlineStr">
        <is>
          <t>Hirasawa et al. 2026 (J. Clim.)</t>
        </is>
      </c>
      <c r="I136" s="2" t="inlineStr">
        <is>
          <t>Hirasawa, H., Henry, M., Mason, E., Rasch, P. J., Doherty, S. J., Wood, R. (2026). Forcing Susceptibility and Climate Sensitivity to Midlatitude Marine Cloud Brightening. J. Climate, 39(2), 769-784.</t>
        </is>
      </c>
      <c r="J136" s="2" t="inlineStr">
        <is>
          <t>10.1175/JCLI-D-25-0337.1</t>
        </is>
      </c>
      <c r="K136" s="8" t="inlineStr">
        <is>
          <t>https://doi.org/10.1175/JCLI-D-25-0337.1</t>
        </is>
      </c>
      <c r="L136" s="2" t="n">
        <v>200</v>
      </c>
      <c r="M136" s="2" t="inlineStr">
        <is>
          <t>Sect. 2a (nominal per-region rates from R2024); Fig. 1 &amp; 3 captions</t>
        </is>
      </c>
      <c r="N136" s="2" t="inlineStr">
        <is>
          <t>full text</t>
        </is>
      </c>
      <c r="O136" s="2" t="n">
        <v>49.5</v>
      </c>
      <c r="P136" s="2" t="inlineStr">
        <is>
          <t>point</t>
        </is>
      </c>
      <c r="Q136" s="2" t="n"/>
      <c r="R136" s="2" t="n"/>
      <c r="S136" s="2" t="inlineStr">
        <is>
          <t>range stated</t>
        </is>
      </c>
      <c r="T136" s="2" t="inlineStr">
        <is>
          <t>Nominal rate per model, applied per region</t>
        </is>
      </c>
      <c r="U136" s="2" t="inlineStr">
        <is>
          <t>Per-region nominal: CESM2 2.5, E3SMv2 16.5, UKESM1.0 50 Tg/yr</t>
        </is>
      </c>
      <c r="V136" s="7" t="inlineStr">
        <is>
          <t>within</t>
        </is>
      </c>
      <c r="W136" s="2" t="inlineStr">
        <is>
          <t>neutral</t>
        </is>
      </c>
      <c r="X136" s="2" t="inlineStr">
        <is>
          <t>high</t>
        </is>
      </c>
      <c r="Y136" s="2" t="inlineStr">
        <is>
          <t>Derived total 16.5 x 3. Paper stresses these mass fluxes "should not be treated as estimates of the emission rates that would be required for MCB interventions in practice".</t>
        </is>
      </c>
    </row>
    <row r="137">
      <c r="A137" s="4" t="inlineStr">
        <is>
          <t>C_physics</t>
        </is>
      </c>
      <c r="B137" s="2" t="inlineStr">
        <is>
          <t>6a. Cooling Model - Global</t>
        </is>
      </c>
      <c r="C137" s="2" t="inlineStr">
        <is>
          <t>C9</t>
        </is>
      </c>
      <c r="D137" s="2" t="inlineStr">
        <is>
          <t>Emission rate, Subtropical (3 regions), UKESM1.0</t>
        </is>
      </c>
      <c r="E137" s="2" t="n">
        <v>150</v>
      </c>
      <c r="F137" s="2" t="inlineStr">
        <is>
          <t>Tg/yr</t>
        </is>
      </c>
      <c r="G137" s="2" t="inlineStr">
        <is>
          <t>Hirasawa et al. 2026, J. Climate 39(2): 14 regions, 3 models, equal-forcing emissions</t>
        </is>
      </c>
      <c r="H137" s="2" t="inlineStr">
        <is>
          <t>Hirasawa et al. 2026 (J. Clim.)</t>
        </is>
      </c>
      <c r="I137" s="2" t="inlineStr">
        <is>
          <t>Hirasawa, H., Henry, M., Mason, E., Rasch, P. J., Doherty, S. J., Wood, R. (2026). Forcing Susceptibility and Climate Sensitivity to Midlatitude Marine Cloud Brightening. J. Climate, 39(2), 769-784.</t>
        </is>
      </c>
      <c r="J137" s="2" t="inlineStr">
        <is>
          <t>10.1175/JCLI-D-25-0337.1</t>
        </is>
      </c>
      <c r="K137" s="8" t="inlineStr">
        <is>
          <t>https://doi.org/10.1175/JCLI-D-25-0337.1</t>
        </is>
      </c>
      <c r="L137" s="2" t="n">
        <v>200</v>
      </c>
      <c r="M137" s="2" t="inlineStr">
        <is>
          <t>Sect. 2a (nominal per-region rates from R2024); Fig. 1 &amp; 3 captions</t>
        </is>
      </c>
      <c r="N137" s="2" t="inlineStr">
        <is>
          <t>full text</t>
        </is>
      </c>
      <c r="O137" s="2" t="n">
        <v>150</v>
      </c>
      <c r="P137" s="2" t="inlineStr">
        <is>
          <t>point</t>
        </is>
      </c>
      <c r="Q137" s="2" t="n"/>
      <c r="R137" s="2" t="n"/>
      <c r="S137" s="2" t="inlineStr">
        <is>
          <t>range stated</t>
        </is>
      </c>
      <c r="T137" s="2" t="inlineStr">
        <is>
          <t>Nominal rate per model, applied per region</t>
        </is>
      </c>
      <c r="U137" s="2" t="inlineStr">
        <is>
          <t>Per-region nominal: CESM2 2.5, E3SMv2 16.5, UKESM1.0 50 Tg/yr</t>
        </is>
      </c>
      <c r="V137" s="7" t="inlineStr">
        <is>
          <t>within</t>
        </is>
      </c>
      <c r="W137" s="2" t="inlineStr">
        <is>
          <t>neutral</t>
        </is>
      </c>
      <c r="X137" s="2" t="inlineStr">
        <is>
          <t>high</t>
        </is>
      </c>
      <c r="Y137" s="2" t="inlineStr">
        <is>
          <t>Derived total 50 x 3. Paper stresses these mass fluxes "should not be treated as estimates of the emission rates that would be required for MCB interventions in practice".</t>
        </is>
      </c>
    </row>
    <row r="138">
      <c r="A138" s="4" t="inlineStr">
        <is>
          <t>C_physics</t>
        </is>
      </c>
      <c r="B138" s="2" t="inlineStr">
        <is>
          <t>6a. Cooling Model - Global</t>
        </is>
      </c>
      <c r="C138" s="2" t="inlineStr">
        <is>
          <t>C10</t>
        </is>
      </c>
      <c r="D138" s="2" t="inlineStr">
        <is>
          <t>Emission rate, Midlatitude (5 regions), CESM2</t>
        </is>
      </c>
      <c r="E138" s="2" t="n">
        <v>12.5</v>
      </c>
      <c r="F138" s="2" t="inlineStr">
        <is>
          <t>Tg/yr</t>
        </is>
      </c>
      <c r="G138" s="2" t="inlineStr">
        <is>
          <t>Hirasawa et al. 2026, J. Climate 39(2): 14 regions, 3 models, equal-forcing emissions</t>
        </is>
      </c>
      <c r="H138" s="2" t="inlineStr">
        <is>
          <t>Hirasawa et al. 2026 (J. Clim.)</t>
        </is>
      </c>
      <c r="I138" s="2" t="inlineStr">
        <is>
          <t>Hirasawa, H., Henry, M., Mason, E., Rasch, P. J., Doherty, S. J., Wood, R. (2026). Forcing Susceptibility and Climate Sensitivity to Midlatitude Marine Cloud Brightening. J. Climate, 39(2), 769-784.</t>
        </is>
      </c>
      <c r="J138" s="2" t="inlineStr">
        <is>
          <t>10.1175/JCLI-D-25-0337.1</t>
        </is>
      </c>
      <c r="K138" s="8" t="inlineStr">
        <is>
          <t>https://doi.org/10.1175/JCLI-D-25-0337.1</t>
        </is>
      </c>
      <c r="L138" s="2" t="n">
        <v>200</v>
      </c>
      <c r="M138" s="2" t="inlineStr">
        <is>
          <t>Sect. 2a (nominal per-region rates from R2024); Fig. 1 &amp; 3 captions</t>
        </is>
      </c>
      <c r="N138" s="2" t="inlineStr">
        <is>
          <t>full text</t>
        </is>
      </c>
      <c r="O138" s="2" t="n">
        <v>12.5</v>
      </c>
      <c r="P138" s="2" t="inlineStr">
        <is>
          <t>point</t>
        </is>
      </c>
      <c r="Q138" s="2" t="n"/>
      <c r="R138" s="2" t="n"/>
      <c r="S138" s="2" t="inlineStr">
        <is>
          <t>range stated</t>
        </is>
      </c>
      <c r="T138" s="2" t="inlineStr">
        <is>
          <t>Nominal rate per model, applied per region</t>
        </is>
      </c>
      <c r="U138" s="2" t="inlineStr">
        <is>
          <t>Per-region nominal: CESM2 2.5, E3SMv2 16.5, UKESM1.0 50 Tg/yr</t>
        </is>
      </c>
      <c r="V138" s="7" t="inlineStr">
        <is>
          <t>within</t>
        </is>
      </c>
      <c r="W138" s="2" t="inlineStr">
        <is>
          <t>neutral</t>
        </is>
      </c>
      <c r="X138" s="2" t="inlineStr">
        <is>
          <t>high</t>
        </is>
      </c>
      <c r="Y138" s="2" t="inlineStr">
        <is>
          <t>Derived total 2.5 x 5. Paper stresses these mass fluxes "should not be treated as estimates of the emission rates that would be required for MCB interventions in practice".</t>
        </is>
      </c>
    </row>
    <row r="139">
      <c r="A139" s="4" t="inlineStr">
        <is>
          <t>C_physics</t>
        </is>
      </c>
      <c r="B139" s="2" t="inlineStr">
        <is>
          <t>6a. Cooling Model - Global</t>
        </is>
      </c>
      <c r="C139" s="2" t="inlineStr">
        <is>
          <t>C11</t>
        </is>
      </c>
      <c r="D139" s="2" t="inlineStr">
        <is>
          <t>Emission rate, Midlatitude (5 regions), E3SMv2</t>
        </is>
      </c>
      <c r="E139" s="2" t="n">
        <v>82.5</v>
      </c>
      <c r="F139" s="2" t="inlineStr">
        <is>
          <t>Tg/yr</t>
        </is>
      </c>
      <c r="G139" s="2" t="inlineStr">
        <is>
          <t>Hirasawa et al. 2026, J. Climate 39(2): 14 regions, 3 models, equal-forcing emissions</t>
        </is>
      </c>
      <c r="H139" s="2" t="inlineStr">
        <is>
          <t>Hirasawa et al. 2026 (J. Clim.)</t>
        </is>
      </c>
      <c r="I139" s="2" t="inlineStr">
        <is>
          <t>Hirasawa, H., Henry, M., Mason, E., Rasch, P. J., Doherty, S. J., Wood, R. (2026). Forcing Susceptibility and Climate Sensitivity to Midlatitude Marine Cloud Brightening. J. Climate, 39(2), 769-784.</t>
        </is>
      </c>
      <c r="J139" s="2" t="inlineStr">
        <is>
          <t>10.1175/JCLI-D-25-0337.1</t>
        </is>
      </c>
      <c r="K139" s="8" t="inlineStr">
        <is>
          <t>https://doi.org/10.1175/JCLI-D-25-0337.1</t>
        </is>
      </c>
      <c r="L139" s="2" t="n">
        <v>200</v>
      </c>
      <c r="M139" s="2" t="inlineStr">
        <is>
          <t>Sect. 2a (nominal per-region rates from R2024); Fig. 1 &amp; 3 captions</t>
        </is>
      </c>
      <c r="N139" s="2" t="inlineStr">
        <is>
          <t>full text</t>
        </is>
      </c>
      <c r="O139" s="2" t="n">
        <v>82.5</v>
      </c>
      <c r="P139" s="2" t="inlineStr">
        <is>
          <t>point</t>
        </is>
      </c>
      <c r="Q139" s="2" t="n"/>
      <c r="R139" s="2" t="n"/>
      <c r="S139" s="2" t="inlineStr">
        <is>
          <t>range stated</t>
        </is>
      </c>
      <c r="T139" s="2" t="inlineStr">
        <is>
          <t>Nominal rate per model, applied per region</t>
        </is>
      </c>
      <c r="U139" s="2" t="inlineStr">
        <is>
          <t>Per-region nominal: CESM2 2.5, E3SMv2 16.5, UKESM1.0 50 Tg/yr</t>
        </is>
      </c>
      <c r="V139" s="7" t="inlineStr">
        <is>
          <t>within</t>
        </is>
      </c>
      <c r="W139" s="2" t="inlineStr">
        <is>
          <t>neutral</t>
        </is>
      </c>
      <c r="X139" s="2" t="inlineStr">
        <is>
          <t>high</t>
        </is>
      </c>
      <c r="Y139" s="2" t="inlineStr">
        <is>
          <t>Derived total 16.5 x 5. Paper stresses these mass fluxes "should not be treated as estimates of the emission rates that would be required for MCB interventions in practice".</t>
        </is>
      </c>
    </row>
    <row r="140">
      <c r="A140" s="4" t="inlineStr">
        <is>
          <t>C_physics</t>
        </is>
      </c>
      <c r="B140" s="2" t="inlineStr">
        <is>
          <t>6a. Cooling Model - Global</t>
        </is>
      </c>
      <c r="C140" s="2" t="inlineStr">
        <is>
          <t>C12</t>
        </is>
      </c>
      <c r="D140" s="2" t="inlineStr">
        <is>
          <t>Emission rate, Midlatitude (5 regions), UKESM1.0</t>
        </is>
      </c>
      <c r="E140" s="2" t="n">
        <v>250</v>
      </c>
      <c r="F140" s="2" t="inlineStr">
        <is>
          <t>Tg/yr</t>
        </is>
      </c>
      <c r="G140" s="2" t="inlineStr">
        <is>
          <t>Hirasawa et al. 2026, J. Climate 39(2): 14 regions, 3 models, equal-forcing emissions</t>
        </is>
      </c>
      <c r="H140" s="2" t="inlineStr">
        <is>
          <t>Hirasawa et al. 2026 (J. Clim.)</t>
        </is>
      </c>
      <c r="I140" s="2" t="inlineStr">
        <is>
          <t>Hirasawa, H., Henry, M., Mason, E., Rasch, P. J., Doherty, S. J., Wood, R. (2026). Forcing Susceptibility and Climate Sensitivity to Midlatitude Marine Cloud Brightening. J. Climate, 39(2), 769-784.</t>
        </is>
      </c>
      <c r="J140" s="2" t="inlineStr">
        <is>
          <t>10.1175/JCLI-D-25-0337.1</t>
        </is>
      </c>
      <c r="K140" s="8" t="inlineStr">
        <is>
          <t>https://doi.org/10.1175/JCLI-D-25-0337.1</t>
        </is>
      </c>
      <c r="L140" s="2" t="n">
        <v>200</v>
      </c>
      <c r="M140" s="2" t="inlineStr">
        <is>
          <t>Sect. 2a (nominal per-region rates from R2024); Fig. 1 &amp; 3 captions</t>
        </is>
      </c>
      <c r="N140" s="2" t="inlineStr">
        <is>
          <t>full text</t>
        </is>
      </c>
      <c r="O140" s="2" t="n">
        <v>250</v>
      </c>
      <c r="P140" s="2" t="inlineStr">
        <is>
          <t>point</t>
        </is>
      </c>
      <c r="Q140" s="2" t="n"/>
      <c r="R140" s="2" t="n"/>
      <c r="S140" s="2" t="inlineStr">
        <is>
          <t>range stated</t>
        </is>
      </c>
      <c r="T140" s="2" t="inlineStr">
        <is>
          <t>Nominal rate per model, applied per region</t>
        </is>
      </c>
      <c r="U140" s="2" t="inlineStr">
        <is>
          <t>Per-region nominal: CESM2 2.5, E3SMv2 16.5, UKESM1.0 50 Tg/yr</t>
        </is>
      </c>
      <c r="V140" s="7" t="inlineStr">
        <is>
          <t>within</t>
        </is>
      </c>
      <c r="W140" s="2" t="inlineStr">
        <is>
          <t>neutral</t>
        </is>
      </c>
      <c r="X140" s="2" t="inlineStr">
        <is>
          <t>high</t>
        </is>
      </c>
      <c r="Y140" s="2" t="inlineStr">
        <is>
          <t>Derived total 50 x 5. Paper stresses these mass fluxes "should not be treated as estimates of the emission rates that would be required for MCB interventions in practice".</t>
        </is>
      </c>
    </row>
    <row r="141">
      <c r="A141" s="4" t="inlineStr">
        <is>
          <t>C_physics</t>
        </is>
      </c>
      <c r="B141" s="2" t="inlineStr">
        <is>
          <t>6a. Cooling Model - Global</t>
        </is>
      </c>
      <c r="C141" s="2" t="inlineStr">
        <is>
          <t>C7</t>
        </is>
      </c>
      <c r="D141" s="2" t="inlineStr">
        <is>
          <t>Emission rate, Subtropical, CESM2 (cross-check)</t>
        </is>
      </c>
      <c r="E141" s="2" t="n">
        <v>7.5</v>
      </c>
      <c r="F141" s="2" t="inlineStr">
        <is>
          <t>Tg/yr</t>
        </is>
      </c>
      <c r="G141" s="2" t="inlineStr">
        <is>
          <t>Hirasawa et al. 2026, J. Climate 39(2): 14 regions, 3 models, equal-forcing emissions</t>
        </is>
      </c>
      <c r="H141" s="2" t="inlineStr">
        <is>
          <t>Rasch et al. 2024</t>
        </is>
      </c>
      <c r="I141" s="2" t="inlineStr">
        <is>
          <t>Rasch, P. J., Hirasawa, H., Wu, M., Doherty, S. J., Wood, R., Wang, H., Jones, A., Haywood, J., Singh, H. (2024). A protocol for model intercomparison of impacts of marine cloud brightening climate intervention. Geosci. Model Dev., 17, 7963-7994.</t>
        </is>
      </c>
      <c r="J141" s="2" t="inlineStr">
        <is>
          <t>10.5194/gmd-17-7963-2024</t>
        </is>
      </c>
      <c r="K141" s="8" t="inlineStr">
        <is>
          <t>https://doi.org/10.5194/gmd-17-7963-2024</t>
        </is>
      </c>
      <c r="L141" s="2" t="n">
        <v>200</v>
      </c>
      <c r="M141" s="2" t="inlineStr">
        <is>
          <t>Table 5; Sect. 3.3 text</t>
        </is>
      </c>
      <c r="N141" s="2" t="inlineStr">
        <is>
          <t>full text</t>
        </is>
      </c>
      <c r="O141" s="2" t="n">
        <v>7.5</v>
      </c>
      <c r="P141" s="2" t="inlineStr">
        <is>
          <t>point</t>
        </is>
      </c>
      <c r="Q141" s="2" t="n"/>
      <c r="R141" s="2" t="n"/>
      <c r="S141" s="2" t="inlineStr">
        <is>
          <t>range stated</t>
        </is>
      </c>
      <c r="T141" s="2" t="inlineStr">
        <is>
          <t>3 models</t>
        </is>
      </c>
      <c r="U141" s="2" t="inlineStr">
        <is>
          <t>CESM2 2.5/region (7.5 total) -&gt; -1.8 W/m2; E3SMv2 16/region -&gt; -1.8; UKESM1 25/region -&gt; -1.7 W/m2</t>
        </is>
      </c>
      <c r="V141" s="7" t="inlineStr">
        <is>
          <t>within</t>
        </is>
      </c>
      <c r="W141" s="2" t="inlineStr">
        <is>
          <t>neutral</t>
        </is>
      </c>
      <c r="X141" s="2" t="inlineStr">
        <is>
          <t>high</t>
        </is>
      </c>
      <c r="Y141" s="2" t="inlineStr"/>
    </row>
    <row r="142">
      <c r="A142" s="4" t="inlineStr">
        <is>
          <t>C_physics</t>
        </is>
      </c>
      <c r="B142" s="2" t="inlineStr">
        <is>
          <t>6a. Cooling Model - Global</t>
        </is>
      </c>
      <c r="C142" s="2" t="inlineStr">
        <is>
          <t>E7</t>
        </is>
      </c>
      <c r="D142" s="2" t="inlineStr">
        <is>
          <t>Cooling efficiency, Subtropical, CESM2</t>
        </is>
      </c>
      <c r="E142" s="2" t="n">
        <v>-0.14</v>
      </c>
      <c r="F142" s="2" t="inlineStr">
        <is>
          <t>K per Tg/yr</t>
        </is>
      </c>
      <c r="G142" s="2" t="inlineStr">
        <is>
          <t>Hirasawa et al. 2026, J. Climate 39(2): 14 regions, 3 models, equal-forcing emissions</t>
        </is>
      </c>
      <c r="H142" s="2" t="inlineStr">
        <is>
          <t>Hirasawa et al. 2026 (J. Clim.)</t>
        </is>
      </c>
      <c r="I142" s="2" t="inlineStr">
        <is>
          <t>Hirasawa, H., Henry, M., Mason, E., Rasch, P. J., Doherty, S. J., Wood, R. (2026). Forcing Susceptibility and Climate Sensitivity to Midlatitude Marine Cloud Brightening. J. Climate, 39(2), 769-784.</t>
        </is>
      </c>
      <c r="J142" s="2" t="inlineStr">
        <is>
          <t>10.1175/JCLI-D-25-0337.1</t>
        </is>
      </c>
      <c r="K142" s="8" t="inlineStr">
        <is>
          <t>https://doi.org/10.1175/JCLI-D-25-0337.1</t>
        </is>
      </c>
      <c r="L142" s="2" t="n">
        <v>200</v>
      </c>
      <c r="M142" s="2" t="inlineStr">
        <is>
          <t>Sect. 3c text (Delta T midlat / subtrop, K yr Tg-1)</t>
        </is>
      </c>
      <c r="N142" s="2" t="inlineStr">
        <is>
          <t>full text</t>
        </is>
      </c>
      <c r="O142" s="2" t="n">
        <v>-0.14</v>
      </c>
      <c r="P142" s="2" t="inlineStr">
        <is>
          <t>point</t>
        </is>
      </c>
      <c r="Q142" s="2" t="n">
        <v>-0.14</v>
      </c>
      <c r="R142" s="2" t="n">
        <v>-0.00756</v>
      </c>
      <c r="S142" s="2" t="inlineStr">
        <is>
          <t>model spread</t>
        </is>
      </c>
      <c r="T142" s="2" t="inlineStr">
        <is>
          <t>3 ESMs; coupled SSP2-4.5 + MCB, midcentury</t>
        </is>
      </c>
      <c r="U142" s="2" t="inlineStr">
        <is>
          <t>Subtropical: ~18.5x spread across 3 models (derived)</t>
        </is>
      </c>
      <c r="V142" s="7" t="inlineStr">
        <is>
          <t>within</t>
        </is>
      </c>
      <c r="W142" s="2" t="inlineStr">
        <is>
          <t>neutral</t>
        </is>
      </c>
      <c r="X142" s="2" t="inlineStr">
        <is>
          <t>high</t>
        </is>
      </c>
      <c r="Y142" s="2" t="inlineStr">
        <is>
          <t>Matches paper text. Workbook D7 = -1.042 K is consistent (-1.042/7.5 = -0.13893); GMST values themselves are in figure titles (not machine-readable) and were not read directly.</t>
        </is>
      </c>
    </row>
    <row r="143">
      <c r="A143" s="4" t="inlineStr">
        <is>
          <t>C_physics</t>
        </is>
      </c>
      <c r="B143" s="2" t="inlineStr">
        <is>
          <t>6a. Cooling Model - Global</t>
        </is>
      </c>
      <c r="C143" s="2" t="inlineStr">
        <is>
          <t>E8</t>
        </is>
      </c>
      <c r="D143" s="2" t="inlineStr">
        <is>
          <t>Cooling efficiency, Subtropical, E3SMv2</t>
        </is>
      </c>
      <c r="E143" s="2" t="n">
        <v>-0.0231</v>
      </c>
      <c r="F143" s="2" t="inlineStr">
        <is>
          <t>K per Tg/yr</t>
        </is>
      </c>
      <c r="G143" s="2" t="inlineStr">
        <is>
          <t>Hirasawa et al. 2026, J. Climate 39(2): 14 regions, 3 models, equal-forcing emissions</t>
        </is>
      </c>
      <c r="H143" s="2" t="inlineStr">
        <is>
          <t>Hirasawa et al. 2026 (J. Clim.)</t>
        </is>
      </c>
      <c r="I143" s="2" t="inlineStr">
        <is>
          <t>Hirasawa, H., Henry, M., Mason, E., Rasch, P. J., Doherty, S. J., Wood, R. (2026). Forcing Susceptibility and Climate Sensitivity to Midlatitude Marine Cloud Brightening. J. Climate, 39(2), 769-784.</t>
        </is>
      </c>
      <c r="J143" s="2" t="inlineStr">
        <is>
          <t>10.1175/JCLI-D-25-0337.1</t>
        </is>
      </c>
      <c r="K143" s="8" t="inlineStr">
        <is>
          <t>https://doi.org/10.1175/JCLI-D-25-0337.1</t>
        </is>
      </c>
      <c r="L143" s="2" t="n">
        <v>200</v>
      </c>
      <c r="M143" s="2" t="inlineStr">
        <is>
          <t>Sect. 3c text (Delta T midlat / subtrop, K yr Tg-1)</t>
        </is>
      </c>
      <c r="N143" s="2" t="inlineStr">
        <is>
          <t>full text</t>
        </is>
      </c>
      <c r="O143" s="2" t="n">
        <v>-0.0231</v>
      </c>
      <c r="P143" s="2" t="inlineStr">
        <is>
          <t>point</t>
        </is>
      </c>
      <c r="Q143" s="2" t="n">
        <v>-0.14</v>
      </c>
      <c r="R143" s="2" t="n">
        <v>-0.00756</v>
      </c>
      <c r="S143" s="2" t="inlineStr">
        <is>
          <t>model spread</t>
        </is>
      </c>
      <c r="T143" s="2" t="inlineStr">
        <is>
          <t>3 ESMs; coupled SSP2-4.5 + MCB, midcentury</t>
        </is>
      </c>
      <c r="U143" s="2" t="inlineStr">
        <is>
          <t>Subtropical: ~18.5x spread across 3 models (derived)</t>
        </is>
      </c>
      <c r="V143" s="7" t="inlineStr">
        <is>
          <t>within</t>
        </is>
      </c>
      <c r="W143" s="2" t="inlineStr">
        <is>
          <t>neutral</t>
        </is>
      </c>
      <c r="X143" s="2" t="inlineStr">
        <is>
          <t>high</t>
        </is>
      </c>
      <c r="Y143" s="2" t="inlineStr">
        <is>
          <t>Matches paper text. Workbook D8 = -1.145 K is consistent (-1.145/49.5 = -0.02313); GMST values themselves are in figure titles (not machine-readable) and were not read directly.</t>
        </is>
      </c>
    </row>
    <row r="144">
      <c r="A144" s="4" t="inlineStr">
        <is>
          <t>C_physics</t>
        </is>
      </c>
      <c r="B144" s="2" t="inlineStr">
        <is>
          <t>6a. Cooling Model - Global</t>
        </is>
      </c>
      <c r="C144" s="2" t="inlineStr">
        <is>
          <t>E9</t>
        </is>
      </c>
      <c r="D144" s="2" t="inlineStr">
        <is>
          <t>Cooling efficiency, Subtropical, UKESM1.0</t>
        </is>
      </c>
      <c r="E144" s="2" t="n">
        <v>-0.00756</v>
      </c>
      <c r="F144" s="2" t="inlineStr">
        <is>
          <t>K per Tg/yr</t>
        </is>
      </c>
      <c r="G144" s="2" t="inlineStr">
        <is>
          <t>Hirasawa et al. 2026, J. Climate 39(2): 14 regions, 3 models, equal-forcing emissions</t>
        </is>
      </c>
      <c r="H144" s="2" t="inlineStr">
        <is>
          <t>Hirasawa et al. 2026 (J. Clim.)</t>
        </is>
      </c>
      <c r="I144" s="2" t="inlineStr">
        <is>
          <t>Hirasawa, H., Henry, M., Mason, E., Rasch, P. J., Doherty, S. J., Wood, R. (2026). Forcing Susceptibility and Climate Sensitivity to Midlatitude Marine Cloud Brightening. J. Climate, 39(2), 769-784.</t>
        </is>
      </c>
      <c r="J144" s="2" t="inlineStr">
        <is>
          <t>10.1175/JCLI-D-25-0337.1</t>
        </is>
      </c>
      <c r="K144" s="8" t="inlineStr">
        <is>
          <t>https://doi.org/10.1175/JCLI-D-25-0337.1</t>
        </is>
      </c>
      <c r="L144" s="2" t="n">
        <v>200</v>
      </c>
      <c r="M144" s="2" t="inlineStr">
        <is>
          <t>Sect. 3c text (Delta T midlat / subtrop, K yr Tg-1)</t>
        </is>
      </c>
      <c r="N144" s="2" t="inlineStr">
        <is>
          <t>full text</t>
        </is>
      </c>
      <c r="O144" s="2" t="n">
        <v>-0.00756</v>
      </c>
      <c r="P144" s="2" t="inlineStr">
        <is>
          <t>point</t>
        </is>
      </c>
      <c r="Q144" s="2" t="n">
        <v>-0.14</v>
      </c>
      <c r="R144" s="2" t="n">
        <v>-0.00756</v>
      </c>
      <c r="S144" s="2" t="inlineStr">
        <is>
          <t>model spread</t>
        </is>
      </c>
      <c r="T144" s="2" t="inlineStr">
        <is>
          <t>3 ESMs; coupled SSP2-4.5 + MCB, midcentury</t>
        </is>
      </c>
      <c r="U144" s="2" t="inlineStr">
        <is>
          <t>Subtropical: ~18.5x spread across 3 models (derived)</t>
        </is>
      </c>
      <c r="V144" s="7" t="inlineStr">
        <is>
          <t>within</t>
        </is>
      </c>
      <c r="W144" s="2" t="inlineStr">
        <is>
          <t>neutral</t>
        </is>
      </c>
      <c r="X144" s="2" t="inlineStr">
        <is>
          <t>high</t>
        </is>
      </c>
      <c r="Y144" s="2" t="inlineStr">
        <is>
          <t>Matches paper text. Workbook D9 = -1.134 K is consistent (-1.134/150 = -0.00756); GMST values themselves are in figure titles (not machine-readable) and were not read directly.</t>
        </is>
      </c>
    </row>
    <row r="145">
      <c r="A145" s="4" t="inlineStr">
        <is>
          <t>C_physics</t>
        </is>
      </c>
      <c r="B145" s="2" t="inlineStr">
        <is>
          <t>6a. Cooling Model - Global</t>
        </is>
      </c>
      <c r="C145" s="2" t="inlineStr">
        <is>
          <t>E10</t>
        </is>
      </c>
      <c r="D145" s="2" t="inlineStr">
        <is>
          <t>Cooling efficiency, Midlatitude, CESM2</t>
        </is>
      </c>
      <c r="E145" s="2" t="n">
        <v>-0.236</v>
      </c>
      <c r="F145" s="2" t="inlineStr">
        <is>
          <t>K per Tg/yr</t>
        </is>
      </c>
      <c r="G145" s="2" t="inlineStr">
        <is>
          <t>Hirasawa et al. 2026, J. Climate 39(2): 14 regions, 3 models, equal-forcing emissions</t>
        </is>
      </c>
      <c r="H145" s="2" t="inlineStr">
        <is>
          <t>Hirasawa et al. 2026 (J. Clim.)</t>
        </is>
      </c>
      <c r="I145" s="2" t="inlineStr">
        <is>
          <t>Hirasawa, H., Henry, M., Mason, E., Rasch, P. J., Doherty, S. J., Wood, R. (2026). Forcing Susceptibility and Climate Sensitivity to Midlatitude Marine Cloud Brightening. J. Climate, 39(2), 769-784.</t>
        </is>
      </c>
      <c r="J145" s="2" t="inlineStr">
        <is>
          <t>10.1175/JCLI-D-25-0337.1</t>
        </is>
      </c>
      <c r="K145" s="8" t="inlineStr">
        <is>
          <t>https://doi.org/10.1175/JCLI-D-25-0337.1</t>
        </is>
      </c>
      <c r="L145" s="2" t="n">
        <v>200</v>
      </c>
      <c r="M145" s="2" t="inlineStr">
        <is>
          <t>Sect. 3c text (Delta T midlat / subtrop, K yr Tg-1)</t>
        </is>
      </c>
      <c r="N145" s="2" t="inlineStr">
        <is>
          <t>full text</t>
        </is>
      </c>
      <c r="O145" s="2" t="n">
        <v>-0.231</v>
      </c>
      <c r="P145" s="2" t="inlineStr">
        <is>
          <t>point</t>
        </is>
      </c>
      <c r="Q145" s="2" t="n">
        <v>-0.231</v>
      </c>
      <c r="R145" s="2" t="n">
        <v>-0.00754</v>
      </c>
      <c r="S145" s="2" t="inlineStr">
        <is>
          <t>model spread</t>
        </is>
      </c>
      <c r="T145" s="2" t="inlineStr">
        <is>
          <t>3 ESMs; coupled SSP2-4.5 + MCB, midcentury</t>
        </is>
      </c>
      <c r="U145" s="2" t="inlineStr">
        <is>
          <t>Midlatitude: ~30.6x spread across 3 models (derived)</t>
        </is>
      </c>
      <c r="V145" s="5" t="inlineStr">
        <is>
          <t>above range</t>
        </is>
      </c>
      <c r="W145" s="2" t="inlineStr">
        <is>
          <t>yes</t>
        </is>
      </c>
      <c r="X145" s="2" t="inlineStr">
        <is>
          <t>high</t>
        </is>
      </c>
      <c r="Y145" s="2" t="inlineStr">
        <is>
          <t>Workbook E10 = D10/C10 = -2.948/12.5 = -0.236, but the paper text gives -0.231 K yr Tg-1 (2% stronger in workbook). The implied GMST at 12.5 Tg/yr is -2.89 K (derived), not -2.948. Propagates to D13 (Ghosh) and B34.</t>
        </is>
      </c>
    </row>
    <row r="146">
      <c r="A146" s="4" t="inlineStr">
        <is>
          <t>C_physics</t>
        </is>
      </c>
      <c r="B146" s="2" t="inlineStr">
        <is>
          <t>6a. Cooling Model - Global</t>
        </is>
      </c>
      <c r="C146" s="2" t="inlineStr">
        <is>
          <t>E11</t>
        </is>
      </c>
      <c r="D146" s="2" t="inlineStr">
        <is>
          <t>Cooling efficiency, Midlatitude, E3SMv2</t>
        </is>
      </c>
      <c r="E146" s="2" t="n">
        <v>-0.0372</v>
      </c>
      <c r="F146" s="2" t="inlineStr">
        <is>
          <t>K per Tg/yr</t>
        </is>
      </c>
      <c r="G146" s="2" t="inlineStr">
        <is>
          <t>Hirasawa et al. 2026, J. Climate 39(2): 14 regions, 3 models, equal-forcing emissions</t>
        </is>
      </c>
      <c r="H146" s="2" t="inlineStr">
        <is>
          <t>Hirasawa et al. 2026 (J. Clim.)</t>
        </is>
      </c>
      <c r="I146" s="2" t="inlineStr">
        <is>
          <t>Hirasawa, H., Henry, M., Mason, E., Rasch, P. J., Doherty, S. J., Wood, R. (2026). Forcing Susceptibility and Climate Sensitivity to Midlatitude Marine Cloud Brightening. J. Climate, 39(2), 769-784.</t>
        </is>
      </c>
      <c r="J146" s="2" t="inlineStr">
        <is>
          <t>10.1175/JCLI-D-25-0337.1</t>
        </is>
      </c>
      <c r="K146" s="8" t="inlineStr">
        <is>
          <t>https://doi.org/10.1175/JCLI-D-25-0337.1</t>
        </is>
      </c>
      <c r="L146" s="2" t="n">
        <v>200</v>
      </c>
      <c r="M146" s="2" t="inlineStr">
        <is>
          <t>Sect. 3c text (Delta T midlat / subtrop, K yr Tg-1)</t>
        </is>
      </c>
      <c r="N146" s="2" t="inlineStr">
        <is>
          <t>full text</t>
        </is>
      </c>
      <c r="O146" s="2" t="n">
        <v>-0.0372</v>
      </c>
      <c r="P146" s="2" t="inlineStr">
        <is>
          <t>point</t>
        </is>
      </c>
      <c r="Q146" s="2" t="n">
        <v>-0.231</v>
      </c>
      <c r="R146" s="2" t="n">
        <v>-0.00754</v>
      </c>
      <c r="S146" s="2" t="inlineStr">
        <is>
          <t>model spread</t>
        </is>
      </c>
      <c r="T146" s="2" t="inlineStr">
        <is>
          <t>3 ESMs; coupled SSP2-4.5 + MCB, midcentury</t>
        </is>
      </c>
      <c r="U146" s="2" t="inlineStr">
        <is>
          <t>Midlatitude: ~30.6x spread across 3 models (derived)</t>
        </is>
      </c>
      <c r="V146" s="7" t="inlineStr">
        <is>
          <t>within</t>
        </is>
      </c>
      <c r="W146" s="2" t="inlineStr">
        <is>
          <t>neutral</t>
        </is>
      </c>
      <c r="X146" s="2" t="inlineStr">
        <is>
          <t>high</t>
        </is>
      </c>
      <c r="Y146" s="2" t="inlineStr">
        <is>
          <t>Matches paper text. Workbook D11 = -3.065 K is consistent (-3.065/82.5 = -0.03715); GMST values themselves are in figure titles (not machine-readable) and were not read directly.</t>
        </is>
      </c>
    </row>
    <row r="147">
      <c r="A147" s="4" t="inlineStr">
        <is>
          <t>C_physics</t>
        </is>
      </c>
      <c r="B147" s="2" t="inlineStr">
        <is>
          <t>6a. Cooling Model - Global</t>
        </is>
      </c>
      <c r="C147" s="2" t="inlineStr">
        <is>
          <t>E12</t>
        </is>
      </c>
      <c r="D147" s="2" t="inlineStr">
        <is>
          <t>Cooling efficiency, Midlatitude, UKESM1.0</t>
        </is>
      </c>
      <c r="E147" s="2" t="n">
        <v>-0.00754</v>
      </c>
      <c r="F147" s="2" t="inlineStr">
        <is>
          <t>K per Tg/yr</t>
        </is>
      </c>
      <c r="G147" s="2" t="inlineStr">
        <is>
          <t>Hirasawa et al. 2026, J. Climate 39(2): 14 regions, 3 models, equal-forcing emissions</t>
        </is>
      </c>
      <c r="H147" s="2" t="inlineStr">
        <is>
          <t>Hirasawa et al. 2026 (J. Clim.)</t>
        </is>
      </c>
      <c r="I147" s="2" t="inlineStr">
        <is>
          <t>Hirasawa, H., Henry, M., Mason, E., Rasch, P. J., Doherty, S. J., Wood, R. (2026). Forcing Susceptibility and Climate Sensitivity to Midlatitude Marine Cloud Brightening. J. Climate, 39(2), 769-784.</t>
        </is>
      </c>
      <c r="J147" s="2" t="inlineStr">
        <is>
          <t>10.1175/JCLI-D-25-0337.1</t>
        </is>
      </c>
      <c r="K147" s="8" t="inlineStr">
        <is>
          <t>https://doi.org/10.1175/JCLI-D-25-0337.1</t>
        </is>
      </c>
      <c r="L147" s="2" t="n">
        <v>200</v>
      </c>
      <c r="M147" s="2" t="inlineStr">
        <is>
          <t>Sect. 3c text (Delta T midlat / subtrop, K yr Tg-1)</t>
        </is>
      </c>
      <c r="N147" s="2" t="inlineStr">
        <is>
          <t>full text</t>
        </is>
      </c>
      <c r="O147" s="2" t="n">
        <v>-0.00754</v>
      </c>
      <c r="P147" s="2" t="inlineStr">
        <is>
          <t>point</t>
        </is>
      </c>
      <c r="Q147" s="2" t="n">
        <v>-0.231</v>
      </c>
      <c r="R147" s="2" t="n">
        <v>-0.00754</v>
      </c>
      <c r="S147" s="2" t="inlineStr">
        <is>
          <t>model spread</t>
        </is>
      </c>
      <c r="T147" s="2" t="inlineStr">
        <is>
          <t>3 ESMs; coupled SSP2-4.5 + MCB, midcentury</t>
        </is>
      </c>
      <c r="U147" s="2" t="inlineStr">
        <is>
          <t>Midlatitude: ~30.6x spread across 3 models (derived)</t>
        </is>
      </c>
      <c r="V147" s="7" t="inlineStr">
        <is>
          <t>within</t>
        </is>
      </c>
      <c r="W147" s="2" t="inlineStr">
        <is>
          <t>neutral</t>
        </is>
      </c>
      <c r="X147" s="2" t="inlineStr">
        <is>
          <t>high</t>
        </is>
      </c>
      <c r="Y147" s="2" t="inlineStr">
        <is>
          <t>Matches paper text. Workbook D12 = -1.886 K is consistent (-1.886/250 = -0.00754); GMST values themselves are in figure titles (not machine-readable) and were not read directly.</t>
        </is>
      </c>
    </row>
    <row r="148">
      <c r="A148" s="4" t="inlineStr">
        <is>
          <t>C_physics</t>
        </is>
      </c>
      <c r="B148" s="2" t="inlineStr">
        <is>
          <t>6a. Cooling Model - Global</t>
        </is>
      </c>
      <c r="C148" s="2" t="inlineStr">
        <is>
          <t>D7:D12</t>
        </is>
      </c>
      <c r="D148" s="2" t="inlineStr">
        <is>
          <t>Implied cooling per unit ERF of the ESM runs</t>
        </is>
      </c>
      <c r="E148" s="2" t="n">
        <v>0.58</v>
      </c>
      <c r="F148" s="2" t="inlineStr">
        <is>
          <t>K per W/m2</t>
        </is>
      </c>
      <c r="G148" s="2" t="inlineStr">
        <is>
          <t>Derived from 6a D7 and Rasch 2024 forcing</t>
        </is>
      </c>
      <c r="H148" s="2" t="inlineStr">
        <is>
          <t>Forster et al. 2021 (IPCC AR6 WG1 Ch7)</t>
        </is>
      </c>
      <c r="I148" s="2" t="inlineStr">
        <is>
          <t>Forster, P., Storelvmo, T., Armour, K., et al. (2021). The Earth's Energy Budget, Climate Feedbacks, and Climate Sensitivity. In Climate Change 2021: The Physical Science Basis, WG1 AR6, Ch. 7, pp. 923-1054. Cambridge Univ. Press.</t>
        </is>
      </c>
      <c r="J148" s="2" t="inlineStr">
        <is>
          <t>10.1017/9781009157896.009</t>
        </is>
      </c>
      <c r="K148" s="8" t="inlineStr">
        <is>
          <t>https://doi.org/10.1017/9781009157896.009</t>
        </is>
      </c>
      <c r="L148" s="2" t="n">
        <v>200</v>
      </c>
      <c r="M148" s="2" t="inlineStr">
        <is>
          <t>Executive Summary pp.925-927 (ERF 2xCO2, ECS, TCR)</t>
        </is>
      </c>
      <c r="N148" s="2" t="inlineStr">
        <is>
          <t>full text</t>
        </is>
      </c>
      <c r="O148" s="2" t="n">
        <v>0.46</v>
      </c>
      <c r="P148" s="2" t="inlineStr">
        <is>
          <t>point</t>
        </is>
      </c>
      <c r="Q148" s="2" t="n">
        <v>0.36</v>
      </c>
      <c r="R148" s="2" t="n">
        <v>0.5600000000000001</v>
      </c>
      <c r="S148" s="2" t="inlineStr">
        <is>
          <t>range stated</t>
        </is>
      </c>
      <c r="T148" s="2" t="inlineStr">
        <is>
          <t>IPCC assessed (multiple lines of evidence); likely (66%) range</t>
        </is>
      </c>
      <c r="U148" s="2" t="inlineStr">
        <is>
          <t>ERF2x 3.93 +/- 0.47; ECS 3 (likely 2.5-4, very likely 2-5); TCR 1.8 (likely 1.4-2.2, very likely 1.2-2.4) -&gt; TCR/F2x 0.46 (likely 0.36-0.56) K per W/m2</t>
        </is>
      </c>
      <c r="V148" s="5" t="inlineStr">
        <is>
          <t>above range</t>
        </is>
      </c>
      <c r="W148" s="2" t="inlineStr">
        <is>
          <t>yes</t>
        </is>
      </c>
      <c r="X148" s="2" t="inlineStr">
        <is>
          <t>medium</t>
        </is>
      </c>
      <c r="Y148" s="2" t="inlineStr">
        <is>
          <t>Derived: workbook-implied CESM2 subtropical 1.042 K / 1.8 W/m2 = 0.58; E3SMv2 1.145/1.8 = 0.64; UKESM1 1.134/2.42 = 0.47. The two CESM/E3SM values exceed the AR6 likely TCR-based ratio. Coupled runs are not at equilibrium and the pattern effect matters, so this is an indicative check only.</t>
        </is>
      </c>
    </row>
    <row r="149">
      <c r="A149" s="4" t="inlineStr">
        <is>
          <t>C_physics</t>
        </is>
      </c>
      <c r="B149" s="2" t="inlineStr">
        <is>
          <t>6a. Cooling Model - Global</t>
        </is>
      </c>
      <c r="C149" s="2" t="inlineStr">
        <is>
          <t>D7:D12</t>
        </is>
      </c>
      <c r="D149" s="2" t="inlineStr">
        <is>
          <t>Implied cooling per unit ERF of the ESM runs</t>
        </is>
      </c>
      <c r="E149" s="2" t="n">
        <v>0.58</v>
      </c>
      <c r="F149" s="2" t="inlineStr">
        <is>
          <t>K per W/m2</t>
        </is>
      </c>
      <c r="G149" s="2" t="inlineStr">
        <is>
          <t>Derived</t>
        </is>
      </c>
      <c r="H149" s="2" t="inlineStr">
        <is>
          <t>Meehl et al. 2020</t>
        </is>
      </c>
      <c r="I149" s="2" t="inlineStr">
        <is>
          <t>Meehl, G. A., Senior, C. A., Eyring, V., et al. (2020). Context for interpreting equilibrium climate sensitivity and transient climate response from the CMIP6 Earth system models. Sci. Adv., 6, eaba1981.</t>
        </is>
      </c>
      <c r="J149" s="2" t="inlineStr">
        <is>
          <t>10.1126/sciadv.aba1981</t>
        </is>
      </c>
      <c r="K149" s="8" t="inlineStr">
        <is>
          <t>https://doi.org/10.1126/sciadv.aba1981</t>
        </is>
      </c>
      <c r="L149" s="2" t="n">
        <v>403</v>
      </c>
      <c r="M149" s="2" t="inlineStr">
        <is>
          <t>Table 1</t>
        </is>
      </c>
      <c r="N149" s="2" t="inlineStr">
        <is>
          <t>full text</t>
        </is>
      </c>
      <c r="O149" s="2" t="n">
        <v>3.7</v>
      </c>
      <c r="P149" s="2" t="inlineStr">
        <is>
          <t>mean</t>
        </is>
      </c>
      <c r="Q149" s="2" t="n">
        <v>2.6</v>
      </c>
      <c r="R149" s="2" t="n">
        <v>4.8</v>
      </c>
      <c r="S149" s="2" t="inlineStr">
        <is>
          <t>SD</t>
        </is>
      </c>
      <c r="T149" s="2" t="inlineStr">
        <is>
          <t>~40 CMIP6 models (ECS); TCR mean 2.0 SD 0.4</t>
        </is>
      </c>
      <c r="U149" s="2" t="inlineStr">
        <is>
          <t>CESM2 ECS 5.2 / TCR 2.0; UKESM1-0-LL ECS 5.3 / TCR 2.8; E3SM-1-0 ECS 5.3 / TCR 3.0; CMIP6 mean ECS 3.7 (SD 1.1), TCR 2.0 (SD 0.4)</t>
        </is>
      </c>
      <c r="V149" s="5" t="inlineStr">
        <is>
          <t>above range</t>
        </is>
      </c>
      <c r="W149" s="2" t="inlineStr">
        <is>
          <t>yes</t>
        </is>
      </c>
      <c r="X149" s="2" t="inlineStr">
        <is>
          <t>high</t>
        </is>
      </c>
      <c r="Y149" s="2" t="inlineStr">
        <is>
          <t>Values shown are ECS (K). Low/high = mean +/- 1 SD (derived). CESM2 and UKESM1 are among the highest-ECS CMIP6 models, so taking their cooling at face value favours MCB vs the AR6 central ECS of 3 K.</t>
        </is>
      </c>
    </row>
    <row r="150">
      <c r="A150" s="4" t="inlineStr">
        <is>
          <t>C_physics</t>
        </is>
      </c>
      <c r="B150" s="2" t="inlineStr">
        <is>
          <t>6a. Cooling Model - Global</t>
        </is>
      </c>
      <c r="C150" s="2" t="inlineStr">
        <is>
          <t>D8</t>
        </is>
      </c>
      <c r="D150" s="2" t="inlineStr">
        <is>
          <t>Implied cooling per unit ERF (E3SMv2 sensitivity)</t>
        </is>
      </c>
      <c r="E150" s="2" t="n">
        <v>0.64</v>
      </c>
      <c r="F150" s="2" t="inlineStr">
        <is>
          <t>K per W/m2</t>
        </is>
      </c>
      <c r="G150" s="2" t="inlineStr">
        <is>
          <t>Derived</t>
        </is>
      </c>
      <c r="H150" s="2" t="inlineStr">
        <is>
          <t>Golaz et al. 2022</t>
        </is>
      </c>
      <c r="I150" s="2" t="inlineStr">
        <is>
          <t>Golaz, J.-C., et al. (2022). The DOE E3SM Model Version 2: Overview of the Physical Model and Initial Model Evaluation. J. Adv. Model. Earth Syst., 14, e2022MS003156.</t>
        </is>
      </c>
      <c r="J150" s="2" t="inlineStr">
        <is>
          <t>10.1029/2022MS003156</t>
        </is>
      </c>
      <c r="K150" s="8" t="inlineStr">
        <is>
          <t>https://doi.org/10.1029/2022MS003156</t>
        </is>
      </c>
      <c r="L150" s="2" t="n">
        <v>403</v>
      </c>
      <c r="M150" s="2" t="inlineStr">
        <is>
          <t>Abstract</t>
        </is>
      </c>
      <c r="N150" s="2" t="inlineStr">
        <is>
          <t>abstract only</t>
        </is>
      </c>
      <c r="O150" s="2" t="n">
        <v>4</v>
      </c>
      <c r="P150" s="2" t="inlineStr">
        <is>
          <t>point</t>
        </is>
      </c>
      <c r="Q150" s="2" t="n"/>
      <c r="R150" s="2" t="n"/>
      <c r="S150" s="2" t="inlineStr">
        <is>
          <t>range stated</t>
        </is>
      </c>
      <c r="T150" s="2" t="inlineStr">
        <is>
          <t>1 model</t>
        </is>
      </c>
      <c r="U150" s="2" t="inlineStr">
        <is>
          <t>E3SMv2 ECS 4.0 K (E3SMv1 was 5.3 K)</t>
        </is>
      </c>
      <c r="V150" s="5" t="inlineStr">
        <is>
          <t>above range</t>
        </is>
      </c>
      <c r="W150" s="2" t="inlineStr">
        <is>
          <t>yes</t>
        </is>
      </c>
      <c r="X150" s="2" t="inlineStr">
        <is>
          <t>high</t>
        </is>
      </c>
      <c r="Y150" s="2" t="inlineStr">
        <is>
          <t>ECS 4.0 K is above the AR6 central 3 K but within the very likely range.</t>
        </is>
      </c>
    </row>
    <row r="151">
      <c r="A151" s="4" t="inlineStr">
        <is>
          <t>C_physics</t>
        </is>
      </c>
      <c r="B151" s="2" t="inlineStr">
        <is>
          <t>6a. Cooling Model - Global</t>
        </is>
      </c>
      <c r="C151" s="2" t="inlineStr">
        <is>
          <t>D7:D12</t>
        </is>
      </c>
      <c r="D151" s="2" t="inlineStr">
        <is>
          <t>Implied cooling per unit ERF (multi-model MCB)</t>
        </is>
      </c>
      <c r="E151" s="2" t="n">
        <v>0.58</v>
      </c>
      <c r="F151" s="2" t="inlineStr">
        <is>
          <t>K per W/m2</t>
        </is>
      </c>
      <c r="G151" s="2" t="inlineStr">
        <is>
          <t>Derived</t>
        </is>
      </c>
      <c r="H151" s="2" t="inlineStr">
        <is>
          <t>Stjern et al. 2018</t>
        </is>
      </c>
      <c r="I151" s="2" t="inlineStr">
        <is>
          <t>Stjern, C. W., Muri, H., Ahlm, L., et al. (2018). Response to marine cloud brightening in a multi-model ensemble. Atmos. Chem. Phys., 18, 621-634.</t>
        </is>
      </c>
      <c r="J151" s="2" t="inlineStr">
        <is>
          <t>10.5194/acp-18-621-2018</t>
        </is>
      </c>
      <c r="K151" s="8" t="inlineStr">
        <is>
          <t>https://doi.org/10.5194/acp-18-621-2018</t>
        </is>
      </c>
      <c r="L151" s="2" t="n">
        <v>200</v>
      </c>
      <c r="M151" s="2" t="inlineStr">
        <is>
          <t>Abstract</t>
        </is>
      </c>
      <c r="N151" s="2" t="inlineStr">
        <is>
          <t>abstract only</t>
        </is>
      </c>
      <c r="O151" s="2" t="n">
        <v>0.5</v>
      </c>
      <c r="P151" s="2" t="inlineStr">
        <is>
          <t>point</t>
        </is>
      </c>
      <c r="Q151" s="2" t="n"/>
      <c r="R151" s="2" t="n"/>
      <c r="S151" s="2" t="inlineStr">
        <is>
          <t>model spread</t>
        </is>
      </c>
      <c r="T151" s="2" t="inlineStr">
        <is>
          <t>9 GeoMIP G4cdnc models</t>
        </is>
      </c>
      <c r="U151" s="2" t="inlineStr">
        <is>
          <t>ERF -1.9 [-0.6 to -2.5] W/m2; cooling -0.95 [-0.18 to -1.19] K (2020-2060)</t>
        </is>
      </c>
      <c r="V151" s="5" t="inlineStr">
        <is>
          <t>above range</t>
        </is>
      </c>
      <c r="W151" s="2" t="inlineStr">
        <is>
          <t>yes</t>
        </is>
      </c>
      <c r="X151" s="2" t="inlineStr">
        <is>
          <t>medium</t>
        </is>
      </c>
      <c r="Y151" s="2" t="inlineStr">
        <is>
          <t>Derived ratio of medians 0.95/1.9 = 0.50 K per W/m2 (transient). Medians of different quantities, so only indicative.</t>
        </is>
      </c>
    </row>
    <row r="152">
      <c r="A152" s="4" t="inlineStr">
        <is>
          <t>C_physics</t>
        </is>
      </c>
      <c r="B152" s="2" t="inlineStr">
        <is>
          <t>6a. Cooling Model - Global</t>
        </is>
      </c>
      <c r="C152" s="2" t="inlineStr">
        <is>
          <t>D13</t>
        </is>
      </c>
      <c r="D152" s="2" t="inlineStr">
        <is>
          <t>CESM2-Ghosh cooling scale factor (12.9/7.21 = 1.79x)</t>
        </is>
      </c>
      <c r="E152" s="2" t="n">
        <v>1.789</v>
      </c>
      <c r="F152" s="2" t="inlineStr">
        <is>
          <t>x</t>
        </is>
      </c>
      <c r="G152" s="2" t="inlineStr">
        <is>
          <t>Scaled from CESM2 by salt needed for -2 W/m2 (Hirasawa 2026 preprint Table 2)</t>
        </is>
      </c>
      <c r="H152" s="2" t="inlineStr">
        <is>
          <t>Hirasawa et al. 2026 (EGUsphere preprint)</t>
        </is>
      </c>
      <c r="I152" s="2" t="inlineStr">
        <is>
          <t>Hirasawa, H., von Salzen, K., Henry, M., Smith, J., Bender, F. A.-M., Wang, C., Doherty, S., Wood, R., Rasch, P. J., Haywood, J. (2026). On the Range of Marine Cloud Brightening Radiative Forcing across Earth System Models. EGUsphere preprint, discussion started 21 Sep 2026.</t>
        </is>
      </c>
      <c r="J152" s="2" t="inlineStr">
        <is>
          <t>10.5194/egusphere-2026-5460</t>
        </is>
      </c>
      <c r="K152" s="8" t="inlineStr">
        <is>
          <t>https://doi.org/10.5194/egusphere-2026-5460</t>
        </is>
      </c>
      <c r="L152" s="2" t="n">
        <v>200</v>
      </c>
      <c r="M152" s="2" t="inlineStr">
        <is>
          <t>Table 2</t>
        </is>
      </c>
      <c r="N152" s="2" t="inlineStr">
        <is>
          <t>full text</t>
        </is>
      </c>
      <c r="O152" s="2" t="n">
        <v>1.275</v>
      </c>
      <c r="P152" s="2" t="inlineStr">
        <is>
          <t>point</t>
        </is>
      </c>
      <c r="Q152" s="2" t="n">
        <v>1.275</v>
      </c>
      <c r="R152" s="2" t="n">
        <v>1.789</v>
      </c>
      <c r="S152" s="2" t="inlineStr">
        <is>
          <t>range stated</t>
        </is>
      </c>
      <c r="T152" s="2" t="inlineStr">
        <is>
          <t>2 model configurations, subtropical NEP+SEP+SEA</t>
        </is>
      </c>
      <c r="U152" s="2" t="inlineStr">
        <is>
          <t>At equal mass (30 Tg/yr): ERFtot CESM2 -2.62 vs CESM2-Ghosh -3.34 W/m2 (ratio 1.27); at equal forcing (-2 W/m2): mass 12.9 vs 7.21 Tg/yr (ratio 1.79)</t>
        </is>
      </c>
      <c r="V152" s="5" t="inlineStr">
        <is>
          <t>above range</t>
        </is>
      </c>
      <c r="W152" s="2" t="inlineStr">
        <is>
          <t>yes</t>
        </is>
      </c>
      <c r="X152" s="2" t="inlineStr">
        <is>
          <t>high</t>
        </is>
      </c>
      <c r="Y152" s="2" t="inlineStr">
        <is>
          <t>The workbook scales COOLING at a fixed emission (12.5 Tg/yr) by the equal-FORCING mass ratio. With log-shaped ERFaci, the equal-mass forcing ratio (1.27 at 30 Tg/yr) is the right multiplier for cooling at fixed emission; 1.79 overstates the Ghosh gain ~40% (derived). Table 2 is also for SUBTROPICAL regions, applied here to midlatitude.</t>
        </is>
      </c>
    </row>
    <row r="153">
      <c r="A153" s="4" t="inlineStr">
        <is>
          <t>C_physics</t>
        </is>
      </c>
      <c r="B153" s="2" t="inlineStr">
        <is>
          <t>6a. Cooling Model - Global</t>
        </is>
      </c>
      <c r="C153" s="2" t="inlineStr">
        <is>
          <t>B16</t>
        </is>
      </c>
      <c r="D153" s="2" t="inlineStr">
        <is>
          <t>CESM2 emitted particle diameter</t>
        </is>
      </c>
      <c r="E153" s="2" t="n">
        <v>90</v>
      </c>
      <c r="F153" s="2" t="inlineStr">
        <is>
          <t>nm</t>
        </is>
      </c>
      <c r="G153" s="2" t="inlineStr">
        <is>
          <t>Hirasawa 2026, J. Climate (90 nm / 172 nm)</t>
        </is>
      </c>
      <c r="H153" s="2" t="inlineStr">
        <is>
          <t>Hirasawa et al. 2026 (EGUsphere preprint)</t>
        </is>
      </c>
      <c r="I153" s="2" t="inlineStr">
        <is>
          <t>Hirasawa, H., von Salzen, K., Henry, M., Smith, J., Bender, F. A.-M., Wang, C., Doherty, S., Wood, R., Rasch, P. J., Haywood, J. (2026). On the Range of Marine Cloud Brightening Radiative Forcing across Earth System Models. EGUsphere preprint, discussion started 21 Sep 2026.</t>
        </is>
      </c>
      <c r="J153" s="2" t="inlineStr">
        <is>
          <t>10.5194/egusphere-2026-5460</t>
        </is>
      </c>
      <c r="K153" s="8" t="inlineStr">
        <is>
          <t>https://doi.org/10.5194/egusphere-2026-5460</t>
        </is>
      </c>
      <c r="L153" s="2" t="n">
        <v>200</v>
      </c>
      <c r="M153" s="2" t="inlineStr">
        <is>
          <t>Table 1 (iSSA volume radius, median radius, sigma_g)</t>
        </is>
      </c>
      <c r="N153" s="2" t="inlineStr">
        <is>
          <t>full text</t>
        </is>
      </c>
      <c r="O153" s="2" t="n">
        <v>94.2</v>
      </c>
      <c r="P153" s="2" t="inlineStr">
        <is>
          <t>point</t>
        </is>
      </c>
      <c r="Q153" s="2" t="n">
        <v>67.59999999999999</v>
      </c>
      <c r="R153" s="2" t="n">
        <v>94.2</v>
      </c>
      <c r="S153" s="2" t="inlineStr">
        <is>
          <t>range stated</t>
        </is>
      </c>
      <c r="T153" s="2" t="inlineStr">
        <is>
          <t>Model configuration value</t>
        </is>
      </c>
      <c r="U153" s="2" t="inlineStr">
        <is>
          <t>Volume-mean diameter (2 x volume radius) vs count-median diameter (2 x median radius); lognormal</t>
        </is>
      </c>
      <c r="V153" s="7" t="inlineStr">
        <is>
          <t>within</t>
        </is>
      </c>
      <c r="W153" s="2" t="inlineStr">
        <is>
          <t>no</t>
        </is>
      </c>
      <c r="X153" s="2" t="inlineStr">
        <is>
          <t>high</t>
        </is>
      </c>
      <c r="Y153" s="2" t="inlineStr">
        <is>
          <t>Derived: volume radius x2 = 94.2 nm (the right basis for particles per tonne); median radius x2 = 67.6 nm. J. Clim. text uses "(172/90 nm)^3". Using 90 instead of 94.2 makes model particles per tonne 15% higher, so the workbook asks for MORE tonnes at its basis (conservative).</t>
        </is>
      </c>
    </row>
    <row r="154">
      <c r="A154" s="4" t="inlineStr">
        <is>
          <t>C_physics</t>
        </is>
      </c>
      <c r="B154" s="2" t="inlineStr">
        <is>
          <t>6a. Cooling Model - Global</t>
        </is>
      </c>
      <c r="C154" s="2" t="inlineStr">
        <is>
          <t>B17</t>
        </is>
      </c>
      <c r="D154" s="2" t="inlineStr">
        <is>
          <t>CESM2-Ghosh emitted particle diameter</t>
        </is>
      </c>
      <c r="E154" s="2" t="n">
        <v>90</v>
      </c>
      <c r="F154" s="2" t="inlineStr">
        <is>
          <t>nm</t>
        </is>
      </c>
      <c r="G154" s="2" t="inlineStr">
        <is>
          <t>Hirasawa 2026, J. Climate (90 nm / 172 nm)</t>
        </is>
      </c>
      <c r="H154" s="2" t="inlineStr">
        <is>
          <t>Hirasawa et al. 2026 (EGUsphere preprint)</t>
        </is>
      </c>
      <c r="I154" s="2" t="inlineStr">
        <is>
          <t>Hirasawa, H., von Salzen, K., Henry, M., Smith, J., Bender, F. A.-M., Wang, C., Doherty, S., Wood, R., Rasch, P. J., Haywood, J. (2026). On the Range of Marine Cloud Brightening Radiative Forcing across Earth System Models. EGUsphere preprint, discussion started 21 Sep 2026.</t>
        </is>
      </c>
      <c r="J154" s="2" t="inlineStr">
        <is>
          <t>10.5194/egusphere-2026-5460</t>
        </is>
      </c>
      <c r="K154" s="8" t="inlineStr">
        <is>
          <t>https://doi.org/10.5194/egusphere-2026-5460</t>
        </is>
      </c>
      <c r="L154" s="2" t="n">
        <v>200</v>
      </c>
      <c r="M154" s="2" t="inlineStr">
        <is>
          <t>Table 1 (iSSA volume radius, median radius, sigma_g)</t>
        </is>
      </c>
      <c r="N154" s="2" t="inlineStr">
        <is>
          <t>full text</t>
        </is>
      </c>
      <c r="O154" s="2" t="n">
        <v>94.2</v>
      </c>
      <c r="P154" s="2" t="inlineStr">
        <is>
          <t>point</t>
        </is>
      </c>
      <c r="Q154" s="2" t="n">
        <v>67.59999999999999</v>
      </c>
      <c r="R154" s="2" t="n">
        <v>94.2</v>
      </c>
      <c r="S154" s="2" t="inlineStr">
        <is>
          <t>range stated</t>
        </is>
      </c>
      <c r="T154" s="2" t="inlineStr">
        <is>
          <t>Model configuration value</t>
        </is>
      </c>
      <c r="U154" s="2" t="inlineStr">
        <is>
          <t>Volume-mean diameter (2 x volume radius) vs count-median diameter (2 x median radius); lognormal</t>
        </is>
      </c>
      <c r="V154" s="7" t="inlineStr">
        <is>
          <t>within</t>
        </is>
      </c>
      <c r="W154" s="2" t="inlineStr">
        <is>
          <t>no</t>
        </is>
      </c>
      <c r="X154" s="2" t="inlineStr">
        <is>
          <t>high</t>
        </is>
      </c>
      <c r="Y154" s="2" t="inlineStr">
        <is>
          <t>Derived: volume radius x2 = 94.2 nm (the right basis for particles per tonne); median radius x2 = 67.6 nm. J. Clim. text uses "(172/90 nm)^3". Using 90 instead of 94.2 makes model particles per tonne 15% higher, so the workbook asks for MORE tonnes at its basis (conservative).</t>
        </is>
      </c>
    </row>
    <row r="155">
      <c r="A155" s="4" t="inlineStr">
        <is>
          <t>C_physics</t>
        </is>
      </c>
      <c r="B155" s="2" t="inlineStr">
        <is>
          <t>6a. Cooling Model - Global</t>
        </is>
      </c>
      <c r="C155" s="2" t="inlineStr">
        <is>
          <t>B18</t>
        </is>
      </c>
      <c r="D155" s="2" t="inlineStr">
        <is>
          <t>E3SMv2 emitted particle diameter</t>
        </is>
      </c>
      <c r="E155" s="2" t="n">
        <v>90</v>
      </c>
      <c r="F155" s="2" t="inlineStr">
        <is>
          <t>nm</t>
        </is>
      </c>
      <c r="G155" s="2" t="inlineStr">
        <is>
          <t>Hirasawa 2026, J. Climate (90 nm / 172 nm)</t>
        </is>
      </c>
      <c r="H155" s="2" t="inlineStr">
        <is>
          <t>Hirasawa et al. 2026 (EGUsphere preprint)</t>
        </is>
      </c>
      <c r="I155" s="2" t="inlineStr">
        <is>
          <t>Hirasawa, H., von Salzen, K., Henry, M., Smith, J., Bender, F. A.-M., Wang, C., Doherty, S., Wood, R., Rasch, P. J., Haywood, J. (2026). On the Range of Marine Cloud Brightening Radiative Forcing across Earth System Models. EGUsphere preprint, discussion started 21 Sep 2026.</t>
        </is>
      </c>
      <c r="J155" s="2" t="inlineStr">
        <is>
          <t>10.5194/egusphere-2026-5460</t>
        </is>
      </c>
      <c r="K155" s="8" t="inlineStr">
        <is>
          <t>https://doi.org/10.5194/egusphere-2026-5460</t>
        </is>
      </c>
      <c r="L155" s="2" t="n">
        <v>200</v>
      </c>
      <c r="M155" s="2" t="inlineStr">
        <is>
          <t>Table 1 (iSSA volume radius, median radius, sigma_g)</t>
        </is>
      </c>
      <c r="N155" s="2" t="inlineStr">
        <is>
          <t>full text</t>
        </is>
      </c>
      <c r="O155" s="2" t="n">
        <v>94.2</v>
      </c>
      <c r="P155" s="2" t="inlineStr">
        <is>
          <t>point</t>
        </is>
      </c>
      <c r="Q155" s="2" t="n">
        <v>56.2</v>
      </c>
      <c r="R155" s="2" t="n">
        <v>94.2</v>
      </c>
      <c r="S155" s="2" t="inlineStr">
        <is>
          <t>range stated</t>
        </is>
      </c>
      <c r="T155" s="2" t="inlineStr">
        <is>
          <t>Model configuration value</t>
        </is>
      </c>
      <c r="U155" s="2" t="inlineStr">
        <is>
          <t>Volume-mean diameter (2 x volume radius) vs count-median diameter (2 x median radius); lognormal</t>
        </is>
      </c>
      <c r="V155" s="7" t="inlineStr">
        <is>
          <t>within</t>
        </is>
      </c>
      <c r="W155" s="2" t="inlineStr">
        <is>
          <t>no</t>
        </is>
      </c>
      <c r="X155" s="2" t="inlineStr">
        <is>
          <t>high</t>
        </is>
      </c>
      <c r="Y155" s="2" t="inlineStr">
        <is>
          <t>Derived: volume radius x2 = 94.2 nm (the right basis for particles per tonne); median radius x2 = 56.2 nm. J. Clim. text uses "(172/90 nm)^3". Using 90 instead of 94.2 makes model particles per tonne 15% higher, so the workbook asks for MORE tonnes at its basis (conservative).</t>
        </is>
      </c>
    </row>
    <row r="156">
      <c r="A156" s="4" t="inlineStr">
        <is>
          <t>C_physics</t>
        </is>
      </c>
      <c r="B156" s="2" t="inlineStr">
        <is>
          <t>6a. Cooling Model - Global</t>
        </is>
      </c>
      <c r="C156" s="2" t="inlineStr">
        <is>
          <t>B19</t>
        </is>
      </c>
      <c r="D156" s="2" t="inlineStr">
        <is>
          <t>UKESM1.0 emitted particle diameter</t>
        </is>
      </c>
      <c r="E156" s="2" t="n">
        <v>172</v>
      </c>
      <c r="F156" s="2" t="inlineStr">
        <is>
          <t>nm</t>
        </is>
      </c>
      <c r="G156" s="2" t="inlineStr">
        <is>
          <t>Hirasawa 2026, J. Climate (90 nm / 172 nm)</t>
        </is>
      </c>
      <c r="H156" s="2" t="inlineStr">
        <is>
          <t>Hirasawa et al. 2026 (EGUsphere preprint)</t>
        </is>
      </c>
      <c r="I156" s="2" t="inlineStr">
        <is>
          <t>Hirasawa, H., von Salzen, K., Henry, M., Smith, J., Bender, F. A.-M., Wang, C., Doherty, S., Wood, R., Rasch, P. J., Haywood, J. (2026). On the Range of Marine Cloud Brightening Radiative Forcing across Earth System Models. EGUsphere preprint, discussion started 21 Sep 2026.</t>
        </is>
      </c>
      <c r="J156" s="2" t="inlineStr">
        <is>
          <t>10.5194/egusphere-2026-5460</t>
        </is>
      </c>
      <c r="K156" s="8" t="inlineStr">
        <is>
          <t>https://doi.org/10.5194/egusphere-2026-5460</t>
        </is>
      </c>
      <c r="L156" s="2" t="n">
        <v>200</v>
      </c>
      <c r="M156" s="2" t="inlineStr">
        <is>
          <t>Table 1 (iSSA volume radius, median radius, sigma_g)</t>
        </is>
      </c>
      <c r="N156" s="2" t="inlineStr">
        <is>
          <t>full text</t>
        </is>
      </c>
      <c r="O156" s="2" t="n">
        <v>171.8</v>
      </c>
      <c r="P156" s="2" t="inlineStr">
        <is>
          <t>point</t>
        </is>
      </c>
      <c r="Q156" s="2" t="n">
        <v>145</v>
      </c>
      <c r="R156" s="2" t="n">
        <v>171.8</v>
      </c>
      <c r="S156" s="2" t="inlineStr">
        <is>
          <t>range stated</t>
        </is>
      </c>
      <c r="T156" s="2" t="inlineStr">
        <is>
          <t>Model configuration value</t>
        </is>
      </c>
      <c r="U156" s="2" t="inlineStr">
        <is>
          <t>Volume-mean diameter (2 x volume radius) vs count-median diameter (2 x median radius); lognormal</t>
        </is>
      </c>
      <c r="V156" s="7" t="inlineStr">
        <is>
          <t>within</t>
        </is>
      </c>
      <c r="W156" s="2" t="inlineStr">
        <is>
          <t>neutral</t>
        </is>
      </c>
      <c r="X156" s="2" t="inlineStr">
        <is>
          <t>high</t>
        </is>
      </c>
      <c r="Y156" s="2" t="inlineStr">
        <is>
          <t>Derived: volume radius x2 = 171.8 nm (the right basis for particles per tonne); median radius x2 = 145.0 nm. J. Clim. text uses "(172/90 nm)^3". Matches.</t>
        </is>
      </c>
    </row>
    <row r="157">
      <c r="A157" s="4" t="inlineStr">
        <is>
          <t>C_physics</t>
        </is>
      </c>
      <c r="B157" s="2" t="inlineStr">
        <is>
          <t>6a. Cooling Model - Global</t>
        </is>
      </c>
      <c r="C157" s="2" t="inlineStr">
        <is>
          <t>B16</t>
        </is>
      </c>
      <c r="D157" s="2" t="inlineStr">
        <is>
          <t>CESM2/E3SMv2 emitted particle diameter (cross-check)</t>
        </is>
      </c>
      <c r="E157" s="2" t="n">
        <v>90</v>
      </c>
      <c r="F157" s="2" t="inlineStr">
        <is>
          <t>nm</t>
        </is>
      </c>
      <c r="G157" s="2" t="inlineStr">
        <is>
          <t>Hirasawa 2026, J. Climate</t>
        </is>
      </c>
      <c r="H157" s="2" t="inlineStr">
        <is>
          <t>Hirasawa et al. 2026 (J. Clim.)</t>
        </is>
      </c>
      <c r="I157" s="2" t="inlineStr">
        <is>
          <t>Hirasawa, H., Henry, M., Mason, E., Rasch, P. J., Doherty, S. J., Wood, R. (2026). Forcing Susceptibility and Climate Sensitivity to Midlatitude Marine Cloud Brightening. J. Climate, 39(2), 769-784.</t>
        </is>
      </c>
      <c r="J157" s="2" t="inlineStr">
        <is>
          <t>10.1175/JCLI-D-25-0337.1</t>
        </is>
      </c>
      <c r="K157" s="8" t="inlineStr">
        <is>
          <t>https://doi.org/10.1175/JCLI-D-25-0337.1</t>
        </is>
      </c>
      <c r="L157" s="2" t="n">
        <v>200</v>
      </c>
      <c r="M157" s="2" t="inlineStr">
        <is>
          <t>Sect. 2a</t>
        </is>
      </c>
      <c r="N157" s="2" t="inlineStr">
        <is>
          <t>full text</t>
        </is>
      </c>
      <c r="O157" s="2" t="n">
        <v>90</v>
      </c>
      <c r="P157" s="2" t="inlineStr">
        <is>
          <t>point</t>
        </is>
      </c>
      <c r="Q157" s="2" t="n"/>
      <c r="R157" s="2" t="n"/>
      <c r="S157" s="2" t="inlineStr">
        <is>
          <t>range stated</t>
        </is>
      </c>
      <c r="T157" s="2" t="inlineStr">
        <is>
          <t>Paper text</t>
        </is>
      </c>
      <c r="U157" s="2" t="inlineStr">
        <is>
          <t>"UKESM1 emits (172/90 nm)^3 ~ 7 times fewer iSSA particles for a given mass flux"</t>
        </is>
      </c>
      <c r="V157" s="7" t="inlineStr">
        <is>
          <t>within</t>
        </is>
      </c>
      <c r="W157" s="2" t="inlineStr">
        <is>
          <t>neutral</t>
        </is>
      </c>
      <c r="X157" s="2" t="inlineStr">
        <is>
          <t>high</t>
        </is>
      </c>
      <c r="Y157" s="2" t="inlineStr">
        <is>
          <t>Rasch 2024 slides (dl_slides) list CESM2/E3SMv2 as 80-100 nm.</t>
        </is>
      </c>
    </row>
    <row r="158">
      <c r="A158" s="4" t="inlineStr">
        <is>
          <t>C_physics</t>
        </is>
      </c>
      <c r="B158" s="2" t="inlineStr">
        <is>
          <t>6a. Cooling Model - Global</t>
        </is>
      </c>
      <c r="C158" s="2" t="inlineStr">
        <is>
          <t>D16</t>
        </is>
      </c>
      <c r="D158" s="2" t="inlineStr">
        <is>
          <t>CESM2 CCN fraction</t>
        </is>
      </c>
      <c r="E158" s="2" t="n">
        <v>0.157</v>
      </c>
      <c r="F158" s="2" t="inlineStr">
        <is>
          <t>fraction</t>
        </is>
      </c>
      <c r="G158" s="2" t="inlineStr">
        <is>
          <t>Model CCN fraction (Hirasawa 2026 preprint, Table 1)</t>
        </is>
      </c>
      <c r="H158" s="2" t="inlineStr">
        <is>
          <t>Hirasawa et al. 2026 (EGUsphere preprint)</t>
        </is>
      </c>
      <c r="I158" s="2" t="inlineStr">
        <is>
          <t>Hirasawa, H., von Salzen, K., Henry, M., Smith, J., Bender, F. A.-M., Wang, C., Doherty, S., Wood, R., Rasch, P. J., Haywood, J. (2026). On the Range of Marine Cloud Brightening Radiative Forcing across Earth System Models. EGUsphere preprint, discussion started 21 Sep 2026.</t>
        </is>
      </c>
      <c r="J158" s="2" t="inlineStr">
        <is>
          <t>10.5194/egusphere-2026-5460</t>
        </is>
      </c>
      <c r="K158" s="8" t="inlineStr">
        <is>
          <t>https://doi.org/10.5194/egusphere-2026-5460</t>
        </is>
      </c>
      <c r="L158" s="2" t="n">
        <v>200</v>
      </c>
      <c r="M158" s="2" t="inlineStr">
        <is>
          <t>Table 1 (CCN fraction at S=0.1%); Sect. 2.2</t>
        </is>
      </c>
      <c r="N158" s="2" t="inlineStr">
        <is>
          <t>full text</t>
        </is>
      </c>
      <c r="O158" s="2" t="n">
        <v>0.157</v>
      </c>
      <c r="P158" s="2" t="inlineStr">
        <is>
          <t>point</t>
        </is>
      </c>
      <c r="Q158" s="2" t="n">
        <v>0.131</v>
      </c>
      <c r="R158" s="2" t="n">
        <v>0.805</v>
      </c>
      <c r="S158" s="2" t="inlineStr">
        <is>
          <t>model spread</t>
        </is>
      </c>
      <c r="T158" s="2" t="inlineStr">
        <is>
          <t>9 ESM configs with valid activation (CanAM5 0.445, NorESM2 0.420, GFDL 0.141)</t>
        </is>
      </c>
      <c r="U158" s="2" t="inlineStr">
        <is>
          <t>Fraction of emitted lognormal iSSA above the S=0.1% critical radius (~56 nm), pyrcel</t>
        </is>
      </c>
      <c r="V158" s="7" t="inlineStr">
        <is>
          <t>within</t>
        </is>
      </c>
      <c r="W158" s="2" t="inlineStr">
        <is>
          <t>neutral</t>
        </is>
      </c>
      <c r="X158" s="2" t="inlineStr">
        <is>
          <t>high</t>
        </is>
      </c>
      <c r="Y158" s="2" t="inlineStr">
        <is>
          <t>Value matches. Basis caveat: it is activation at S=0.1% (dry diameter cut ~112 nm). The workbook compares it with its own 0.71, which is a 30-1000 nm counting window (tab 1 B9), so the 6a size/CCN correction (F34-F37) mixes cutoffs and inflates our relative CCN yield.</t>
        </is>
      </c>
    </row>
    <row r="159">
      <c r="A159" s="4" t="inlineStr">
        <is>
          <t>C_physics</t>
        </is>
      </c>
      <c r="B159" s="2" t="inlineStr">
        <is>
          <t>6a. Cooling Model - Global</t>
        </is>
      </c>
      <c r="C159" s="2" t="inlineStr">
        <is>
          <t>D17</t>
        </is>
      </c>
      <c r="D159" s="2" t="inlineStr">
        <is>
          <t>CESM2-Ghosh CCN fraction</t>
        </is>
      </c>
      <c r="E159" s="2" t="n">
        <v>0.157</v>
      </c>
      <c r="F159" s="2" t="inlineStr">
        <is>
          <t>fraction</t>
        </is>
      </c>
      <c r="G159" s="2" t="inlineStr">
        <is>
          <t>Model CCN fraction (Hirasawa 2026 preprint, Table 1)</t>
        </is>
      </c>
      <c r="H159" s="2" t="inlineStr">
        <is>
          <t>Hirasawa et al. 2026 (EGUsphere preprint)</t>
        </is>
      </c>
      <c r="I159" s="2" t="inlineStr">
        <is>
          <t>Hirasawa, H., von Salzen, K., Henry, M., Smith, J., Bender, F. A.-M., Wang, C., Doherty, S., Wood, R., Rasch, P. J., Haywood, J. (2026). On the Range of Marine Cloud Brightening Radiative Forcing across Earth System Models. EGUsphere preprint, discussion started 21 Sep 2026.</t>
        </is>
      </c>
      <c r="J159" s="2" t="inlineStr">
        <is>
          <t>10.5194/egusphere-2026-5460</t>
        </is>
      </c>
      <c r="K159" s="8" t="inlineStr">
        <is>
          <t>https://doi.org/10.5194/egusphere-2026-5460</t>
        </is>
      </c>
      <c r="L159" s="2" t="n">
        <v>200</v>
      </c>
      <c r="M159" s="2" t="inlineStr">
        <is>
          <t>Table 1 (CCN fraction at S=0.1%); Sect. 2.2</t>
        </is>
      </c>
      <c r="N159" s="2" t="inlineStr">
        <is>
          <t>full text</t>
        </is>
      </c>
      <c r="O159" s="2" t="n">
        <v>0.157</v>
      </c>
      <c r="P159" s="2" t="inlineStr">
        <is>
          <t>point</t>
        </is>
      </c>
      <c r="Q159" s="2" t="n">
        <v>0.131</v>
      </c>
      <c r="R159" s="2" t="n">
        <v>0.805</v>
      </c>
      <c r="S159" s="2" t="inlineStr">
        <is>
          <t>model spread</t>
        </is>
      </c>
      <c r="T159" s="2" t="inlineStr">
        <is>
          <t>9 ESM configs with valid activation (CanAM5 0.445, NorESM2 0.420, GFDL 0.141)</t>
        </is>
      </c>
      <c r="U159" s="2" t="inlineStr">
        <is>
          <t>Fraction of emitted lognormal iSSA above the S=0.1% critical radius (~56 nm), pyrcel</t>
        </is>
      </c>
      <c r="V159" s="7" t="inlineStr">
        <is>
          <t>within</t>
        </is>
      </c>
      <c r="W159" s="2" t="inlineStr">
        <is>
          <t>neutral</t>
        </is>
      </c>
      <c r="X159" s="2" t="inlineStr">
        <is>
          <t>high</t>
        </is>
      </c>
      <c r="Y159" s="2" t="inlineStr">
        <is>
          <t>Value matches. Basis caveat: it is activation at S=0.1% (dry diameter cut ~112 nm). The workbook compares it with its own 0.71, which is a 30-1000 nm counting window (tab 1 B9), so the 6a size/CCN correction (F34-F37) mixes cutoffs and inflates our relative CCN yield.</t>
        </is>
      </c>
    </row>
    <row r="160">
      <c r="A160" s="4" t="inlineStr">
        <is>
          <t>C_physics</t>
        </is>
      </c>
      <c r="B160" s="2" t="inlineStr">
        <is>
          <t>6a. Cooling Model - Global</t>
        </is>
      </c>
      <c r="C160" s="2" t="inlineStr">
        <is>
          <t>D18</t>
        </is>
      </c>
      <c r="D160" s="2" t="inlineStr">
        <is>
          <t>E3SMv2 CCN fraction</t>
        </is>
      </c>
      <c r="E160" s="2" t="n">
        <v>0.131</v>
      </c>
      <c r="F160" s="2" t="inlineStr">
        <is>
          <t>fraction</t>
        </is>
      </c>
      <c r="G160" s="2" t="inlineStr">
        <is>
          <t>Model CCN fraction (Hirasawa 2026 preprint, Table 1)</t>
        </is>
      </c>
      <c r="H160" s="2" t="inlineStr">
        <is>
          <t>Hirasawa et al. 2026 (EGUsphere preprint)</t>
        </is>
      </c>
      <c r="I160" s="2" t="inlineStr">
        <is>
          <t>Hirasawa, H., von Salzen, K., Henry, M., Smith, J., Bender, F. A.-M., Wang, C., Doherty, S., Wood, R., Rasch, P. J., Haywood, J. (2026). On the Range of Marine Cloud Brightening Radiative Forcing across Earth System Models. EGUsphere preprint, discussion started 21 Sep 2026.</t>
        </is>
      </c>
      <c r="J160" s="2" t="inlineStr">
        <is>
          <t>10.5194/egusphere-2026-5460</t>
        </is>
      </c>
      <c r="K160" s="8" t="inlineStr">
        <is>
          <t>https://doi.org/10.5194/egusphere-2026-5460</t>
        </is>
      </c>
      <c r="L160" s="2" t="n">
        <v>200</v>
      </c>
      <c r="M160" s="2" t="inlineStr">
        <is>
          <t>Table 1 (CCN fraction at S=0.1%); Sect. 2.2</t>
        </is>
      </c>
      <c r="N160" s="2" t="inlineStr">
        <is>
          <t>full text</t>
        </is>
      </c>
      <c r="O160" s="2" t="n">
        <v>0.131</v>
      </c>
      <c r="P160" s="2" t="inlineStr">
        <is>
          <t>point</t>
        </is>
      </c>
      <c r="Q160" s="2" t="n">
        <v>0.131</v>
      </c>
      <c r="R160" s="2" t="n">
        <v>0.805</v>
      </c>
      <c r="S160" s="2" t="inlineStr">
        <is>
          <t>model spread</t>
        </is>
      </c>
      <c r="T160" s="2" t="inlineStr">
        <is>
          <t>9 ESM configs with valid activation (CanAM5 0.445, NorESM2 0.420, GFDL 0.141)</t>
        </is>
      </c>
      <c r="U160" s="2" t="inlineStr">
        <is>
          <t>Fraction of emitted lognormal iSSA above the S=0.1% critical radius (~56 nm), pyrcel</t>
        </is>
      </c>
      <c r="V160" s="7" t="inlineStr">
        <is>
          <t>within</t>
        </is>
      </c>
      <c r="W160" s="2" t="inlineStr">
        <is>
          <t>neutral</t>
        </is>
      </c>
      <c r="X160" s="2" t="inlineStr">
        <is>
          <t>high</t>
        </is>
      </c>
      <c r="Y160" s="2" t="inlineStr">
        <is>
          <t>Value matches. Basis caveat: it is activation at S=0.1% (dry diameter cut ~112 nm). The workbook compares it with its own 0.71, which is a 30-1000 nm counting window (tab 1 B9), so the 6a size/CCN correction (F34-F37) mixes cutoffs and inflates our relative CCN yield.</t>
        </is>
      </c>
    </row>
    <row r="161">
      <c r="A161" s="4" t="inlineStr">
        <is>
          <t>C_physics</t>
        </is>
      </c>
      <c r="B161" s="2" t="inlineStr">
        <is>
          <t>6a. Cooling Model - Global</t>
        </is>
      </c>
      <c r="C161" s="2" t="inlineStr">
        <is>
          <t>D19</t>
        </is>
      </c>
      <c r="D161" s="2" t="inlineStr">
        <is>
          <t>UKESM1.0 CCN fraction</t>
        </is>
      </c>
      <c r="E161" s="2" t="n">
        <v>0.805</v>
      </c>
      <c r="F161" s="2" t="inlineStr">
        <is>
          <t>fraction</t>
        </is>
      </c>
      <c r="G161" s="2" t="inlineStr">
        <is>
          <t>Model CCN fraction (Hirasawa 2026 preprint, Table 1)</t>
        </is>
      </c>
      <c r="H161" s="2" t="inlineStr">
        <is>
          <t>Hirasawa et al. 2026 (EGUsphere preprint)</t>
        </is>
      </c>
      <c r="I161" s="2" t="inlineStr">
        <is>
          <t>Hirasawa, H., von Salzen, K., Henry, M., Smith, J., Bender, F. A.-M., Wang, C., Doherty, S., Wood, R., Rasch, P. J., Haywood, J. (2026). On the Range of Marine Cloud Brightening Radiative Forcing across Earth System Models. EGUsphere preprint, discussion started 21 Sep 2026.</t>
        </is>
      </c>
      <c r="J161" s="2" t="inlineStr">
        <is>
          <t>10.5194/egusphere-2026-5460</t>
        </is>
      </c>
      <c r="K161" s="8" t="inlineStr">
        <is>
          <t>https://doi.org/10.5194/egusphere-2026-5460</t>
        </is>
      </c>
      <c r="L161" s="2" t="n">
        <v>200</v>
      </c>
      <c r="M161" s="2" t="inlineStr">
        <is>
          <t>Table 1 (CCN fraction at S=0.1%); Sect. 2.2</t>
        </is>
      </c>
      <c r="N161" s="2" t="inlineStr">
        <is>
          <t>full text</t>
        </is>
      </c>
      <c r="O161" s="2" t="n">
        <v>0.805</v>
      </c>
      <c r="P161" s="2" t="inlineStr">
        <is>
          <t>point</t>
        </is>
      </c>
      <c r="Q161" s="2" t="n">
        <v>0.131</v>
      </c>
      <c r="R161" s="2" t="n">
        <v>0.805</v>
      </c>
      <c r="S161" s="2" t="inlineStr">
        <is>
          <t>model spread</t>
        </is>
      </c>
      <c r="T161" s="2" t="inlineStr">
        <is>
          <t>9 ESM configs with valid activation (CanAM5 0.445, NorESM2 0.420, GFDL 0.141)</t>
        </is>
      </c>
      <c r="U161" s="2" t="inlineStr">
        <is>
          <t>Fraction of emitted lognormal iSSA above the S=0.1% critical radius (~56 nm), pyrcel</t>
        </is>
      </c>
      <c r="V161" s="7" t="inlineStr">
        <is>
          <t>within</t>
        </is>
      </c>
      <c r="W161" s="2" t="inlineStr">
        <is>
          <t>neutral</t>
        </is>
      </c>
      <c r="X161" s="2" t="inlineStr">
        <is>
          <t>high</t>
        </is>
      </c>
      <c r="Y161" s="2" t="inlineStr">
        <is>
          <t>Value matches. Basis caveat: it is activation at S=0.1% (dry diameter cut ~112 nm). The workbook compares it with its own 0.71, which is a 30-1000 nm counting window (tab 1 B9), so the 6a size/CCN correction (F34-F37) mixes cutoffs and inflates our relative CCN yield.</t>
        </is>
      </c>
    </row>
    <row r="162">
      <c r="A162" s="4" t="inlineStr">
        <is>
          <t>C_physics</t>
        </is>
      </c>
      <c r="B162" s="2" t="inlineStr">
        <is>
          <t>6a. Cooling Model - Global</t>
        </is>
      </c>
      <c r="C162" s="2" t="inlineStr">
        <is>
          <t>B25</t>
        </is>
      </c>
      <c r="D162" s="2" t="inlineStr">
        <is>
          <t>CESM2 implied forcing efficiency</t>
        </is>
      </c>
      <c r="E162" s="2" t="n">
        <v>0.24</v>
      </c>
      <c r="F162" s="2" t="inlineStr">
        <is>
          <t>W/m2 per Tg/yr</t>
        </is>
      </c>
      <c r="G162" s="2" t="inlineStr">
        <is>
          <t>Rasch 2024 nominal (derived in workbook)</t>
        </is>
      </c>
      <c r="H162" s="2" t="inlineStr">
        <is>
          <t>Hirasawa et al. 2026 (EGUsphere preprint)</t>
        </is>
      </c>
      <c r="I162" s="2" t="inlineStr">
        <is>
          <t>Hirasawa, H., von Salzen, K., Henry, M., Smith, J., Bender, F. A.-M., Wang, C., Doherty, S., Wood, R., Rasch, P. J., Haywood, J. (2026). On the Range of Marine Cloud Brightening Radiative Forcing across Earth System Models. EGUsphere preprint, discussion started 21 Sep 2026.</t>
        </is>
      </c>
      <c r="J162" s="2" t="inlineStr">
        <is>
          <t>10.5194/egusphere-2026-5460</t>
        </is>
      </c>
      <c r="K162" s="8" t="inlineStr">
        <is>
          <t>https://doi.org/10.5194/egusphere-2026-5460</t>
        </is>
      </c>
      <c r="L162" s="2" t="n">
        <v>200</v>
      </c>
      <c r="M162" s="2" t="inlineStr">
        <is>
          <t>Table 2 (mass flux for ERFtot = -2 W/m2)</t>
        </is>
      </c>
      <c r="N162" s="2" t="inlineStr">
        <is>
          <t>full text</t>
        </is>
      </c>
      <c r="O162" s="2" t="n">
        <v>0.0452</v>
      </c>
      <c r="P162" s="2" t="inlineStr">
        <is>
          <t>median</t>
        </is>
      </c>
      <c r="Q162" s="2" t="n">
        <v>0.0209</v>
      </c>
      <c r="R162" s="2" t="n">
        <v>0.277</v>
      </c>
      <c r="S162" s="2" t="inlineStr">
        <is>
          <t>model spread</t>
        </is>
      </c>
      <c r="T162" s="2" t="inlineStr">
        <is>
          <t>9 ESM configurations (GFDL-AM4 excluded as erroneous)</t>
        </is>
      </c>
      <c r="U162" s="2" t="inlineStr">
        <is>
          <t>Derived 2/mass: UKESM1 0.0209, NorESM2 0.0233, E3SMv2 0.0265, UKESM1-Ghosh 0.0334, E3SMv2-Ghosh 0.0452, CanAM5 0.0658, CESM2 0.155, CanAM5-Adj 0.262, CESM2-Ghosh 0.277; ~13x spread, right-skewed</t>
        </is>
      </c>
      <c r="V162" s="7" t="inlineStr">
        <is>
          <t>within</t>
        </is>
      </c>
      <c r="W162" s="2" t="inlineStr">
        <is>
          <t>yes</t>
        </is>
      </c>
      <c r="X162" s="2" t="inlineStr">
        <is>
          <t>high</t>
        </is>
      </c>
      <c r="Y162" s="2" t="inlineStr">
        <is>
          <t>Workbook = 1.8 W/m2 / 7.5 Tg/yr (Rasch Table 5). Preprint CESM2 at -2 W/m2 needs 12.9 Tg/yr -&gt; 0.155 (derived); differs because ERFaci is log-shaped.</t>
        </is>
      </c>
    </row>
    <row r="163">
      <c r="A163" s="4" t="inlineStr">
        <is>
          <t>C_physics</t>
        </is>
      </c>
      <c r="B163" s="2" t="inlineStr">
        <is>
          <t>6a. Cooling Model - Global</t>
        </is>
      </c>
      <c r="C163" s="2" t="inlineStr">
        <is>
          <t>B26</t>
        </is>
      </c>
      <c r="D163" s="2" t="inlineStr">
        <is>
          <t>E3SMv2 implied forcing efficiency</t>
        </is>
      </c>
      <c r="E163" s="2" t="n">
        <v>0.0364</v>
      </c>
      <c r="F163" s="2" t="inlineStr">
        <is>
          <t>W/m2 per Tg/yr</t>
        </is>
      </c>
      <c r="G163" s="2" t="inlineStr">
        <is>
          <t>Rasch 2024 nominal (derived in workbook)</t>
        </is>
      </c>
      <c r="H163" s="2" t="inlineStr">
        <is>
          <t>Hirasawa et al. 2026 (EGUsphere preprint)</t>
        </is>
      </c>
      <c r="I163" s="2" t="inlineStr">
        <is>
          <t>Hirasawa, H., von Salzen, K., Henry, M., Smith, J., Bender, F. A.-M., Wang, C., Doherty, S., Wood, R., Rasch, P. J., Haywood, J. (2026). On the Range of Marine Cloud Brightening Radiative Forcing across Earth System Models. EGUsphere preprint, discussion started 21 Sep 2026.</t>
        </is>
      </c>
      <c r="J163" s="2" t="inlineStr">
        <is>
          <t>10.5194/egusphere-2026-5460</t>
        </is>
      </c>
      <c r="K163" s="8" t="inlineStr">
        <is>
          <t>https://doi.org/10.5194/egusphere-2026-5460</t>
        </is>
      </c>
      <c r="L163" s="2" t="n">
        <v>200</v>
      </c>
      <c r="M163" s="2" t="inlineStr">
        <is>
          <t>Table 2 (mass flux for ERFtot = -2 W/m2)</t>
        </is>
      </c>
      <c r="N163" s="2" t="inlineStr">
        <is>
          <t>full text</t>
        </is>
      </c>
      <c r="O163" s="2" t="n">
        <v>0.0452</v>
      </c>
      <c r="P163" s="2" t="inlineStr">
        <is>
          <t>median</t>
        </is>
      </c>
      <c r="Q163" s="2" t="n">
        <v>0.0209</v>
      </c>
      <c r="R163" s="2" t="n">
        <v>0.277</v>
      </c>
      <c r="S163" s="2" t="inlineStr">
        <is>
          <t>model spread</t>
        </is>
      </c>
      <c r="T163" s="2" t="inlineStr">
        <is>
          <t>9 ESM configurations (GFDL-AM4 excluded as erroneous)</t>
        </is>
      </c>
      <c r="U163" s="2" t="inlineStr">
        <is>
          <t>Derived 2/mass: UKESM1 0.0209, NorESM2 0.0233, E3SMv2 0.0265, UKESM1-Ghosh 0.0334, E3SMv2-Ghosh 0.0452, CanAM5 0.0658, CESM2 0.155, CanAM5-Adj 0.262, CESM2-Ghosh 0.277; ~13x spread, right-skewed</t>
        </is>
      </c>
      <c r="V163" s="7" t="inlineStr">
        <is>
          <t>within</t>
        </is>
      </c>
      <c r="W163" s="2" t="inlineStr">
        <is>
          <t>yes</t>
        </is>
      </c>
      <c r="X163" s="2" t="inlineStr">
        <is>
          <t>high</t>
        </is>
      </c>
      <c r="Y163" s="2" t="inlineStr">
        <is>
          <t>Workbook = 1.8/49.5. Preprint: 2/75.4 = 0.0265 (derived).</t>
        </is>
      </c>
    </row>
    <row r="164">
      <c r="A164" s="4" t="inlineStr">
        <is>
          <t>C_physics</t>
        </is>
      </c>
      <c r="B164" s="2" t="inlineStr">
        <is>
          <t>6a. Cooling Model - Global</t>
        </is>
      </c>
      <c r="C164" s="2" t="inlineStr">
        <is>
          <t>B27</t>
        </is>
      </c>
      <c r="D164" s="2" t="inlineStr">
        <is>
          <t>UKESM1.0 implied forcing efficiency</t>
        </is>
      </c>
      <c r="E164" s="2" t="n">
        <v>0.012</v>
      </c>
      <c r="F164" s="2" t="inlineStr">
        <is>
          <t>W/m2 per Tg/yr</t>
        </is>
      </c>
      <c r="G164" s="2" t="inlineStr">
        <is>
          <t>Rasch 2024 nominal (derived in workbook)</t>
        </is>
      </c>
      <c r="H164" s="2" t="inlineStr">
        <is>
          <t>Hirasawa et al. 2026 (EGUsphere preprint)</t>
        </is>
      </c>
      <c r="I164" s="2" t="inlineStr">
        <is>
          <t>Hirasawa, H., von Salzen, K., Henry, M., Smith, J., Bender, F. A.-M., Wang, C., Doherty, S., Wood, R., Rasch, P. J., Haywood, J. (2026). On the Range of Marine Cloud Brightening Radiative Forcing across Earth System Models. EGUsphere preprint, discussion started 21 Sep 2026.</t>
        </is>
      </c>
      <c r="J164" s="2" t="inlineStr">
        <is>
          <t>10.5194/egusphere-2026-5460</t>
        </is>
      </c>
      <c r="K164" s="8" t="inlineStr">
        <is>
          <t>https://doi.org/10.5194/egusphere-2026-5460</t>
        </is>
      </c>
      <c r="L164" s="2" t="n">
        <v>200</v>
      </c>
      <c r="M164" s="2" t="inlineStr">
        <is>
          <t>Table 2 (mass flux for ERFtot = -2 W/m2)</t>
        </is>
      </c>
      <c r="N164" s="2" t="inlineStr">
        <is>
          <t>full text</t>
        </is>
      </c>
      <c r="O164" s="2" t="n">
        <v>0.0452</v>
      </c>
      <c r="P164" s="2" t="inlineStr">
        <is>
          <t>median</t>
        </is>
      </c>
      <c r="Q164" s="2" t="n">
        <v>0.0209</v>
      </c>
      <c r="R164" s="2" t="n">
        <v>0.277</v>
      </c>
      <c r="S164" s="2" t="inlineStr">
        <is>
          <t>model spread</t>
        </is>
      </c>
      <c r="T164" s="2" t="inlineStr">
        <is>
          <t>9 ESM configurations (GFDL-AM4 excluded as erroneous)</t>
        </is>
      </c>
      <c r="U164" s="2" t="inlineStr">
        <is>
          <t>Derived 2/mass: UKESM1 0.0209, NorESM2 0.0233, E3SMv2 0.0265, UKESM1-Ghosh 0.0334, E3SMv2-Ghosh 0.0452, CanAM5 0.0658, CESM2 0.155, CanAM5-Adj 0.262, CESM2-Ghosh 0.277; ~13x spread, right-skewed</t>
        </is>
      </c>
      <c r="V164" s="7" t="inlineStr">
        <is>
          <t>within</t>
        </is>
      </c>
      <c r="W164" s="2" t="inlineStr">
        <is>
          <t>no</t>
        </is>
      </c>
      <c r="X164" s="2" t="inlineStr">
        <is>
          <t>high</t>
        </is>
      </c>
      <c r="Y164" s="2" t="inlineStr">
        <is>
          <t>Workbook = 1.8/150. But Rasch Table A1 (UKESM1) gives S123 -2.42 W/m2 at 50 Tg/yr/region -&gt; 0.0161, and Table 5 gives -1.7 at 25/region -&gt; 0.0227; preprint 2/95.7 = 0.0209 (all derived). Workbook understates UKESM1 forcing efficiency 25-47%.</t>
        </is>
      </c>
    </row>
    <row r="165">
      <c r="A165" s="4" t="inlineStr">
        <is>
          <t>C_physics</t>
        </is>
      </c>
      <c r="B165" s="2" t="inlineStr">
        <is>
          <t>6a. Cooling Model - Global</t>
        </is>
      </c>
      <c r="C165" s="2" t="inlineStr">
        <is>
          <t>B25:B27</t>
        </is>
      </c>
      <c r="D165" s="2" t="inlineStr">
        <is>
          <t>ESM forcing efficiency (other MCB ensembles)</t>
        </is>
      </c>
      <c r="E165" s="2" t="n"/>
      <c r="F165" s="2" t="inlineStr">
        <is>
          <t>W/m2 per Tg/yr</t>
        </is>
      </c>
      <c r="G165" s="2" t="inlineStr"/>
      <c r="H165" s="2" t="inlineStr">
        <is>
          <t>Ahlm et al. 2017</t>
        </is>
      </c>
      <c r="I165" s="2" t="inlineStr">
        <is>
          <t>Ahlm, L., Jones, A., Stjern, C. W., Muri, H., Kravitz, B., Kristjansson, J. E. (2017). Marine cloud brightening - as effective without clouds. Atmos. Chem. Phys., 17, 13071-13087.</t>
        </is>
      </c>
      <c r="J165" s="2" t="inlineStr">
        <is>
          <t>10.5194/acp-17-13071-2017</t>
        </is>
      </c>
      <c r="K165" s="8" t="inlineStr">
        <is>
          <t>https://doi.org/10.5194/acp-17-13071-2017</t>
        </is>
      </c>
      <c r="L165" s="2" t="n">
        <v>200</v>
      </c>
      <c r="M165" s="2" t="inlineStr">
        <is>
          <t>Sect. 3.1</t>
        </is>
      </c>
      <c r="N165" s="2" t="inlineStr">
        <is>
          <t>full text</t>
        </is>
      </c>
      <c r="O165" s="2" t="n">
        <v>0.008</v>
      </c>
      <c r="P165" s="2" t="inlineStr">
        <is>
          <t>point</t>
        </is>
      </c>
      <c r="Q165" s="2" t="n">
        <v>0.0034</v>
      </c>
      <c r="R165" s="2" t="n">
        <v>0.01</v>
      </c>
      <c r="S165" s="2" t="inlineStr">
        <is>
          <t>min-max across studies</t>
        </is>
      </c>
      <c r="T165" s="2" t="inlineStr">
        <is>
          <t>3 GeoMIP G4sea-salt ESMs, 30N-30S injection, -2.0 W/m2</t>
        </is>
      </c>
      <c r="U165" s="2" t="inlineStr">
        <is>
          <t>NorESM1-M 250, GISS-E2-R 590, HadGEM2-ES 200 Tg/yr for -2.0 W/m2 (dry radii 0.13, 0.44, 0.10 um)</t>
        </is>
      </c>
      <c r="V165" s="6" t="inlineStr">
        <is>
          <t>no comparable value</t>
        </is>
      </c>
      <c r="W165" s="2" t="inlineStr">
        <is>
          <t>n/a</t>
        </is>
      </c>
      <c r="X165" s="2" t="inlineStr">
        <is>
          <t>high</t>
        </is>
      </c>
      <c r="Y165" s="2" t="inlineStr">
        <is>
          <t>Derived 2/mass: 0.008, 0.0034, 0.010. Older ensemble with larger particles and whole-tropics injection; clear-sky ERF ~ equal to total ERF (direct effect dominant).</t>
        </is>
      </c>
    </row>
    <row r="166">
      <c r="A166" s="4" t="inlineStr">
        <is>
          <t>C_physics</t>
        </is>
      </c>
      <c r="B166" s="2" t="inlineStr">
        <is>
          <t>6a. Cooling Model - Global</t>
        </is>
      </c>
      <c r="C166" s="2" t="inlineStr">
        <is>
          <t>B25:B27</t>
        </is>
      </c>
      <c r="D166" s="2" t="inlineStr">
        <is>
          <t>ESM forcing efficiency (other MCB ensembles)</t>
        </is>
      </c>
      <c r="E166" s="2" t="n"/>
      <c r="F166" s="2" t="inlineStr">
        <is>
          <t>W/m2 per Tg/yr</t>
        </is>
      </c>
      <c r="G166" s="2" t="inlineStr"/>
      <c r="H166" s="2" t="inlineStr">
        <is>
          <t>Stuart et al. 2013</t>
        </is>
      </c>
      <c r="I166" s="2" t="inlineStr">
        <is>
          <t>Stuart, G. S., Stevens, R. G., Partanen, A.-I., et al. (2013). Reduced efficacy of marine cloud brightening geoengineering due to in-plume aerosol coagulation: parameterization and global implications. Atmos. Chem. Phys., 13, 10385-10396.</t>
        </is>
      </c>
      <c r="J166" s="2" t="inlineStr">
        <is>
          <t>10.5194/acp-13-10385-2013</t>
        </is>
      </c>
      <c r="K166" s="8" t="inlineStr">
        <is>
          <t>https://doi.org/10.5194/acp-13-10385-2013</t>
        </is>
      </c>
      <c r="L166" s="2" t="n">
        <v>200</v>
      </c>
      <c r="M166" s="2" t="inlineStr">
        <is>
          <t>Sect. 6, global experiment</t>
        </is>
      </c>
      <c r="N166" s="2" t="inlineStr">
        <is>
          <t>full text</t>
        </is>
      </c>
      <c r="O166" s="2" t="n"/>
      <c r="P166" s="2" t="inlineStr">
        <is>
          <t>point</t>
        </is>
      </c>
      <c r="Q166" s="2" t="n"/>
      <c r="R166" s="2" t="n"/>
      <c r="S166" s="2" t="inlineStr">
        <is>
          <t>range stated</t>
        </is>
      </c>
      <c r="T166" s="2" t="inlineStr">
        <is>
          <t>ECHAM-HAMMOZ</t>
        </is>
      </c>
      <c r="U166" s="2" t="inlineStr">
        <is>
          <t>~20.6 Tg/yr gives -1.5 W/m2 without and -0.8 W/m2 with sub-grid coagulation</t>
        </is>
      </c>
      <c r="V166" s="6" t="inlineStr">
        <is>
          <t>no comparable value</t>
        </is>
      </c>
      <c r="W166" s="2" t="inlineStr">
        <is>
          <t>n/a</t>
        </is>
      </c>
      <c r="X166" s="2" t="inlineStr">
        <is>
          <t>medium</t>
        </is>
      </c>
      <c r="Y166" s="2" t="inlineStr">
        <is>
          <t>Derived 0.073 and 0.039 W/m2 per Tg/yr (200 nm mass-mean diameter).</t>
        </is>
      </c>
    </row>
    <row r="167">
      <c r="A167" s="4" t="inlineStr">
        <is>
          <t>C_physics</t>
        </is>
      </c>
      <c r="B167" s="2" t="inlineStr">
        <is>
          <t>6a. Cooling Model - Global</t>
        </is>
      </c>
      <c r="C167" s="2" t="inlineStr">
        <is>
          <t>B25:B27</t>
        </is>
      </c>
      <c r="D167" s="2" t="inlineStr">
        <is>
          <t>ESM forcing efficiency (UKESM1 deployment)</t>
        </is>
      </c>
      <c r="E167" s="2" t="n"/>
      <c r="F167" s="2" t="inlineStr">
        <is>
          <t>W/m2 per Tg/yr</t>
        </is>
      </c>
      <c r="G167" s="2" t="inlineStr"/>
      <c r="H167" s="2" t="inlineStr">
        <is>
          <t>Haywood et al. 2023</t>
        </is>
      </c>
      <c r="I167" s="2" t="inlineStr">
        <is>
          <t>Haywood, J. M., Jones, A., Jones, A. C., Halloran, P., Rasch, P. J. (2023). Climate intervention using marine cloud brightening (MCB) compared with stratospheric aerosol injection (SAI) in the UKESM1 climate model. Atmos. Chem. Phys., 23, 15305-15324.</t>
        </is>
      </c>
      <c r="J167" s="2" t="inlineStr">
        <is>
          <t>10.5194/acp-23-15305-2023</t>
        </is>
      </c>
      <c r="K167" s="8" t="inlineStr">
        <is>
          <t>https://doi.org/10.5194/acp-23-15305-2023</t>
        </is>
      </c>
      <c r="L167" s="2" t="n">
        <v>200</v>
      </c>
      <c r="M167" s="2" t="inlineStr">
        <is>
          <t>Abstract</t>
        </is>
      </c>
      <c r="N167" s="2" t="inlineStr">
        <is>
          <t>abstract only</t>
        </is>
      </c>
      <c r="O167" s="2" t="n"/>
      <c r="P167" s="2" t="inlineStr">
        <is>
          <t>point</t>
        </is>
      </c>
      <c r="Q167" s="2" t="n"/>
      <c r="R167" s="2" t="n"/>
      <c r="S167" s="2" t="inlineStr">
        <is>
          <t>range stated</t>
        </is>
      </c>
      <c r="T167" s="2" t="inlineStr">
        <is>
          <t>UKESM1 G6MCB</t>
        </is>
      </c>
      <c r="U167" s="2" t="inlineStr">
        <is>
          <t>MCB cloud forcing up to ~-1 W/m2 in 4 eastern-Pacific regions; at higher rates most forcing is direct (marine sky brightening)</t>
        </is>
      </c>
      <c r="V167" s="6" t="inlineStr">
        <is>
          <t>no comparable value</t>
        </is>
      </c>
      <c r="W167" s="2" t="inlineStr">
        <is>
          <t>n/a</t>
        </is>
      </c>
      <c r="X167" s="2" t="inlineStr">
        <is>
          <t>medium</t>
        </is>
      </c>
      <c r="Y167" s="2" t="inlineStr">
        <is>
          <t>Supports B39 note that direct forcing dominates at high mass rates.</t>
        </is>
      </c>
    </row>
    <row r="168">
      <c r="A168" s="4" t="inlineStr">
        <is>
          <t>C_physics</t>
        </is>
      </c>
      <c r="B168" s="2" t="inlineStr">
        <is>
          <t>6a. Cooling Model - Global</t>
        </is>
      </c>
      <c r="C168" s="2" t="inlineStr">
        <is>
          <t>B25:B27</t>
        </is>
      </c>
      <c r="D168" s="2" t="inlineStr">
        <is>
          <t>ESM forcing efficiency (early Sc seeding)</t>
        </is>
      </c>
      <c r="E168" s="2" t="n"/>
      <c r="F168" s="2" t="inlineStr">
        <is>
          <t>W/m2 per Tg/yr</t>
        </is>
      </c>
      <c r="G168" s="2" t="inlineStr"/>
      <c r="H168" s="2" t="inlineStr">
        <is>
          <t>Jones, Haywood &amp; Boucher 2009</t>
        </is>
      </c>
      <c r="I168" s="2" t="inlineStr">
        <is>
          <t>Jones, A., Haywood, J., Boucher, O. (2009). Climate impacts of geoengineering marine stratocumulus clouds. J. Geophys. Res., 114, D10106.</t>
        </is>
      </c>
      <c r="J168" s="2" t="inlineStr">
        <is>
          <t>10.1029/2008JD011450</t>
        </is>
      </c>
      <c r="K168" s="8" t="inlineStr">
        <is>
          <t>https://doi.org/10.1029/2008JD011450</t>
        </is>
      </c>
      <c r="L168" s="2" t="n">
        <v>403</v>
      </c>
      <c r="M168" s="2" t="inlineStr">
        <is>
          <t>Abstract</t>
        </is>
      </c>
      <c r="N168" s="2" t="inlineStr">
        <is>
          <t>abstract only</t>
        </is>
      </c>
      <c r="O168" s="2" t="n"/>
      <c r="P168" s="2" t="inlineStr">
        <is>
          <t>point</t>
        </is>
      </c>
      <c r="Q168" s="2" t="n"/>
      <c r="R168" s="2" t="n"/>
      <c r="S168" s="2" t="inlineStr">
        <is>
          <t>range stated</t>
        </is>
      </c>
      <c r="T168" s="2" t="inlineStr">
        <is>
          <t>HadGEM (Met Office) CDNC-prescribed</t>
        </is>
      </c>
      <c r="U168" s="2" t="inlineStr">
        <is>
          <t>Seeding 3 Sc decks could offset up to 35% of current GHG forcing; SE Pacific most efficient per unit forcing</t>
        </is>
      </c>
      <c r="V168" s="6" t="inlineStr">
        <is>
          <t>no comparable value</t>
        </is>
      </c>
      <c r="W168" s="2" t="inlineStr">
        <is>
          <t>n/a</t>
        </is>
      </c>
      <c r="X168" s="2" t="inlineStr">
        <is>
          <t>medium</t>
        </is>
      </c>
      <c r="Y168" s="2" t="inlineStr">
        <is>
          <t>No mass rate (CDNC prescribed).</t>
        </is>
      </c>
    </row>
    <row r="169">
      <c r="A169" s="4" t="inlineStr">
        <is>
          <t>C_physics</t>
        </is>
      </c>
      <c r="B169" s="2" t="inlineStr">
        <is>
          <t>6a. Cooling Model - Global</t>
        </is>
      </c>
      <c r="C169" s="2" t="inlineStr">
        <is>
          <t>B30</t>
        </is>
      </c>
      <c r="D169" s="2" t="inlineStr">
        <is>
          <t>Targeted spraying bonus</t>
        </is>
      </c>
      <c r="E169" s="2" t="n">
        <v>1</v>
      </c>
      <c r="F169" s="2" t="inlineStr">
        <is>
          <t>fraction</t>
        </is>
      </c>
      <c r="G169" s="2" t="inlineStr">
        <is>
          <t>Structural default (neutral)</t>
        </is>
      </c>
      <c r="H169" s="2" t="inlineStr">
        <is>
          <t>Wood 2021</t>
        </is>
      </c>
      <c r="I169" s="2" t="inlineStr">
        <is>
          <t>Wood, R. (2021). Assessing the potential efficacy of marine cloud brightening for cooling Earth using a simple heuristic model. Atmos. Chem. Phys., 21, 14507-14533.</t>
        </is>
      </c>
      <c r="J169" s="2" t="inlineStr">
        <is>
          <t>10.5194/acp-21-14507-2021</t>
        </is>
      </c>
      <c r="K169" s="8" t="inlineStr">
        <is>
          <t>https://doi.org/10.5194/acp-21-14507-2021</t>
        </is>
      </c>
      <c r="L169" s="2" t="n">
        <v>200</v>
      </c>
      <c r="M169" s="2" t="inlineStr">
        <is>
          <t>Sect. 2.2, Eq. 4</t>
        </is>
      </c>
      <c r="N169" s="2" t="inlineStr">
        <is>
          <t>full text</t>
        </is>
      </c>
      <c r="O169" s="2" t="n"/>
      <c r="P169" s="2" t="inlineStr">
        <is>
          <t>point</t>
        </is>
      </c>
      <c r="Q169" s="2" t="n">
        <v>1</v>
      </c>
      <c r="R169" s="2" t="n">
        <v>2.06</v>
      </c>
      <c r="S169" s="2" t="inlineStr">
        <is>
          <t>range stated</t>
        </is>
      </c>
      <c r="T169" s="2" t="inlineStr">
        <is>
          <t>MODIS cloud climatology</t>
        </is>
      </c>
      <c r="U169" s="2" t="inlineStr">
        <is>
          <t>Restricting spraying to the cloudiest areas raises f_low from 0.33 to 0.68</t>
        </is>
      </c>
      <c r="V169" s="7" t="inlineStr">
        <is>
          <t>within</t>
        </is>
      </c>
      <c r="W169" s="2" t="inlineStr">
        <is>
          <t>no</t>
        </is>
      </c>
      <c r="X169" s="2" t="inlineStr">
        <is>
          <t>medium</t>
        </is>
      </c>
      <c r="Y169" s="2" t="inlineStr">
        <is>
          <t>Derived 0.68/0.33 = 2.06 as an upper bound on a cloud-cover targeting gain. Hirasawa J. Clim. shows region choice changes K per Tg/yr by 1.6x in CESM2 (0.231 vs 0.140). Neutral 1.0 is conservative.</t>
        </is>
      </c>
    </row>
    <row r="170">
      <c r="A170" s="4" t="inlineStr">
        <is>
          <t>C_physics</t>
        </is>
      </c>
      <c r="B170" s="2" t="inlineStr">
        <is>
          <t>6a. Cooling Model - Global</t>
        </is>
      </c>
      <c r="C170" s="2" t="inlineStr">
        <is>
          <t>B31</t>
        </is>
      </c>
      <c r="D170" s="2" t="inlineStr">
        <is>
          <t>Target global cooling</t>
        </is>
      </c>
      <c r="E170" s="2" t="n">
        <v>1</v>
      </c>
      <c r="F170" s="2" t="inlineStr">
        <is>
          <t>K</t>
        </is>
      </c>
      <c r="G170" s="2" t="inlineStr">
        <is>
          <t>Structural default</t>
        </is>
      </c>
      <c r="H170" s="2" t="inlineStr"/>
      <c r="I170" s="2" t="inlineStr"/>
      <c r="J170" s="2" t="inlineStr"/>
      <c r="K170" s="2" t="inlineStr"/>
      <c r="L170" s="2" t="n"/>
      <c r="M170" s="2" t="inlineStr"/>
      <c r="N170" s="2" t="inlineStr"/>
      <c r="O170" s="2" t="n"/>
      <c r="P170" s="2" t="inlineStr"/>
      <c r="Q170" s="2" t="n"/>
      <c r="R170" s="2" t="n"/>
      <c r="S170" s="2" t="inlineStr"/>
      <c r="T170" s="2" t="inlineStr"/>
      <c r="U170" s="2" t="inlineStr"/>
      <c r="V170" s="2" t="inlineStr">
        <is>
          <t>definitional</t>
        </is>
      </c>
      <c r="W170" s="2" t="inlineStr">
        <is>
          <t>n/a</t>
        </is>
      </c>
      <c r="X170" s="2" t="inlineStr">
        <is>
          <t>high</t>
        </is>
      </c>
      <c r="Y170" s="2" t="inlineStr">
        <is>
          <t>Design target; no search.</t>
        </is>
      </c>
    </row>
    <row r="171">
      <c r="A171" s="4" t="inlineStr">
        <is>
          <t>C_physics</t>
        </is>
      </c>
      <c r="B171" s="2" t="inlineStr">
        <is>
          <t>6a. Cooling Model - Global</t>
        </is>
      </c>
      <c r="C171" s="2" t="inlineStr">
        <is>
          <t>B32</t>
        </is>
      </c>
      <c r="D171" s="2" t="inlineStr">
        <is>
          <t>Plume survival to cloud base (scenario)</t>
        </is>
      </c>
      <c r="E171" s="2" t="n">
        <v>0.3</v>
      </c>
      <c r="F171" s="2" t="inlineStr">
        <is>
          <t>fraction</t>
        </is>
      </c>
      <c r="G171" s="2" t="inlineStr">
        <is>
          <t>Same basis as tab 5a survival (Frontiers 2025 review; open gap)</t>
        </is>
      </c>
      <c r="H171" s="2" t="inlineStr">
        <is>
          <t>Stuart et al. 2013</t>
        </is>
      </c>
      <c r="I171" s="2" t="inlineStr">
        <is>
          <t>Stuart, G. S., Stevens, R. G., Partanen, A.-I., et al. (2013). Reduced efficacy of marine cloud brightening geoengineering due to in-plume aerosol coagulation: parameterization and global implications. Atmos. Chem. Phys., 13, 10385-10396.</t>
        </is>
      </c>
      <c r="J171" s="2" t="inlineStr">
        <is>
          <t>10.5194/acp-13-10385-2013</t>
        </is>
      </c>
      <c r="K171" s="8" t="inlineStr">
        <is>
          <t>https://doi.org/10.5194/acp-13-10385-2013</t>
        </is>
      </c>
      <c r="L171" s="2" t="n">
        <v>200</v>
      </c>
      <c r="M171" s="2" t="inlineStr">
        <is>
          <t>Abstract; Sect. 6</t>
        </is>
      </c>
      <c r="N171" s="2" t="inlineStr">
        <is>
          <t>full text</t>
        </is>
      </c>
      <c r="O171" s="2" t="n">
        <v>0.5</v>
      </c>
      <c r="P171" s="2" t="inlineStr">
        <is>
          <t>point</t>
        </is>
      </c>
      <c r="Q171" s="2" t="n">
        <v>0.1</v>
      </c>
      <c r="R171" s="2" t="n">
        <v>0.9</v>
      </c>
      <c r="S171" s="2" t="inlineStr">
        <is>
          <t>range stated</t>
        </is>
      </c>
      <c r="T171" s="2" t="inlineStr">
        <is>
          <t>Gaussian plume + 1 global model</t>
        </is>
      </c>
      <c r="U171" s="2" t="inlineStr">
        <is>
          <t>Loss &lt;10% to &gt;90%, typically &gt;50%; global CDNC -46%</t>
        </is>
      </c>
      <c r="V171" s="7" t="inlineStr">
        <is>
          <t>within</t>
        </is>
      </c>
      <c r="W171" s="2" t="inlineStr">
        <is>
          <t>no</t>
        </is>
      </c>
      <c r="X171" s="2" t="inlineStr">
        <is>
          <t>medium</t>
        </is>
      </c>
      <c r="Y171" s="2" t="inlineStr">
        <is>
          <t>ESMs already emit diffuse fluxes with no sub-grid plume losses; Stuart shows adding them halves forcing (-1.5 -&gt; -0.8 W/m2). For per-sprayer rates ~1e15 s-1 Wood 2021 finds weak coagulation losses. B32 is described as a catch-all including too-small particles, which overlaps the CCN-fraction correction in F34-F37 (possible double count).</t>
        </is>
      </c>
    </row>
    <row r="172">
      <c r="A172" s="4" t="inlineStr">
        <is>
          <t>C_physics</t>
        </is>
      </c>
      <c r="B172" s="2" t="inlineStr">
        <is>
          <t>6a. Cooling Model - Global</t>
        </is>
      </c>
      <c r="C172" s="2" t="inlineStr">
        <is>
          <t>B32</t>
        </is>
      </c>
      <c r="D172" s="2" t="inlineStr">
        <is>
          <t>Plume survival to cloud base (scenario)</t>
        </is>
      </c>
      <c r="E172" s="2" t="n">
        <v>0.3</v>
      </c>
      <c r="F172" s="2" t="inlineStr">
        <is>
          <t>fraction</t>
        </is>
      </c>
      <c r="G172" s="2" t="inlineStr">
        <is>
          <t>Same basis as tab 5a survival</t>
        </is>
      </c>
      <c r="H172" s="2" t="inlineStr">
        <is>
          <t>Wood 2021</t>
        </is>
      </c>
      <c r="I172" s="2" t="inlineStr">
        <is>
          <t>Wood, R. (2021). Assessing the potential efficacy of marine cloud brightening for cooling Earth using a simple heuristic model. Atmos. Chem. Phys., 21, 14507-14533.</t>
        </is>
      </c>
      <c r="J172" s="2" t="inlineStr">
        <is>
          <t>10.5194/acp-21-14507-2021</t>
        </is>
      </c>
      <c r="K172" s="8" t="inlineStr">
        <is>
          <t>https://doi.org/10.5194/acp-21-14507-2021</t>
        </is>
      </c>
      <c r="L172" s="2" t="n">
        <v>200</v>
      </c>
      <c r="M172" s="2" t="inlineStr">
        <is>
          <t>Sect. 5.1, Fig. 11</t>
        </is>
      </c>
      <c r="N172" s="2" t="inlineStr">
        <is>
          <t>full text</t>
        </is>
      </c>
      <c r="O172" s="2" t="n"/>
      <c r="P172" s="2" t="inlineStr">
        <is>
          <t>point</t>
        </is>
      </c>
      <c r="Q172" s="2" t="n"/>
      <c r="R172" s="2" t="n"/>
      <c r="S172" s="2" t="inlineStr">
        <is>
          <t>range stated</t>
        </is>
      </c>
      <c r="T172" s="2" t="inlineStr">
        <is>
          <t>Box-plume calculation</t>
        </is>
      </c>
      <c r="U172" s="2" t="inlineStr">
        <is>
          <t>Weak losses below ~1e16 s-1 per sprayer</t>
        </is>
      </c>
      <c r="V172" s="6" t="inlineStr">
        <is>
          <t>no comparable value</t>
        </is>
      </c>
      <c r="W172" s="2" t="inlineStr">
        <is>
          <t>no</t>
        </is>
      </c>
      <c r="X172" s="2" t="inlineStr">
        <is>
          <t>medium</t>
        </is>
      </c>
      <c r="Y172" s="2" t="inlineStr"/>
    </row>
    <row r="173">
      <c r="A173" s="4" t="inlineStr">
        <is>
          <t>C_physics</t>
        </is>
      </c>
      <c r="B173" s="2" t="inlineStr">
        <is>
          <t>6a. Cooling Model - Global</t>
        </is>
      </c>
      <c r="C173" s="2" t="inlineStr">
        <is>
          <t>B34</t>
        </is>
      </c>
      <c r="D173" s="2" t="inlineStr">
        <is>
          <t>CESM2 midlatitude cooling efficiency used for tonnage</t>
        </is>
      </c>
      <c r="E173" s="2" t="n">
        <v>0.236</v>
      </c>
      <c r="F173" s="2" t="inlineStr">
        <is>
          <t>K per Tg/yr</t>
        </is>
      </c>
      <c r="G173" s="2" t="inlineStr">
        <is>
          <t>Hirasawa 2026 J. Clim. (via row 10-12)</t>
        </is>
      </c>
      <c r="H173" s="2" t="inlineStr">
        <is>
          <t>Hirasawa et al. 2026 (J. Clim.)</t>
        </is>
      </c>
      <c r="I173" s="2" t="inlineStr">
        <is>
          <t>Hirasawa, H., Henry, M., Mason, E., Rasch, P. J., Doherty, S. J., Wood, R. (2026). Forcing Susceptibility and Climate Sensitivity to Midlatitude Marine Cloud Brightening. J. Climate, 39(2), 769-784.</t>
        </is>
      </c>
      <c r="J173" s="2" t="inlineStr">
        <is>
          <t>10.1175/JCLI-D-25-0337.1</t>
        </is>
      </c>
      <c r="K173" s="8" t="inlineStr">
        <is>
          <t>https://doi.org/10.1175/JCLI-D-25-0337.1</t>
        </is>
      </c>
      <c r="L173" s="2" t="n">
        <v>200</v>
      </c>
      <c r="M173" s="2" t="inlineStr">
        <is>
          <t>Sect. 3c text</t>
        </is>
      </c>
      <c r="N173" s="2" t="inlineStr">
        <is>
          <t>full text</t>
        </is>
      </c>
      <c r="O173" s="2" t="n">
        <v>0.231</v>
      </c>
      <c r="P173" s="2" t="inlineStr">
        <is>
          <t>point</t>
        </is>
      </c>
      <c r="Q173" s="2" t="n">
        <v>0.00754</v>
      </c>
      <c r="R173" s="2" t="n">
        <v>0.231</v>
      </c>
      <c r="S173" s="2" t="inlineStr">
        <is>
          <t>model spread</t>
        </is>
      </c>
      <c r="T173" s="2" t="inlineStr">
        <is>
          <t>3 ESMs, midlatitude 5-region strategy</t>
        </is>
      </c>
      <c r="U173" s="2" t="inlineStr">
        <is>
          <t>~31x spread across models (derived 0.231/0.00754)</t>
        </is>
      </c>
      <c r="V173" s="5" t="inlineStr">
        <is>
          <t>above range</t>
        </is>
      </c>
      <c r="W173" s="2" t="inlineStr">
        <is>
          <t>yes</t>
        </is>
      </c>
      <c r="X173" s="2" t="inlineStr">
        <is>
          <t>high</t>
        </is>
      </c>
      <c r="Y173" s="2" t="inlineStr">
        <is>
          <t>Paper text: -0.231 K yr Tg-1; workbook 0.236 (2% high).</t>
        </is>
      </c>
    </row>
    <row r="174">
      <c r="A174" s="4" t="inlineStr">
        <is>
          <t>C_physics</t>
        </is>
      </c>
      <c r="B174" s="2" t="inlineStr">
        <is>
          <t>6a. Cooling Model - Global</t>
        </is>
      </c>
      <c r="C174" s="2" t="inlineStr">
        <is>
          <t>B36</t>
        </is>
      </c>
      <c r="D174" s="2" t="inlineStr">
        <is>
          <t>E3SMv2 midlatitude cooling efficiency used for tonnage</t>
        </is>
      </c>
      <c r="E174" s="2" t="n">
        <v>0.0372</v>
      </c>
      <c r="F174" s="2" t="inlineStr">
        <is>
          <t>K per Tg/yr</t>
        </is>
      </c>
      <c r="G174" s="2" t="inlineStr">
        <is>
          <t>Hirasawa 2026 J. Clim. (via row 10-12)</t>
        </is>
      </c>
      <c r="H174" s="2" t="inlineStr">
        <is>
          <t>Hirasawa et al. 2026 (J. Clim.)</t>
        </is>
      </c>
      <c r="I174" s="2" t="inlineStr">
        <is>
          <t>Hirasawa, H., Henry, M., Mason, E., Rasch, P. J., Doherty, S. J., Wood, R. (2026). Forcing Susceptibility and Climate Sensitivity to Midlatitude Marine Cloud Brightening. J. Climate, 39(2), 769-784.</t>
        </is>
      </c>
      <c r="J174" s="2" t="inlineStr">
        <is>
          <t>10.1175/JCLI-D-25-0337.1</t>
        </is>
      </c>
      <c r="K174" s="8" t="inlineStr">
        <is>
          <t>https://doi.org/10.1175/JCLI-D-25-0337.1</t>
        </is>
      </c>
      <c r="L174" s="2" t="n">
        <v>200</v>
      </c>
      <c r="M174" s="2" t="inlineStr">
        <is>
          <t>Sect. 3c text</t>
        </is>
      </c>
      <c r="N174" s="2" t="inlineStr">
        <is>
          <t>full text</t>
        </is>
      </c>
      <c r="O174" s="2" t="n">
        <v>0.0372</v>
      </c>
      <c r="P174" s="2" t="inlineStr">
        <is>
          <t>point</t>
        </is>
      </c>
      <c r="Q174" s="2" t="n">
        <v>0.00754</v>
      </c>
      <c r="R174" s="2" t="n">
        <v>0.231</v>
      </c>
      <c r="S174" s="2" t="inlineStr">
        <is>
          <t>model spread</t>
        </is>
      </c>
      <c r="T174" s="2" t="inlineStr">
        <is>
          <t>3 ESMs, midlatitude 5-region strategy</t>
        </is>
      </c>
      <c r="U174" s="2" t="inlineStr">
        <is>
          <t>~31x spread across models (derived 0.231/0.00754)</t>
        </is>
      </c>
      <c r="V174" s="7" t="inlineStr">
        <is>
          <t>within</t>
        </is>
      </c>
      <c r="W174" s="2" t="inlineStr">
        <is>
          <t>neutral</t>
        </is>
      </c>
      <c r="X174" s="2" t="inlineStr">
        <is>
          <t>high</t>
        </is>
      </c>
      <c r="Y174" s="2" t="inlineStr">
        <is>
          <t>Matches paper text.</t>
        </is>
      </c>
    </row>
    <row r="175">
      <c r="A175" s="4" t="inlineStr">
        <is>
          <t>C_physics</t>
        </is>
      </c>
      <c r="B175" s="2" t="inlineStr">
        <is>
          <t>6a. Cooling Model - Global</t>
        </is>
      </c>
      <c r="C175" s="2" t="inlineStr">
        <is>
          <t>B37</t>
        </is>
      </c>
      <c r="D175" s="2" t="inlineStr">
        <is>
          <t>UKESM1.0 midlatitude cooling efficiency used for tonnage</t>
        </is>
      </c>
      <c r="E175" s="2" t="n">
        <v>0.00754</v>
      </c>
      <c r="F175" s="2" t="inlineStr">
        <is>
          <t>K per Tg/yr</t>
        </is>
      </c>
      <c r="G175" s="2" t="inlineStr">
        <is>
          <t>Hirasawa 2026 J. Clim. (via row 10-12)</t>
        </is>
      </c>
      <c r="H175" s="2" t="inlineStr">
        <is>
          <t>Hirasawa et al. 2026 (J. Clim.)</t>
        </is>
      </c>
      <c r="I175" s="2" t="inlineStr">
        <is>
          <t>Hirasawa, H., Henry, M., Mason, E., Rasch, P. J., Doherty, S. J., Wood, R. (2026). Forcing Susceptibility and Climate Sensitivity to Midlatitude Marine Cloud Brightening. J. Climate, 39(2), 769-784.</t>
        </is>
      </c>
      <c r="J175" s="2" t="inlineStr">
        <is>
          <t>10.1175/JCLI-D-25-0337.1</t>
        </is>
      </c>
      <c r="K175" s="8" t="inlineStr">
        <is>
          <t>https://doi.org/10.1175/JCLI-D-25-0337.1</t>
        </is>
      </c>
      <c r="L175" s="2" t="n">
        <v>200</v>
      </c>
      <c r="M175" s="2" t="inlineStr">
        <is>
          <t>Sect. 3c text</t>
        </is>
      </c>
      <c r="N175" s="2" t="inlineStr">
        <is>
          <t>full text</t>
        </is>
      </c>
      <c r="O175" s="2" t="n">
        <v>0.00754</v>
      </c>
      <c r="P175" s="2" t="inlineStr">
        <is>
          <t>point</t>
        </is>
      </c>
      <c r="Q175" s="2" t="n">
        <v>0.00754</v>
      </c>
      <c r="R175" s="2" t="n">
        <v>0.231</v>
      </c>
      <c r="S175" s="2" t="inlineStr">
        <is>
          <t>model spread</t>
        </is>
      </c>
      <c r="T175" s="2" t="inlineStr">
        <is>
          <t>3 ESMs, midlatitude 5-region strategy</t>
        </is>
      </c>
      <c r="U175" s="2" t="inlineStr">
        <is>
          <t>~31x spread across models (derived 0.231/0.00754)</t>
        </is>
      </c>
      <c r="V175" s="7" t="inlineStr">
        <is>
          <t>within</t>
        </is>
      </c>
      <c r="W175" s="2" t="inlineStr">
        <is>
          <t>neutral</t>
        </is>
      </c>
      <c r="X175" s="2" t="inlineStr">
        <is>
          <t>high</t>
        </is>
      </c>
      <c r="Y175" s="2" t="inlineStr">
        <is>
          <t>Matches paper text.</t>
        </is>
      </c>
    </row>
    <row r="176">
      <c r="A176" s="4" t="inlineStr">
        <is>
          <t>C_physics</t>
        </is>
      </c>
      <c r="B176" s="2" t="inlineStr">
        <is>
          <t>6a. Cooling Model - Global</t>
        </is>
      </c>
      <c r="C176" s="2" t="inlineStr">
        <is>
          <t>B42</t>
        </is>
      </c>
      <c r="D176" s="2" t="inlineStr">
        <is>
          <t>Global GDP</t>
        </is>
      </c>
      <c r="E176" s="2" t="n">
        <v>110</v>
      </c>
      <c r="F176" s="2" t="inlineStr">
        <is>
          <t>$ trillion</t>
        </is>
      </c>
      <c r="G176" s="2" t="inlineStr">
        <is>
          <t>World GDP ~$110T (2025)</t>
        </is>
      </c>
      <c r="H176" s="2" t="inlineStr">
        <is>
          <t>World Bank 2026 (WDI)</t>
        </is>
      </c>
      <c r="I176" s="2" t="inlineStr">
        <is>
          <t>World Bank, World Development Indicators, NY.GDP.MKTP.CD, World (WLD), current US$, API queried 2026-10-26.</t>
        </is>
      </c>
      <c r="J176" s="2" t="inlineStr"/>
      <c r="K176" s="8" t="inlineStr">
        <is>
          <t>https://api.worldbank.org/v2/country/WLD/indicator/NY.GDP.MKTP.CD?format=json&amp;mrv=3</t>
        </is>
      </c>
      <c r="L176" s="2" t="n">
        <v>200</v>
      </c>
      <c r="M176" s="2" t="inlineStr">
        <is>
          <t>NY.GDP.MKTP.CD, WLD</t>
        </is>
      </c>
      <c r="N176" s="2" t="inlineStr">
        <is>
          <t>full text</t>
        </is>
      </c>
      <c r="O176" s="2" t="n">
        <v>118.35</v>
      </c>
      <c r="P176" s="2" t="inlineStr">
        <is>
          <t>point</t>
        </is>
      </c>
      <c r="Q176" s="2" t="n">
        <v>107.35</v>
      </c>
      <c r="R176" s="2" t="n">
        <v>118.35</v>
      </c>
      <c r="S176" s="2" t="inlineStr">
        <is>
          <t>range stated</t>
        </is>
      </c>
      <c r="T176" s="2" t="inlineStr">
        <is>
          <t>World Bank WDI, 2023-2025</t>
        </is>
      </c>
      <c r="U176" s="2" t="inlineStr">
        <is>
          <t>2023 107.35, 2024 111.67, 2025 118.35 $T current US$</t>
        </is>
      </c>
      <c r="V176" s="5" t="inlineStr">
        <is>
          <t>below range</t>
        </is>
      </c>
      <c r="W176" s="2" t="inlineStr">
        <is>
          <t>no</t>
        </is>
      </c>
      <c r="X176" s="2" t="inlineStr">
        <is>
          <t>high</t>
        </is>
      </c>
      <c r="Y176" s="2" t="inlineStr">
        <is>
          <t>Workbook 110 is closer to the 2024 value; 2025 is 118.4.</t>
        </is>
      </c>
    </row>
    <row r="177">
      <c r="A177" s="4" t="inlineStr">
        <is>
          <t>C_physics</t>
        </is>
      </c>
      <c r="B177" s="2" t="inlineStr">
        <is>
          <t>6a. Cooling Model - Global</t>
        </is>
      </c>
      <c r="C177" s="2" t="inlineStr">
        <is>
          <t>B43</t>
        </is>
      </c>
      <c r="D177" s="2" t="inlineStr">
        <is>
          <t>Damage: low (DICE)</t>
        </is>
      </c>
      <c r="E177" s="2" t="n">
        <v>0.6</v>
      </c>
      <c r="F177" s="2" t="inlineStr">
        <is>
          <t>% GDP per degC</t>
        </is>
      </c>
      <c r="G177" s="2" t="inlineStr">
        <is>
          <t>DICE-2016R: 0.227% GDP per degC^2</t>
        </is>
      </c>
      <c r="H177" s="2" t="inlineStr">
        <is>
          <t>Nordhaus 2016 (DICE-2016R2)</t>
        </is>
      </c>
      <c r="I177" s="2" t="inlineStr">
        <is>
          <t>Nordhaus, W. D. (2016). Projections and Uncertainties About Climate Change in an Era of Minimal Climate Policies. NBER Working Paper 22933.</t>
        </is>
      </c>
      <c r="J177" s="2" t="inlineStr">
        <is>
          <t>10.3386/w22933</t>
        </is>
      </c>
      <c r="K177" s="8" t="inlineStr">
        <is>
          <t>https://doi.org/10.3386/w22933</t>
        </is>
      </c>
      <c r="L177" s="2" t="n">
        <v>200</v>
      </c>
      <c r="M177" s="2" t="inlineStr">
        <is>
          <t>p.14-15 Damage function</t>
        </is>
      </c>
      <c r="N177" s="2" t="inlineStr">
        <is>
          <t>full text</t>
        </is>
      </c>
      <c r="O177" s="2" t="n">
        <v>0.59</v>
      </c>
      <c r="P177" s="2" t="inlineStr">
        <is>
          <t>point</t>
        </is>
      </c>
      <c r="Q177" s="2" t="n">
        <v>0.59</v>
      </c>
      <c r="R177" s="2" t="n">
        <v>0.68</v>
      </c>
      <c r="S177" s="2" t="inlineStr">
        <is>
          <t>range stated</t>
        </is>
      </c>
      <c r="T177" s="2" t="inlineStr">
        <is>
          <t>DICE-2016R2 meta-regression</t>
        </is>
      </c>
      <c r="U177" s="2" t="inlineStr">
        <is>
          <t>0.227% per degC^2 (central 0.236 with SE 0.0303); 2.0% at 3C, 7.9% at 6C</t>
        </is>
      </c>
      <c r="V177" s="7" t="inlineStr">
        <is>
          <t>within</t>
        </is>
      </c>
      <c r="W177" s="2" t="inlineStr">
        <is>
          <t>neutral</t>
        </is>
      </c>
      <c r="X177" s="2" t="inlineStr">
        <is>
          <t>high</t>
        </is>
      </c>
      <c r="Y177" s="2" t="inlineStr">
        <is>
          <t>Derived marginal damage 2 x 0.227 x T: 0.59%/C at T=1.3, 0.68%/C at T=1.5; average 0.68%/C at 3C. Workbook 0.6 matches.</t>
        </is>
      </c>
    </row>
    <row r="178">
      <c r="A178" s="4" t="inlineStr">
        <is>
          <t>C_physics</t>
        </is>
      </c>
      <c r="B178" s="2" t="inlineStr">
        <is>
          <t>6a. Cooling Model - Global</t>
        </is>
      </c>
      <c r="C178" s="2" t="inlineStr">
        <is>
          <t>B44</t>
        </is>
      </c>
      <c r="D178" s="2" t="inlineStr">
        <is>
          <t>Damage: central (Burke 2015 anchor)</t>
        </is>
      </c>
      <c r="E178" s="2" t="n">
        <v>3.3</v>
      </c>
      <c r="F178" s="2" t="inlineStr">
        <is>
          <t>% GDP per degC</t>
        </is>
      </c>
      <c r="G178" s="2" t="inlineStr">
        <is>
          <t>Burke 2015: ~23% GDP/capita at ~3.7C (~6%/C)</t>
        </is>
      </c>
      <c r="H178" s="2" t="inlineStr">
        <is>
          <t>Burke et al. 2015</t>
        </is>
      </c>
      <c r="I178" s="2" t="inlineStr">
        <is>
          <t>Burke, M., Hsiang, S. M., Miguel, E. (2015). Global non-linear effect of temperature on economic production. Nature, 527, 235-239.</t>
        </is>
      </c>
      <c r="J178" s="2" t="inlineStr">
        <is>
          <t>10.1038/nature15725</t>
        </is>
      </c>
      <c r="K178" s="8" t="inlineStr">
        <is>
          <t>https://doi.org/10.1038/nature15725</t>
        </is>
      </c>
      <c r="L178" s="2" t="n">
        <v>200</v>
      </c>
      <c r="M178" s="2" t="inlineStr">
        <is>
          <t>Abstract</t>
        </is>
      </c>
      <c r="N178" s="2" t="inlineStr">
        <is>
          <t>abstract only</t>
        </is>
      </c>
      <c r="O178" s="2" t="n">
        <v>6.2</v>
      </c>
      <c r="P178" s="2" t="inlineStr">
        <is>
          <t>point</t>
        </is>
      </c>
      <c r="Q178" s="2" t="n"/>
      <c r="R178" s="2" t="n"/>
      <c r="S178" s="2" t="inlineStr">
        <is>
          <t>range stated</t>
        </is>
      </c>
      <c r="T178" s="2" t="inlineStr">
        <is>
          <t>Panel of 166 countries 1960-2010</t>
        </is>
      </c>
      <c r="U178" s="2" t="inlineStr">
        <is>
          <t>Unmitigated warming reduces average global incomes ~23% by 2100; losses approximately linear in global mean temperature</t>
        </is>
      </c>
      <c r="V178" s="5" t="inlineStr">
        <is>
          <t>below range</t>
        </is>
      </c>
      <c r="W178" s="2" t="inlineStr">
        <is>
          <t>no</t>
        </is>
      </c>
      <c r="X178" s="2" t="inlineStr">
        <is>
          <t>medium</t>
        </is>
      </c>
      <c r="Y178" s="2" t="inlineStr">
        <is>
          <t>Derived 23/3.7 = 6.2%/C using the workbook 3.7C (warming level not in the abstract). Workbook 3.3 is below that.</t>
        </is>
      </c>
    </row>
    <row r="179">
      <c r="A179" s="4" t="inlineStr">
        <is>
          <t>C_physics</t>
        </is>
      </c>
      <c r="B179" s="2" t="inlineStr">
        <is>
          <t>6a. Cooling Model - Global</t>
        </is>
      </c>
      <c r="C179" s="2" t="inlineStr">
        <is>
          <t>B45</t>
        </is>
      </c>
      <c r="D179" s="2" t="inlineStr">
        <is>
          <t>Damage: high (Bilal-Kanzig)</t>
        </is>
      </c>
      <c r="E179" s="2" t="n">
        <v>12</v>
      </c>
      <c r="F179" s="2" t="inlineStr">
        <is>
          <t>% GDP per degC</t>
        </is>
      </c>
      <c r="G179" s="2" t="inlineStr">
        <is>
          <t>Bilal &amp; Kanzig 2024 (w32450): 12% GDP per degC</t>
        </is>
      </c>
      <c r="H179" s="2" t="inlineStr">
        <is>
          <t>Bilal &amp; Kanzig 2024 (rev. 2026)</t>
        </is>
      </c>
      <c r="I179" s="2" t="inlineStr">
        <is>
          <t>Bilal, A., Kanzig, D. R. (2024, revised Jan 2026). The Macroeconomic Impact of Climate Change: Global vs. Local Temperature. NBER Working Paper 32450.</t>
        </is>
      </c>
      <c r="J179" s="2" t="inlineStr">
        <is>
          <t>10.3386/w32450</t>
        </is>
      </c>
      <c r="K179" s="8" t="inlineStr">
        <is>
          <t>https://doi.org/10.3386/w32450</t>
        </is>
      </c>
      <c r="L179" s="2" t="n">
        <v>200</v>
      </c>
      <c r="M179" s="2" t="inlineStr">
        <is>
          <t>Abstract (revised Jan 2026)</t>
        </is>
      </c>
      <c r="N179" s="2" t="inlineStr">
        <is>
          <t>full text</t>
        </is>
      </c>
      <c r="O179" s="2" t="n">
        <v>20</v>
      </c>
      <c r="P179" s="2" t="inlineStr">
        <is>
          <t>point</t>
        </is>
      </c>
      <c r="Q179" s="2" t="n"/>
      <c r="R179" s="2" t="n"/>
      <c r="S179" s="2" t="inlineStr">
        <is>
          <t>range stated</t>
        </is>
      </c>
      <c r="T179" s="2" t="inlineStr">
        <is>
          <t>Global temperature shocks, local projections</t>
        </is>
      </c>
      <c r="U179" s="2" t="inlineStr">
        <is>
          <t>Current version: "1C warming reduces world GDP by over 20% in the long run"</t>
        </is>
      </c>
      <c r="V179" s="5" t="inlineStr">
        <is>
          <t>below range</t>
        </is>
      </c>
      <c r="W179" s="2" t="inlineStr">
        <is>
          <t>no</t>
        </is>
      </c>
      <c r="X179" s="2" t="inlineStr">
        <is>
          <t>medium</t>
        </is>
      </c>
      <c r="Y179" s="2" t="inlineStr">
        <is>
          <t>The current NBER version (May 2024, revised Jan 2026) says &gt;20%, not 12%. The 12% may come from the original 2024 version, which was not checked here.</t>
        </is>
      </c>
    </row>
    <row r="180">
      <c r="A180" s="4" t="inlineStr">
        <is>
          <t>D_benefits</t>
        </is>
      </c>
      <c r="B180" s="2" t="inlineStr">
        <is>
          <t>5c. Benefit - Local - Reef</t>
        </is>
      </c>
      <c r="C180" s="2" t="inlineStr">
        <is>
          <t>B3</t>
        </is>
      </c>
      <c r="D180" s="2" t="inlineStr">
        <is>
          <t>Local on-target delivery factor</t>
        </is>
      </c>
      <c r="E180" s="2" t="n">
        <v>0.5</v>
      </c>
      <c r="F180" s="2" t="inlineStr">
        <is>
          <t>fraction</t>
        </is>
      </c>
      <c r="G180" s="2" t="inlineStr">
        <is>
          <t>Assumption (same factor as 5d).</t>
        </is>
      </c>
      <c r="H180" s="2" t="inlineStr">
        <is>
          <t>T14</t>
        </is>
      </c>
      <c r="I180" s="2" t="inlineStr">
        <is>
          <t>Harrison, D.P., Baird, M., Harrison, L., Utembe, S., Schofield, R., Escobar Correa, R., Mongin, M., Rizwi, F. (2019). Environmental Modelling of Large Scale Solar Radiation Management. RRAP T14 Final Report.</t>
        </is>
      </c>
      <c r="J180" s="2" t="inlineStr"/>
      <c r="K180" s="8" t="inlineStr">
        <is>
          <t>https://gbrrestoration.org/wp-content/uploads/2020/09/T14-Environmental-Modelling-of-Large-Scale-SRM_v3.03-3.pdf</t>
        </is>
      </c>
      <c r="L180" s="2" t="n">
        <v>200</v>
      </c>
      <c r="M180" s="2" t="inlineStr">
        <is>
          <t>PDF p.9 (exec summary): applying forcing to whole model domain gave ~40% more mid-shelf cooling; shrinking to Townsville-Cooktown region cut cooling ~20%</t>
        </is>
      </c>
      <c r="N180" s="2" t="inlineStr">
        <is>
          <t>full text</t>
        </is>
      </c>
      <c r="O180" s="2" t="n"/>
      <c r="P180" s="2" t="inlineStr">
        <is>
          <t>point</t>
        </is>
      </c>
      <c r="Q180" s="2" t="n"/>
      <c r="R180" s="2" t="n"/>
      <c r="S180" s="2" t="inlineStr">
        <is>
          <t>range stated</t>
        </is>
      </c>
      <c r="T180" s="2" t="inlineStr">
        <is>
          <t>2 scale sensitivity runs</t>
        </is>
      </c>
      <c r="U180" s="2" t="inlineStr">
        <is>
          <t>Not a delivery fraction; closest published quantity is scale sensitivity of cooling (-20% to +40%)</t>
        </is>
      </c>
      <c r="V180" s="6" t="inlineStr">
        <is>
          <t>no comparable value</t>
        </is>
      </c>
      <c r="W180" s="2" t="inlineStr">
        <is>
          <t>n/a</t>
        </is>
      </c>
      <c r="X180" s="2" t="inlineStr">
        <is>
          <t>low</t>
        </is>
      </c>
      <c r="Y180" s="2" t="inlineStr">
        <is>
          <t>Unsupported assumption. Tried: OpenAlex search (MCB targeted cooling fraction reaching target; urban daily max vs mean cooling ratio; cool roofs mean vs peak), WebSearch, and the workbook's own cited sources (T14, CS-01). No published value for this specific quantity found.</t>
        </is>
      </c>
    </row>
    <row r="181">
      <c r="A181" s="4" t="inlineStr">
        <is>
          <t>D_benefits</t>
        </is>
      </c>
      <c r="B181" s="2" t="inlineStr">
        <is>
          <t>5c. Benefit - Local - Reef</t>
        </is>
      </c>
      <c r="C181" s="2" t="inlineStr">
        <is>
          <t>B6</t>
        </is>
      </c>
      <c r="D181" s="2" t="inlineStr">
        <is>
          <t>Reef area cooled</t>
        </is>
      </c>
      <c r="E181" s="2" t="n">
        <v>30000</v>
      </c>
      <c r="F181" s="2" t="inlineStr">
        <is>
          <t>km2</t>
        </is>
      </c>
      <c r="G181" s="2" t="inlineStr">
        <is>
          <t>Harrison 2019 reef-wide domain; GBR shallow reef ~3 million ha.</t>
        </is>
      </c>
      <c r="H181" s="2" t="inlineStr">
        <is>
          <t>Roelfsema21</t>
        </is>
      </c>
      <c r="I181" s="2" t="inlineStr">
        <is>
          <t>Roelfsema, C.M. et al. (2021). How Much Shallow Coral Habitat Is There on the Great Barrier Reef? Remote Sensing 13(21):4343.</t>
        </is>
      </c>
      <c r="J181" s="2" t="inlineStr">
        <is>
          <t>10.3390/rs13214343</t>
        </is>
      </c>
      <c r="K181" s="8" t="inlineStr">
        <is>
          <t>https://doi.org/10.3390/rs13214343</t>
        </is>
      </c>
      <c r="L181" s="2" t="n">
        <v>403</v>
      </c>
      <c r="M181" s="2" t="inlineStr">
        <is>
          <t>Abstract</t>
        </is>
      </c>
      <c r="N181" s="2" t="inlineStr">
        <is>
          <t>abstract only</t>
        </is>
      </c>
      <c r="O181" s="2" t="n">
        <v>28261</v>
      </c>
      <c r="P181" s="2" t="inlineStr">
        <is>
          <t>point</t>
        </is>
      </c>
      <c r="Q181" s="2" t="n">
        <v>21573</v>
      </c>
      <c r="R181" s="2" t="n">
        <v>28261</v>
      </c>
      <c r="S181" s="2" t="inlineStr">
        <is>
          <t>range stated</t>
        </is>
      </c>
      <c r="T181" s="2" t="inlineStr">
        <is>
          <t>Geomorphic maps of &gt;2164 shallow offshore reefs, 0-20 m</t>
        </is>
      </c>
      <c r="U181" s="2" t="inlineStr">
        <is>
          <t>28,261 km2 = new 0-20 m geomorphic extent (31% above prior estimates; prior derived 28261/1.31 = 21,573 km2). Hard substrate suitable for coral (0-10 m) ~10,600 km2.</t>
        </is>
      </c>
      <c r="V181" s="5" t="inlineStr">
        <is>
          <t>above range</t>
        </is>
      </c>
      <c r="W181" s="2" t="inlineStr">
        <is>
          <t>no</t>
        </is>
      </c>
      <c r="X181" s="2" t="inlineStr">
        <is>
          <t>medium</t>
        </is>
      </c>
      <c r="Y181" s="2" t="inlineStr">
        <is>
          <t>Workbook 30,000 is ~6% above the newest mapped extent. Larger area raises tonnage/cost in B12 with no change in value, so it does not favour MCB. Separately, T14's SHELF forcing domain is shore-to-shelf-break 10-24S (PDF p.25), far larger than reef area, so the relief anchor was obtained with a bigger footprint than 30,000 km2.</t>
        </is>
      </c>
    </row>
    <row r="182">
      <c r="A182" s="4" t="inlineStr">
        <is>
          <t>D_benefits</t>
        </is>
      </c>
      <c r="B182" s="2" t="inlineStr">
        <is>
          <t>5c. Benefit - Local - Reef</t>
        </is>
      </c>
      <c r="C182" s="2" t="inlineStr">
        <is>
          <t>B7</t>
        </is>
      </c>
      <c r="D182" s="2" t="inlineStr">
        <is>
          <t>Marine heatwave / bleaching season length</t>
        </is>
      </c>
      <c r="E182" s="2" t="n">
        <v>151</v>
      </c>
      <c r="F182" s="2" t="inlineStr">
        <is>
          <t>days</t>
        </is>
      </c>
      <c r="G182" s="2" t="inlineStr">
        <is>
          <t>Harrison 2019 (T14) p.39: 1 Dec to 30 Apr.</t>
        </is>
      </c>
      <c r="H182" s="2" t="inlineStr">
        <is>
          <t>T14</t>
        </is>
      </c>
      <c r="I182" s="2" t="inlineStr">
        <is>
          <t>Harrison, D.P., Baird, M., Harrison, L., Utembe, S., Schofield, R., Escobar Correa, R., Mongin, M., Rizwi, F. (2019). Environmental Modelling of Large Scale Solar Radiation Management. RRAP T14 Final Report.</t>
        </is>
      </c>
      <c r="J182" s="2" t="inlineStr"/>
      <c r="K182" s="8" t="inlineStr">
        <is>
          <t>https://gbrrestoration.org/wp-content/uploads/2020/09/T14-Environmental-Modelling-of-Large-Scale-SRM_v3.03-3.pdf</t>
        </is>
      </c>
      <c r="L182" s="2" t="n">
        <v>200</v>
      </c>
      <c r="M182" s="2" t="inlineStr">
        <is>
          <t>Printed p.39 (PDF p.46), Table 4 footnote: stress 'accumulated over the entire summer from 1 December to 30 April'</t>
        </is>
      </c>
      <c r="N182" s="2" t="inlineStr">
        <is>
          <t>full text</t>
        </is>
      </c>
      <c r="O182" s="2" t="n">
        <v>151</v>
      </c>
      <c r="P182" s="2" t="inlineStr">
        <is>
          <t>point</t>
        </is>
      </c>
      <c r="Q182" s="2" t="n">
        <v>151</v>
      </c>
      <c r="R182" s="2" t="n">
        <v>151</v>
      </c>
      <c r="S182" s="2" t="inlineStr">
        <is>
          <t>range stated</t>
        </is>
      </c>
      <c r="T182" s="2" t="inlineStr">
        <is>
          <t>Definition of eReefs reef temperature exposure window</t>
        </is>
      </c>
      <c r="U182" s="2" t="inlineStr">
        <is>
          <t>Definitional window, not an observed heatwave duration. AIMS 2025 notes the 2025 event peaked in March.</t>
        </is>
      </c>
      <c r="V182" s="7" t="inlineStr">
        <is>
          <t>within</t>
        </is>
      </c>
      <c r="W182" s="2" t="inlineStr">
        <is>
          <t>no</t>
        </is>
      </c>
      <c r="X182" s="2" t="inlineStr">
        <is>
          <t>high</t>
        </is>
      </c>
      <c r="Y182" s="2" t="inlineStr">
        <is>
          <t>Verified verbatim. Note the window is the stress-accumulation period, not the period corals are above bleaching thresholds; actual hot spells are shorter, so charter for 151 days is conservative on cost (does not favour MCB).</t>
        </is>
      </c>
    </row>
    <row r="183">
      <c r="A183" s="4" t="inlineStr">
        <is>
          <t>D_benefits</t>
        </is>
      </c>
      <c r="B183" s="2" t="inlineStr">
        <is>
          <t>5c-alt. Benefit - Reef (Zhao)</t>
        </is>
      </c>
      <c r="C183" s="2" t="inlineStr">
        <is>
          <t>B12</t>
        </is>
      </c>
      <c r="D183" s="2" t="inlineStr">
        <is>
          <t>Marine heatwave / bleaching season length</t>
        </is>
      </c>
      <c r="E183" s="2" t="n">
        <v>151</v>
      </c>
      <c r="F183" s="2" t="inlineStr">
        <is>
          <t>days</t>
        </is>
      </c>
      <c r="G183" s="2" t="inlineStr">
        <is>
          <t>Harrison 2019 (T14) p.39: 1 Dec to 30 Apr.</t>
        </is>
      </c>
      <c r="H183" s="2" t="inlineStr">
        <is>
          <t>T14</t>
        </is>
      </c>
      <c r="I183" s="2" t="inlineStr">
        <is>
          <t>Harrison, D.P., Baird, M., Harrison, L., Utembe, S., Schofield, R., Escobar Correa, R., Mongin, M., Rizwi, F. (2019). Environmental Modelling of Large Scale Solar Radiation Management. RRAP T14 Final Report.</t>
        </is>
      </c>
      <c r="J183" s="2" t="inlineStr"/>
      <c r="K183" s="8" t="inlineStr">
        <is>
          <t>https://gbrrestoration.org/wp-content/uploads/2020/09/T14-Environmental-Modelling-of-Large-Scale-SRM_v3.03-3.pdf</t>
        </is>
      </c>
      <c r="L183" s="2" t="n">
        <v>200</v>
      </c>
      <c r="M183" s="2" t="inlineStr">
        <is>
          <t>Printed p.39 (PDF p.46), Table 4 footnote: stress 'accumulated over the entire summer from 1 December to 30 April'</t>
        </is>
      </c>
      <c r="N183" s="2" t="inlineStr">
        <is>
          <t>full text</t>
        </is>
      </c>
      <c r="O183" s="2" t="n">
        <v>151</v>
      </c>
      <c r="P183" s="2" t="inlineStr">
        <is>
          <t>point</t>
        </is>
      </c>
      <c r="Q183" s="2" t="n">
        <v>151</v>
      </c>
      <c r="R183" s="2" t="n">
        <v>151</v>
      </c>
      <c r="S183" s="2" t="inlineStr">
        <is>
          <t>range stated</t>
        </is>
      </c>
      <c r="T183" s="2" t="inlineStr">
        <is>
          <t>Definition of eReefs reef temperature exposure window</t>
        </is>
      </c>
      <c r="U183" s="2" t="inlineStr">
        <is>
          <t>Definitional window, not an observed heatwave duration. AIMS 2025 notes the 2025 event peaked in March.</t>
        </is>
      </c>
      <c r="V183" s="7" t="inlineStr">
        <is>
          <t>within</t>
        </is>
      </c>
      <c r="W183" s="2" t="inlineStr">
        <is>
          <t>no</t>
        </is>
      </c>
      <c r="X183" s="2" t="inlineStr">
        <is>
          <t>high</t>
        </is>
      </c>
      <c r="Y183" s="2" t="inlineStr">
        <is>
          <t>Verified verbatim. Note the window is the stress-accumulation period, not the period corals are above bleaching thresholds; actual hot spells are shorter, so charter for 151 days is conservative on cost (does not favour MCB).</t>
        </is>
      </c>
    </row>
    <row r="184">
      <c r="A184" s="4" t="inlineStr">
        <is>
          <t>D_benefits</t>
        </is>
      </c>
      <c r="B184" s="2" t="inlineStr">
        <is>
          <t>5c. Benefit - Local - Reef</t>
        </is>
      </c>
      <c r="C184" s="2" t="inlineStr">
        <is>
          <t>B24</t>
        </is>
      </c>
      <c r="D184" s="2" t="inlineStr">
        <is>
          <t>Bleaching-stress relief, 2015/16 event</t>
        </is>
      </c>
      <c r="E184" s="2" t="n">
        <v>0.5</v>
      </c>
      <c r="F184" s="2" t="inlineStr">
        <is>
          <t>fraction</t>
        </is>
      </c>
      <c r="G184" s="2" t="inlineStr">
        <is>
          <t>Harrison et al. 2019 (T14) p.57.</t>
        </is>
      </c>
      <c r="H184" s="2" t="inlineStr">
        <is>
          <t>T14</t>
        </is>
      </c>
      <c r="I184" s="2" t="inlineStr">
        <is>
          <t>Harrison, D.P., Baird, M., Harrison, L., Utembe, S., Schofield, R., Escobar Correa, R., Mongin, M., Rizwi, F. (2019). Environmental Modelling of Large Scale Solar Radiation Management. RRAP T14 Final Report.</t>
        </is>
      </c>
      <c r="J184" s="2" t="inlineStr"/>
      <c r="K184" s="8" t="inlineStr">
        <is>
          <t>https://gbrrestoration.org/wp-content/uploads/2020/09/T14-Environmental-Modelling-of-Large-Scale-SRM_v3.03-3.pdf</t>
        </is>
      </c>
      <c r="L184" s="2" t="n">
        <v>200</v>
      </c>
      <c r="M184" s="2" t="inlineStr">
        <is>
          <t>Printed p.57 (PDF p.64) text '~50 percent in 2015/2016 and ~65 percent in 2016/2017'; per-reef values Table 5 (printed p.40) cumulative ROS reduction, scenario A0.3 SHELF</t>
        </is>
      </c>
      <c r="N184" s="2" t="inlineStr">
        <is>
          <t>full text</t>
        </is>
      </c>
      <c r="O184" s="2" t="n">
        <v>0.476</v>
      </c>
      <c r="P184" s="2" t="inlineStr">
        <is>
          <t>mean</t>
        </is>
      </c>
      <c r="Q184" s="2" t="n">
        <v>0.23</v>
      </c>
      <c r="R184" s="2" t="n">
        <v>0.6899999999999999</v>
      </c>
      <c r="S184" s="2" t="inlineStr">
        <is>
          <t>min-max across studies</t>
        </is>
      </c>
      <c r="T184" s="2" t="inlineStr">
        <is>
          <t>14 reefs (RECOM high-res), one scenario each</t>
        </is>
      </c>
      <c r="U184" s="2" t="inlineStr">
        <is>
          <t>Derived from Table 5 cumulative ROS reduction %: mean 47.6, median 49, SD 12.5. DHW-based reduction for same runs: mean 38.4%, median 35%, SD 18.8, range 6-73% (Table 4). Report itself says small sample, considerable variation.</t>
        </is>
      </c>
      <c r="V184" s="7" t="inlineStr">
        <is>
          <t>within</t>
        </is>
      </c>
      <c r="W184" s="2" t="inlineStr">
        <is>
          <t>neutral</t>
        </is>
      </c>
      <c r="X184" s="2" t="inlineStr">
        <is>
          <t>high</t>
        </is>
      </c>
      <c r="Y184" s="2" t="inlineStr">
        <is>
          <t>Text values verified. Relief measured as reactive-oxygen-species stress; the DHW-based relief, which is what the Hughes 2018 mortality curves use, is ~10-15 points lower. A0.3 forcing was larger in 2016/17 (more low cloud), so 65% is not at the same forcing as the 22 W/m2 anchor.</t>
        </is>
      </c>
    </row>
    <row r="185">
      <c r="A185" s="4" t="inlineStr">
        <is>
          <t>D_benefits</t>
        </is>
      </c>
      <c r="B185" s="2" t="inlineStr">
        <is>
          <t>5c. Benefit - Local - Reef</t>
        </is>
      </c>
      <c r="C185" s="2" t="inlineStr">
        <is>
          <t>B25</t>
        </is>
      </c>
      <c r="D185" s="2" t="inlineStr">
        <is>
          <t>Bleaching-stress relief, 2016/17 event</t>
        </is>
      </c>
      <c r="E185" s="2" t="n">
        <v>0.65</v>
      </c>
      <c r="F185" s="2" t="inlineStr">
        <is>
          <t>fraction</t>
        </is>
      </c>
      <c r="G185" s="2" t="inlineStr">
        <is>
          <t>Harrison et al. 2019 (T14) p.57.</t>
        </is>
      </c>
      <c r="H185" s="2" t="inlineStr">
        <is>
          <t>T14</t>
        </is>
      </c>
      <c r="I185" s="2" t="inlineStr">
        <is>
          <t>Harrison, D.P., Baird, M., Harrison, L., Utembe, S., Schofield, R., Escobar Correa, R., Mongin, M., Rizwi, F. (2019). Environmental Modelling of Large Scale Solar Radiation Management. RRAP T14 Final Report.</t>
        </is>
      </c>
      <c r="J185" s="2" t="inlineStr"/>
      <c r="K185" s="8" t="inlineStr">
        <is>
          <t>https://gbrrestoration.org/wp-content/uploads/2020/09/T14-Environmental-Modelling-of-Large-Scale-SRM_v3.03-3.pdf</t>
        </is>
      </c>
      <c r="L185" s="2" t="n">
        <v>200</v>
      </c>
      <c r="M185" s="2" t="inlineStr">
        <is>
          <t>Printed p.57 (PDF p.64) text '~50 percent in 2015/2016 and ~65 percent in 2016/2017'; per-reef values Table 5 (printed p.40) cumulative ROS reduction, scenario A0.3 SHELF</t>
        </is>
      </c>
      <c r="N185" s="2" t="inlineStr">
        <is>
          <t>full text</t>
        </is>
      </c>
      <c r="O185" s="2" t="n">
        <v>0.674</v>
      </c>
      <c r="P185" s="2" t="inlineStr">
        <is>
          <t>mean</t>
        </is>
      </c>
      <c r="Q185" s="2" t="n">
        <v>0.33</v>
      </c>
      <c r="R185" s="2" t="n">
        <v>0.85</v>
      </c>
      <c r="S185" s="2" t="inlineStr">
        <is>
          <t>min-max across studies</t>
        </is>
      </c>
      <c r="T185" s="2" t="inlineStr">
        <is>
          <t>14 reefs (RECOM high-res), one scenario each</t>
        </is>
      </c>
      <c r="U185" s="2" t="inlineStr">
        <is>
          <t>Derived from Table 5 cumulative ROS reduction %: mean 67.4, median 67, SD 13.8. DHW-based reduction for same runs: mean 51.1%, median 53%, SD 8.9, range 31-67% (Table 4). Report itself says small sample, considerable variation.</t>
        </is>
      </c>
      <c r="V185" s="7" t="inlineStr">
        <is>
          <t>within</t>
        </is>
      </c>
      <c r="W185" s="2" t="inlineStr">
        <is>
          <t>neutral</t>
        </is>
      </c>
      <c r="X185" s="2" t="inlineStr">
        <is>
          <t>high</t>
        </is>
      </c>
      <c r="Y185" s="2" t="inlineStr">
        <is>
          <t>Text values verified. Relief measured as reactive-oxygen-species stress; the DHW-based relief, which is what the Hughes 2018 mortality curves use, is ~10-15 points lower. A0.3 forcing was larger in 2016/17 (more low cloud), so 65% is not at the same forcing as the 22 W/m2 anchor.</t>
        </is>
      </c>
    </row>
    <row r="186">
      <c r="A186" s="4" t="inlineStr">
        <is>
          <t>D_benefits</t>
        </is>
      </c>
      <c r="B186" s="2" t="inlineStr">
        <is>
          <t>5c. Benefit - Local - Reef</t>
        </is>
      </c>
      <c r="C186" s="2" t="inlineStr">
        <is>
          <t>B26</t>
        </is>
      </c>
      <c r="D186" s="2" t="inlineStr">
        <is>
          <t>Adopted relief (Harrison)</t>
        </is>
      </c>
      <c r="E186" s="2" t="n">
        <v>0.57</v>
      </c>
      <c r="F186" s="2" t="inlineStr">
        <is>
          <t>fraction</t>
        </is>
      </c>
      <c r="G186" s="2" t="inlineStr">
        <is>
          <t>Average of the two events.</t>
        </is>
      </c>
      <c r="H186" s="2" t="inlineStr">
        <is>
          <t>T14</t>
        </is>
      </c>
      <c r="I186" s="2" t="inlineStr">
        <is>
          <t>Harrison, D.P., Baird, M., Harrison, L., Utembe, S., Schofield, R., Escobar Correa, R., Mongin, M., Rizwi, F. (2019). Environmental Modelling of Large Scale Solar Radiation Management. RRAP T14 Final Report.</t>
        </is>
      </c>
      <c r="J186" s="2" t="inlineStr"/>
      <c r="K186" s="8" t="inlineStr">
        <is>
          <t>https://gbrrestoration.org/wp-content/uploads/2020/09/T14-Environmental-Modelling-of-Large-Scale-SRM_v3.03-3.pdf</t>
        </is>
      </c>
      <c r="L186" s="2" t="n">
        <v>200</v>
      </c>
      <c r="M186" s="2" t="inlineStr">
        <is>
          <t>Tables 4 and 5 (printed pp.39-40), A0.3 SHELF and D0.0676 SHELF</t>
        </is>
      </c>
      <c r="N186" s="2" t="inlineStr">
        <is>
          <t>full text</t>
        </is>
      </c>
      <c r="O186" s="2" t="n">
        <v>0.575</v>
      </c>
      <c r="P186" s="2" t="inlineStr">
        <is>
          <t>mean</t>
        </is>
      </c>
      <c r="Q186" s="2" t="n">
        <v>0.447</v>
      </c>
      <c r="R186" s="2" t="n">
        <v>0.575</v>
      </c>
      <c r="S186" s="2" t="inlineStr">
        <is>
          <t>range stated</t>
        </is>
      </c>
      <c r="T186" s="2" t="inlineStr">
        <is>
          <t>28 reef-events (14 reefs x 2 years)</t>
        </is>
      </c>
      <c r="U186" s="2" t="inlineStr">
        <is>
          <t>Derived: ROS-based pooled mean (47.6+67.4)/2 = 57.5%; DHW-based pooled mean (38.4+51.1)/2 = 44.75%. Equal-forcing D0.0676 runs: ROS 48.5% / 66.4%, DHW 37.4% / 43.9%.</t>
        </is>
      </c>
      <c r="V186" s="7" t="inlineStr">
        <is>
          <t>within</t>
        </is>
      </c>
      <c r="W186" s="2" t="inlineStr">
        <is>
          <t>yes</t>
        </is>
      </c>
      <c r="X186" s="2" t="inlineStr">
        <is>
          <t>medium</t>
        </is>
      </c>
      <c r="Y186" s="2" t="inlineStr">
        <is>
          <t>0.57 matches the ROS metric; on the DHW metric (the one tied to observed mortality) relief is ~0.45, i.e. workbook is ~27% higher. Mildly favours MCB.</t>
        </is>
      </c>
    </row>
    <row r="187">
      <c r="A187" s="4" t="inlineStr">
        <is>
          <t>D_benefits</t>
        </is>
      </c>
      <c r="B187" s="2" t="inlineStr">
        <is>
          <t>5c. Benefit - Local - Reef</t>
        </is>
      </c>
      <c r="C187" s="2" t="inlineStr">
        <is>
          <t>B26</t>
        </is>
      </c>
      <c r="D187" s="2" t="inlineStr">
        <is>
          <t>Cooling needed to avert bleaching (DHW thresholds; context for relief)</t>
        </is>
      </c>
      <c r="E187" s="2" t="n">
        <v>0.57</v>
      </c>
      <c r="F187" s="2" t="inlineStr">
        <is>
          <t>fraction</t>
        </is>
      </c>
      <c r="G187" s="2" t="inlineStr"/>
      <c r="H187" s="2" t="inlineStr">
        <is>
          <t>Hughes18N</t>
        </is>
      </c>
      <c r="I187" s="2" t="inlineStr">
        <is>
          <t>Hughes, T.P., Kerry, J.T., Baird, A.H., Connolly, S.R. et al. (2018). Global warming transforms coral reef assemblages. Nature 556:492-496.</t>
        </is>
      </c>
      <c r="J187" s="2" t="inlineStr">
        <is>
          <t>10.1038/s41586-018-0041-2</t>
        </is>
      </c>
      <c r="K187" s="8" t="inlineStr">
        <is>
          <t>https://doi.org/10.1038/s41586-018-0041-2</t>
        </is>
      </c>
      <c r="L187" s="2" t="n">
        <v>200</v>
      </c>
      <c r="M187" s="2" t="inlineStr">
        <is>
          <t>Accepted MS (NOAA repository) lines 97-115, 158-161; Fig. 2c</t>
        </is>
      </c>
      <c r="N187" s="2" t="inlineStr">
        <is>
          <t>full text</t>
        </is>
      </c>
      <c r="O187" s="2" t="n"/>
      <c r="P187" s="2" t="inlineStr">
        <is>
          <t>point</t>
        </is>
      </c>
      <c r="Q187" s="2" t="n"/>
      <c r="R187" s="2" t="n"/>
      <c r="S187" s="2" t="inlineStr">
        <is>
          <t>range stated</t>
        </is>
      </c>
      <c r="T187" s="2" t="inlineStr">
        <is>
          <t>Aerial surveys of 1,156 reefs; in-water 2016</t>
        </is>
      </c>
      <c r="U187" s="2" t="inlineStr">
        <is>
          <t>NOAA guidance: 4 C-weeks usually gives significant bleaching, 8 C-weeks may cause mortality. Coral cover loss: ~0 at 0-3 C-weeks, 40% at 4, 66% at 8, &gt;80% above 9 C-weeks. Strongly non-linear.</t>
        </is>
      </c>
      <c r="V187" s="6" t="inlineStr">
        <is>
          <t>no comparable value</t>
        </is>
      </c>
      <c r="W187" s="2" t="inlineStr">
        <is>
          <t>n/a</t>
        </is>
      </c>
      <c r="X187" s="2" t="inlineStr">
        <is>
          <t>high</t>
        </is>
      </c>
      <c r="Y187" s="2" t="inlineStr">
        <is>
          <t>Because loss is threshold-like, a ~45-57% cut in stress can avert most loss on moderately stressed reefs but little on reefs with control DHW of 25-37 (T14 Table 4: 7 of 14 reefs &gt;26 in 2015/16). Linear relief-to-value mapping is unsupported.</t>
        </is>
      </c>
    </row>
    <row r="188">
      <c r="A188" s="4" t="inlineStr">
        <is>
          <t>D_benefits</t>
        </is>
      </c>
      <c r="B188" s="2" t="inlineStr">
        <is>
          <t>5c. Benefit - Local - Reef</t>
        </is>
      </c>
      <c r="C188" s="2" t="inlineStr">
        <is>
          <t>B31</t>
        </is>
      </c>
      <c r="D188" s="2" t="inlineStr">
        <is>
          <t>GBR asset valuation</t>
        </is>
      </c>
      <c r="E188" s="2" t="n">
        <v>95</v>
      </c>
      <c r="F188" s="2" t="inlineStr">
        <is>
          <t>A$ billion</t>
        </is>
      </c>
      <c r="G188" s="2" t="inlineStr">
        <is>
          <t>Deloitte 'At What Cost?' 2025.</t>
        </is>
      </c>
      <c r="H188" s="2" t="inlineStr">
        <is>
          <t>Deloitte25</t>
        </is>
      </c>
      <c r="I188" s="2" t="inlineStr">
        <is>
          <t>Deloitte Access Economics (2025). At What Cost? Safeguarding the Great Barrier Reef's Role in Australia's Economy. Report for the Great Barrier Reef Foundation (summary via Global Fund for Coral Reefs knowledge page; full report not obtained).</t>
        </is>
      </c>
      <c r="J188" s="2" t="inlineStr"/>
      <c r="K188" s="8" t="inlineStr">
        <is>
          <t>https://globalfundcoralreefs.org/reef-plus/knowledge/at-what-cost-safeguarding-the-great-barrier-reef-s-role-in-australia-s-economy/</t>
        </is>
      </c>
      <c r="L188" s="2" t="n">
        <v>200</v>
      </c>
      <c r="M188" s="2" t="inlineStr">
        <is>
          <t>Summary page (full report not obtained)</t>
        </is>
      </c>
      <c r="N188" s="2" t="inlineStr">
        <is>
          <t>paywalled, from secondary</t>
        </is>
      </c>
      <c r="O188" s="2" t="n">
        <v>95</v>
      </c>
      <c r="P188" s="2" t="inlineStr">
        <is>
          <t>point</t>
        </is>
      </c>
      <c r="Q188" s="2" t="n"/>
      <c r="R188" s="2" t="n"/>
      <c r="S188" s="2" t="inlineStr">
        <is>
          <t>range stated</t>
        </is>
      </c>
      <c r="T188" s="2" t="inlineStr">
        <is>
          <t>Single valuation study</t>
        </is>
      </c>
      <c r="U188" s="2" t="inlineStr">
        <is>
          <t>Economic + social + cultural value; reported 'up from $56 billion in 2017'. Method/discount rate of 2025 report not verified.</t>
        </is>
      </c>
      <c r="V188" s="7" t="inlineStr">
        <is>
          <t>within</t>
        </is>
      </c>
      <c r="W188" s="2" t="inlineStr">
        <is>
          <t>neutral</t>
        </is>
      </c>
      <c r="X188" s="2" t="inlineStr">
        <is>
          <t>medium</t>
        </is>
      </c>
      <c r="Y188" s="2" t="inlineStr">
        <is>
          <t>Workbook figure confirmed to exist (Oct 2025 report for GBR Foundation). The live ministerial release (minister.dcceew.gov.au) did not resolve from this network.</t>
        </is>
      </c>
    </row>
    <row r="189">
      <c r="A189" s="4" t="inlineStr">
        <is>
          <t>D_benefits</t>
        </is>
      </c>
      <c r="B189" s="2" t="inlineStr">
        <is>
          <t>5c. Benefit - Local - Reef</t>
        </is>
      </c>
      <c r="C189" s="2" t="inlineStr">
        <is>
          <t>B31</t>
        </is>
      </c>
      <c r="D189" s="2" t="inlineStr">
        <is>
          <t>GBR asset valuation (2017 baseline)</t>
        </is>
      </c>
      <c r="E189" s="2" t="n">
        <v>95</v>
      </c>
      <c r="F189" s="2" t="inlineStr">
        <is>
          <t>A$ billion</t>
        </is>
      </c>
      <c r="G189" s="2" t="inlineStr">
        <is>
          <t>Deloitte 'At What Cost?' 2025.</t>
        </is>
      </c>
      <c r="H189" s="2" t="inlineStr">
        <is>
          <t>Deloitte17</t>
        </is>
      </c>
      <c r="I189" s="2" t="inlineStr">
        <is>
          <t>Deloitte Access Economics (2017). At what price? The economic, social and icon value of the Great Barrier Reef. Great Barrier Reef Foundation.</t>
        </is>
      </c>
      <c r="J189" s="2" t="inlineStr"/>
      <c r="K189" s="8" t="inlineStr">
        <is>
          <t>https://www.deloitte.com/content/dam/assets-zone1/au/en/docs/services/economics/deloitte-au-economics-great-barrier-reef-230617.pdf</t>
        </is>
      </c>
      <c r="L189" s="2" t="n">
        <v>200</v>
      </c>
      <c r="M189" s="2" t="inlineStr">
        <is>
          <t>Section 3.5 (p.40-41 printed); discounting p.39</t>
        </is>
      </c>
      <c r="N189" s="2" t="inlineStr">
        <is>
          <t>full text</t>
        </is>
      </c>
      <c r="O189" s="2" t="n">
        <v>56</v>
      </c>
      <c r="P189" s="2" t="inlineStr">
        <is>
          <t>point</t>
        </is>
      </c>
      <c r="Q189" s="2" t="n"/>
      <c r="R189" s="2" t="n"/>
      <c r="S189" s="2" t="inlineStr">
        <is>
          <t>range stated</t>
        </is>
      </c>
      <c r="T189" s="2" t="inlineStr">
        <is>
          <t>Single valuation study; components 29 (visitors) + 24 (non-use) + 3 (recreation)</t>
        </is>
      </c>
      <c r="U189" s="2" t="inlineStr">
        <is>
          <t>33-year NPV at a 3.7% social discount rate, Australian perspective only.</t>
        </is>
      </c>
      <c r="V189" s="5" t="inlineStr">
        <is>
          <t>above range</t>
        </is>
      </c>
      <c r="W189" s="2" t="inlineStr">
        <is>
          <t>yes</t>
        </is>
      </c>
      <c r="X189" s="2" t="inlineStr">
        <is>
          <t>high</t>
        </is>
      </c>
      <c r="Y189" s="2" t="inlineStr">
        <is>
          <t>The 2017 figure is what the brief named. 95 vs 56 is a 70% increase; using the 2025 report is legitimate but it is the high anchor. Both are lifetime NPV stocks, not annual flows; 5c treats 20% of the stock as lost per event.</t>
        </is>
      </c>
    </row>
    <row r="190">
      <c r="A190" s="4" t="inlineStr">
        <is>
          <t>D_benefits</t>
        </is>
      </c>
      <c r="B190" s="2" t="inlineStr">
        <is>
          <t>5c. Benefit - Local - Reef</t>
        </is>
      </c>
      <c r="C190" s="2" t="inlineStr">
        <is>
          <t>B32</t>
        </is>
      </c>
      <c r="D190" s="2" t="inlineStr">
        <is>
          <t>Share of reef value at risk in a severe bleaching event</t>
        </is>
      </c>
      <c r="E190" s="2" t="n">
        <v>0.2</v>
      </c>
      <c r="F190" s="2" t="inlineStr">
        <is>
          <t>fraction</t>
        </is>
      </c>
      <c r="G190" s="2" t="inlineStr">
        <is>
          <t>Assumption (~20%).</t>
        </is>
      </c>
      <c r="H190" s="2" t="inlineStr">
        <is>
          <t>AIMS25</t>
        </is>
      </c>
      <c r="I190" s="2" t="inlineStr">
        <is>
          <t>Australian Institute of Marine Science (2025). Annual Summary Report of Coral Reef Condition 2024/2025 (web summary; live aims.gov.au times out from this network, read via Wayback snapshot 2026-01-01).</t>
        </is>
      </c>
      <c r="J190" s="2" t="inlineStr"/>
      <c r="K190" s="8" t="inlineStr">
        <is>
          <t>https://web.archive.org/web/20260101034222/https://www.aims.gov.au/monitoring-great-barrier-reef/gbr-condition-summary-2024-25</t>
        </is>
      </c>
      <c r="L190" s="2" t="n">
        <v>200</v>
      </c>
      <c r="M190" s="2" t="inlineStr">
        <is>
          <t>Executive summary</t>
        </is>
      </c>
      <c r="N190" s="2" t="inlineStr">
        <is>
          <t>full text</t>
        </is>
      </c>
      <c r="O190" s="2" t="n"/>
      <c r="P190" s="2" t="inlineStr">
        <is>
          <t>point</t>
        </is>
      </c>
      <c r="Q190" s="2" t="n">
        <v>0.14</v>
      </c>
      <c r="R190" s="2" t="n">
        <v>0.3</v>
      </c>
      <c r="S190" s="2" t="inlineStr">
        <is>
          <t>range stated</t>
        </is>
      </c>
      <c r="T190" s="2" t="inlineStr">
        <is>
          <t>124 reefs, LTMP manta tows Aug 2024-May 2025</t>
        </is>
      </c>
      <c r="U190" s="2" t="inlineStr">
        <is>
          <t>2024 event: regional hard-coral cover declines 14-30% vs 2024 (northern 39.8% -&gt; 30.0%, -24.8%); individual reefs up to -70.8%.</t>
        </is>
      </c>
      <c r="V190" s="6" t="inlineStr">
        <is>
          <t>no comparable value</t>
        </is>
      </c>
      <c r="W190" s="2" t="inlineStr">
        <is>
          <t>yes</t>
        </is>
      </c>
      <c r="X190" s="2" t="inlineStr">
        <is>
          <t>low</t>
        </is>
      </c>
      <c r="Y190" s="2" t="inlineStr">
        <is>
          <t>Coral-cover loss is not asset-value loss; no study maps one to the other. 20% of a 33-year NPV stock per event, at ~0.6 events/yr (AIMS: 6 events 2016-2025, derived 6/10), would exhaust the asset in ~8 years (derived 1/(0.2x0.6)), so the per-event value at risk is likely overstated.</t>
        </is>
      </c>
    </row>
    <row r="191">
      <c r="A191" s="4" t="inlineStr">
        <is>
          <t>D_benefits</t>
        </is>
      </c>
      <c r="B191" s="2" t="inlineStr">
        <is>
          <t>5c. Benefit - Local - Reef</t>
        </is>
      </c>
      <c r="C191" s="2" t="inlineStr">
        <is>
          <t>B32</t>
        </is>
      </c>
      <c r="D191" s="2" t="inlineStr">
        <is>
          <t>Bleaching event frequency (context for per-event ROI)</t>
        </is>
      </c>
      <c r="E191" s="2" t="n">
        <v>0.2</v>
      </c>
      <c r="F191" s="2" t="inlineStr">
        <is>
          <t>fraction</t>
        </is>
      </c>
      <c r="G191" s="2" t="inlineStr"/>
      <c r="H191" s="2" t="inlineStr">
        <is>
          <t>AIMS25</t>
        </is>
      </c>
      <c r="I191" s="2" t="inlineStr">
        <is>
          <t>Australian Institute of Marine Science (2025). Annual Summary Report of Coral Reef Condition 2024/2025 (web summary; live aims.gov.au times out from this network, read via Wayback snapshot 2026-01-01).</t>
        </is>
      </c>
      <c r="J191" s="2" t="inlineStr"/>
      <c r="K191" s="8" t="inlineStr">
        <is>
          <t>https://web.archive.org/web/20260101034222/https://www.aims.gov.au/monitoring-great-barrier-reef/gbr-condition-summary-2024-25</t>
        </is>
      </c>
      <c r="L191" s="2" t="n">
        <v>200</v>
      </c>
      <c r="M191" s="2" t="inlineStr">
        <is>
          <t>Executive summary: 2024 = 'fifth mass coral bleaching event on the GBR since 2016'; 2025 = 'sixth mass coral bleaching event since 2016'</t>
        </is>
      </c>
      <c r="N191" s="2" t="inlineStr">
        <is>
          <t>full text</t>
        </is>
      </c>
      <c r="O191" s="2" t="n">
        <v>0.6</v>
      </c>
      <c r="P191" s="2" t="inlineStr">
        <is>
          <t>point</t>
        </is>
      </c>
      <c r="Q191" s="2" t="n"/>
      <c r="R191" s="2" t="n"/>
      <c r="S191" s="2" t="inlineStr">
        <is>
          <t>range stated</t>
        </is>
      </c>
      <c r="T191" s="2" t="inlineStr">
        <is>
          <t>GBR event count 2016-2025</t>
        </is>
      </c>
      <c r="U191" s="2" t="inlineStr">
        <is>
          <t>Derived 6 events / 10 summers (2016, 2017, 2020, 2022, 2024, 2025) = 0.6/yr. Earlier GBR events 1998, 2002 (Hughes 2017).</t>
        </is>
      </c>
      <c r="V191" s="6" t="inlineStr">
        <is>
          <t>no comparable value</t>
        </is>
      </c>
      <c r="W191" s="2" t="inlineStr">
        <is>
          <t>n/a</t>
        </is>
      </c>
      <c r="X191" s="2" t="inlineStr">
        <is>
          <t>high</t>
        </is>
      </c>
      <c r="Y191" s="2" t="inlineStr">
        <is>
          <t>Workbook ROI is per event; annualising needs this frequency.</t>
        </is>
      </c>
    </row>
    <row r="192">
      <c r="A192" s="4" t="inlineStr">
        <is>
          <t>D_benefits</t>
        </is>
      </c>
      <c r="B192" s="2" t="inlineStr">
        <is>
          <t>5c. Benefit - Local - Reef</t>
        </is>
      </c>
      <c r="C192" s="2" t="inlineStr">
        <is>
          <t>B32</t>
        </is>
      </c>
      <c r="D192" s="2" t="inlineStr">
        <is>
          <t>Bleaching recurrence (context)</t>
        </is>
      </c>
      <c r="E192" s="2" t="n">
        <v>0.2</v>
      </c>
      <c r="F192" s="2" t="inlineStr">
        <is>
          <t>fraction</t>
        </is>
      </c>
      <c r="G192" s="2" t="inlineStr"/>
      <c r="H192" s="2" t="inlineStr">
        <is>
          <t>Hughes18S</t>
        </is>
      </c>
      <c r="I192" s="2" t="inlineStr">
        <is>
          <t>Hughes, T.P., Anderson, K.D., Connolly, S.R., Heron, S.F. et al. (2018). Spatial and temporal patterns of mass bleaching of corals in the Anthropocene. Science 359:80-83.</t>
        </is>
      </c>
      <c r="J192" s="2" t="inlineStr">
        <is>
          <t>10.1126/science.aan8048</t>
        </is>
      </c>
      <c r="K192" s="8" t="inlineStr">
        <is>
          <t>https://doi.org/10.1126/science.aan8048</t>
        </is>
      </c>
      <c r="L192" s="2" t="n">
        <v>403</v>
      </c>
      <c r="M192" s="2" t="inlineStr">
        <is>
          <t>Abstract</t>
        </is>
      </c>
      <c r="N192" s="2" t="inlineStr">
        <is>
          <t>abstract only</t>
        </is>
      </c>
      <c r="O192" s="2" t="n">
        <v>6</v>
      </c>
      <c r="P192" s="2" t="inlineStr">
        <is>
          <t>median</t>
        </is>
      </c>
      <c r="Q192" s="2" t="n"/>
      <c r="R192" s="2" t="n"/>
      <c r="S192" s="2" t="inlineStr">
        <is>
          <t>range stated</t>
        </is>
      </c>
      <c r="T192" s="2" t="inlineStr">
        <is>
          <t>100 reef locations globally, 1980-2016</t>
        </is>
      </c>
      <c r="U192" s="2" t="inlineStr">
        <is>
          <t>Median return time between severe bleaching events has fallen to 6 years.</t>
        </is>
      </c>
      <c r="V192" s="6" t="inlineStr">
        <is>
          <t>no comparable value</t>
        </is>
      </c>
      <c r="W192" s="2" t="inlineStr">
        <is>
          <t>n/a</t>
        </is>
      </c>
      <c r="X192" s="2" t="inlineStr">
        <is>
          <t>high</t>
        </is>
      </c>
      <c r="Y192" s="2" t="inlineStr">
        <is>
          <t>Global, pre-2017 data; GBR recurrence since 2016 is faster (AIMS).</t>
        </is>
      </c>
    </row>
    <row r="193">
      <c r="A193" s="4" t="inlineStr">
        <is>
          <t>D_benefits</t>
        </is>
      </c>
      <c r="B193" s="2" t="inlineStr">
        <is>
          <t>5c. Benefit - Local - Reef</t>
        </is>
      </c>
      <c r="C193" s="2" t="inlineStr">
        <is>
          <t>B32</t>
        </is>
      </c>
      <c r="D193" s="2" t="inlineStr">
        <is>
          <t>Bleaching history (context)</t>
        </is>
      </c>
      <c r="E193" s="2" t="n">
        <v>0.2</v>
      </c>
      <c r="F193" s="2" t="inlineStr">
        <is>
          <t>fraction</t>
        </is>
      </c>
      <c r="G193" s="2" t="inlineStr"/>
      <c r="H193" s="2" t="inlineStr">
        <is>
          <t>Hughes17</t>
        </is>
      </c>
      <c r="I193" s="2" t="inlineStr">
        <is>
          <t>Hughes, T.P., Kerry, J.T., Alvarez-Noriega, M. et al. (2017). Global warming and recurrent mass bleaching of corals. Nature 543:373-377.</t>
        </is>
      </c>
      <c r="J193" s="2" t="inlineStr">
        <is>
          <t>10.1038/nature21707</t>
        </is>
      </c>
      <c r="K193" s="8" t="inlineStr">
        <is>
          <t>https://doi.org/10.1038/nature21707</t>
        </is>
      </c>
      <c r="L193" s="2" t="n">
        <v>200</v>
      </c>
      <c r="M193" s="2" t="inlineStr">
        <is>
          <t>Abstract (PubMed 28300113)</t>
        </is>
      </c>
      <c r="N193" s="2" t="inlineStr">
        <is>
          <t>abstract only</t>
        </is>
      </c>
      <c r="O193" s="2" t="n"/>
      <c r="P193" s="2" t="inlineStr">
        <is>
          <t>point</t>
        </is>
      </c>
      <c r="Q193" s="2" t="n"/>
      <c r="R193" s="2" t="n"/>
      <c r="S193" s="2" t="inlineStr">
        <is>
          <t>range stated</t>
        </is>
      </c>
      <c r="T193" s="2" t="inlineStr">
        <is>
          <t>Aerial + underwater surveys, GBR</t>
        </is>
      </c>
      <c r="U193" s="2" t="inlineStr">
        <is>
          <t>Recurrent GBR bleaching in 1998, 2002 and 2016; past exposure did not lessen 2016 severity.</t>
        </is>
      </c>
      <c r="V193" s="6" t="inlineStr">
        <is>
          <t>no comparable value</t>
        </is>
      </c>
      <c r="W193" s="2" t="inlineStr">
        <is>
          <t>n/a</t>
        </is>
      </c>
      <c r="X193" s="2" t="inlineStr">
        <is>
          <t>high</t>
        </is>
      </c>
      <c r="Y193" s="2" t="inlineStr">
        <is>
          <t>Metadata confirmed via Crossref and PubMed.</t>
        </is>
      </c>
    </row>
    <row r="194">
      <c r="A194" s="4" t="inlineStr">
        <is>
          <t>D_benefits</t>
        </is>
      </c>
      <c r="B194" s="2" t="inlineStr">
        <is>
          <t>5c. Benefit - Local - Reef</t>
        </is>
      </c>
      <c r="C194" s="2" t="inlineStr">
        <is>
          <t>B35</t>
        </is>
      </c>
      <c r="D194" s="2" t="inlineStr">
        <is>
          <t>Event-average forcing achieved (Harrison)</t>
        </is>
      </c>
      <c r="E194" s="2" t="n">
        <v>22</v>
      </c>
      <c r="F194" s="2" t="inlineStr">
        <is>
          <t>W/m2</t>
        </is>
      </c>
      <c r="G194" s="2" t="inlineStr">
        <is>
          <t>Coupled-model result: ~6.8% reef-wide dimming.</t>
        </is>
      </c>
      <c r="H194" s="2" t="inlineStr">
        <is>
          <t>T14</t>
        </is>
      </c>
      <c r="I194" s="2" t="inlineStr">
        <is>
          <t>Harrison, D.P., Baird, M., Harrison, L., Utembe, S., Schofield, R., Escobar Correa, R., Mongin, M., Rizwi, F. (2019). Environmental Modelling of Large Scale Solar Radiation Management. RRAP T14 Final Report.</t>
        </is>
      </c>
      <c r="J194" s="2" t="inlineStr"/>
      <c r="K194" s="8" t="inlineStr">
        <is>
          <t>https://gbrrestoration.org/wp-content/uploads/2020/09/T14-Environmental-Modelling-of-Large-Scale-SRM_v3.03-3.pdf</t>
        </is>
      </c>
      <c r="L194" s="2" t="n">
        <v>200</v>
      </c>
      <c r="M194" s="2" t="inlineStr">
        <is>
          <t>Printed p.21 (PDF p.28): A0.3 'equivalent to an average forcing to shortwave radiation of ~ -23 W m-2 (in 2015/2016)', 'perhaps aspirational'; PDF p.10: realistic Twomey-only ~ -12 W m-2; p.33 scenario range -2.3 to -35.2</t>
        </is>
      </c>
      <c r="N194" s="2" t="inlineStr">
        <is>
          <t>full text</t>
        </is>
      </c>
      <c r="O194" s="2" t="n">
        <v>23</v>
      </c>
      <c r="P194" s="2" t="inlineStr">
        <is>
          <t>point</t>
        </is>
      </c>
      <c r="Q194" s="2" t="n">
        <v>12</v>
      </c>
      <c r="R194" s="2" t="n">
        <v>35.2</v>
      </c>
      <c r="S194" s="2" t="inlineStr">
        <is>
          <t>range stated</t>
        </is>
      </c>
      <c r="T194" s="2" t="inlineStr">
        <is>
          <t>12 hydrodynamic scenarios</t>
        </is>
      </c>
      <c r="U194" s="2" t="inlineStr">
        <is>
          <t>23 = anchor (aspirational); 12 = authors' estimate if modelled albedo increase applied to all low cloud; scenarios span 2.3-35.2.</t>
        </is>
      </c>
      <c r="V194" s="7" t="inlineStr">
        <is>
          <t>within</t>
        </is>
      </c>
      <c r="W194" s="2" t="inlineStr">
        <is>
          <t>yes</t>
        </is>
      </c>
      <c r="X194" s="2" t="inlineStr">
        <is>
          <t>high</t>
        </is>
      </c>
      <c r="Y194" s="2" t="inlineStr">
        <is>
          <t>22 vs 23 makes dose ratio (B37) ~5% larger, slightly favouring MCB. Bigger issue: the relief was produced by 23 W/m2 in 2015/16; T14's own realistic estimate is ~12.</t>
        </is>
      </c>
    </row>
    <row r="195">
      <c r="A195" s="4" t="inlineStr">
        <is>
          <t>D_benefits</t>
        </is>
      </c>
      <c r="B195" s="2" t="inlineStr">
        <is>
          <t>5c-alt. Benefit - Reef (Zhao)</t>
        </is>
      </c>
      <c r="C195" s="2" t="inlineStr">
        <is>
          <t>B6</t>
        </is>
      </c>
      <c r="D195" s="2" t="inlineStr">
        <is>
          <t>Station count</t>
        </is>
      </c>
      <c r="E195" s="2" t="n">
        <v>75</v>
      </c>
      <c r="F195" s="2" t="inlineStr">
        <is>
          <t>stations</t>
        </is>
      </c>
      <c r="G195" s="2" t="inlineStr">
        <is>
          <t>Zhao et al. 2026 preprint p.6</t>
        </is>
      </c>
      <c r="H195" s="2" t="inlineStr">
        <is>
          <t>Zhao26</t>
        </is>
      </c>
      <c r="I195" s="2" t="inlineStr">
        <is>
          <t>Zhao, W., Huang, Y., Siems, S., Harrison, D. (2026). Sensitivity of Marine Cloud Brightening over the Great Barrier Reef to Spatial Variability in Aerosol Forcing: A Case Study using convection-permitting model. EGUsphere preprint.</t>
        </is>
      </c>
      <c r="J195" s="2" t="inlineStr">
        <is>
          <t>10.5194/egusphere-2026-1251</t>
        </is>
      </c>
      <c r="K195" s="8" t="inlineStr">
        <is>
          <t>https://doi.org/10.5194/egusphere-2026-1251</t>
        </is>
      </c>
      <c r="L195" s="2" t="n">
        <v>200</v>
      </c>
      <c r="M195" s="2" t="inlineStr">
        <is>
          <t>p.6 lines 141-142: 'at each of 75 source points'</t>
        </is>
      </c>
      <c r="N195" s="2" t="inlineStr">
        <is>
          <t>full text</t>
        </is>
      </c>
      <c r="O195" s="2" t="n">
        <v>75</v>
      </c>
      <c r="P195" s="2" t="inlineStr">
        <is>
          <t>point</t>
        </is>
      </c>
      <c r="Q195" s="2" t="n">
        <v>75</v>
      </c>
      <c r="R195" s="2" t="n">
        <v>75</v>
      </c>
      <c r="S195" s="2" t="inlineStr">
        <is>
          <t>range stated</t>
        </is>
      </c>
      <c r="T195" s="2" t="inlineStr">
        <is>
          <t>EXP20 design (1 of 3 configurations: 20, 40, 100 km)</t>
        </is>
      </c>
      <c r="U195" s="2" t="inlineStr">
        <is>
          <t>Model set-up value, not a measurement.</t>
        </is>
      </c>
      <c r="V195" s="7" t="inlineStr">
        <is>
          <t>within</t>
        </is>
      </c>
      <c r="W195" s="2" t="inlineStr">
        <is>
          <t>neutral</t>
        </is>
      </c>
      <c r="X195" s="2" t="inlineStr">
        <is>
          <t>high</t>
        </is>
      </c>
      <c r="Y195" s="2" t="inlineStr">
        <is>
          <t>Verified verbatim. Caveat: results come from one 24-h case (08 UTC 7 Feb to 08 UTC 8 Feb 2022, Cairns region, p.12) and albedo is averaged over cloudy grid points only (Fig. 7/8 captions). Body says '6.2% enhancement in cloud albedo' (relative, p.14) while conclusions say '~6% absolute increase' (p.18), an internal inconsistency; workbook uses 0.48-&gt;0.51 (absolute 0.03), which matches the relative reading.</t>
        </is>
      </c>
    </row>
    <row r="196">
      <c r="A196" s="4" t="inlineStr">
        <is>
          <t>D_benefits</t>
        </is>
      </c>
      <c r="B196" s="2" t="inlineStr">
        <is>
          <t>5c-alt. Benefit - Reef (Zhao)</t>
        </is>
      </c>
      <c r="C196" s="2" t="inlineStr">
        <is>
          <t>B7</t>
        </is>
      </c>
      <c r="D196" s="2" t="inlineStr">
        <is>
          <t>Station spacing</t>
        </is>
      </c>
      <c r="E196" s="2" t="n">
        <v>20</v>
      </c>
      <c r="F196" s="2" t="inlineStr">
        <is>
          <t>km</t>
        </is>
      </c>
      <c r="G196" s="2" t="inlineStr">
        <is>
          <t>Zhao et al. 2026 preprint p.6</t>
        </is>
      </c>
      <c r="H196" s="2" t="inlineStr">
        <is>
          <t>Zhao26</t>
        </is>
      </c>
      <c r="I196" s="2" t="inlineStr">
        <is>
          <t>Zhao, W., Huang, Y., Siems, S., Harrison, D. (2026). Sensitivity of Marine Cloud Brightening over the Great Barrier Reef to Spatial Variability in Aerosol Forcing: A Case Study using convection-permitting model. EGUsphere preprint.</t>
        </is>
      </c>
      <c r="J196" s="2" t="inlineStr">
        <is>
          <t>10.5194/egusphere-2026-1251</t>
        </is>
      </c>
      <c r="K196" s="8" t="inlineStr">
        <is>
          <t>https://doi.org/10.5194/egusphere-2026-1251</t>
        </is>
      </c>
      <c r="L196" s="2" t="n">
        <v>200</v>
      </c>
      <c r="M196" s="2" t="inlineStr">
        <is>
          <t>p.6 line 142: 'fine spatial spacing of 20 km'</t>
        </is>
      </c>
      <c r="N196" s="2" t="inlineStr">
        <is>
          <t>full text</t>
        </is>
      </c>
      <c r="O196" s="2" t="n">
        <v>20</v>
      </c>
      <c r="P196" s="2" t="inlineStr">
        <is>
          <t>point</t>
        </is>
      </c>
      <c r="Q196" s="2" t="n">
        <v>20</v>
      </c>
      <c r="R196" s="2" t="n">
        <v>20</v>
      </c>
      <c r="S196" s="2" t="inlineStr">
        <is>
          <t>range stated</t>
        </is>
      </c>
      <c r="T196" s="2" t="inlineStr">
        <is>
          <t>EXP20 design (1 of 3 configurations: 20, 40, 100 km)</t>
        </is>
      </c>
      <c r="U196" s="2" t="inlineStr">
        <is>
          <t>Model set-up value, not a measurement.</t>
        </is>
      </c>
      <c r="V196" s="7" t="inlineStr">
        <is>
          <t>within</t>
        </is>
      </c>
      <c r="W196" s="2" t="inlineStr">
        <is>
          <t>neutral</t>
        </is>
      </c>
      <c r="X196" s="2" t="inlineStr">
        <is>
          <t>high</t>
        </is>
      </c>
      <c r="Y196" s="2" t="inlineStr">
        <is>
          <t>Verified verbatim. Caveat: results come from one 24-h case (08 UTC 7 Feb to 08 UTC 8 Feb 2022, Cairns region, p.12) and albedo is averaged over cloudy grid points only (Fig. 7/8 captions). Body says '6.2% enhancement in cloud albedo' (relative, p.14) while conclusions say '~6% absolute increase' (p.18), an internal inconsistency; workbook uses 0.48-&gt;0.51 (absolute 0.03), which matches the relative reading.</t>
        </is>
      </c>
    </row>
    <row r="197">
      <c r="A197" s="4" t="inlineStr">
        <is>
          <t>D_benefits</t>
        </is>
      </c>
      <c r="B197" s="2" t="inlineStr">
        <is>
          <t>5c-alt. Benefit - Reef (Zhao)</t>
        </is>
      </c>
      <c r="C197" s="2" t="inlineStr">
        <is>
          <t>B8</t>
        </is>
      </c>
      <c r="D197" s="2" t="inlineStr">
        <is>
          <t>Emission per station</t>
        </is>
      </c>
      <c r="E197" s="2" t="n">
        <v>1e+16</v>
      </c>
      <c r="F197" s="2" t="inlineStr">
        <is>
          <t>particles/s</t>
        </is>
      </c>
      <c r="G197" s="2" t="inlineStr">
        <is>
          <t>Zhao et al. 2026 preprint p.6</t>
        </is>
      </c>
      <c r="H197" s="2" t="inlineStr">
        <is>
          <t>Zhao26</t>
        </is>
      </c>
      <c r="I197" s="2" t="inlineStr">
        <is>
          <t>Zhao, W., Huang, Y., Siems, S., Harrison, D. (2026). Sensitivity of Marine Cloud Brightening over the Great Barrier Reef to Spatial Variability in Aerosol Forcing: A Case Study using convection-permitting model. EGUsphere preprint.</t>
        </is>
      </c>
      <c r="J197" s="2" t="inlineStr">
        <is>
          <t>10.5194/egusphere-2026-1251</t>
        </is>
      </c>
      <c r="K197" s="8" t="inlineStr">
        <is>
          <t>https://doi.org/10.5194/egusphere-2026-1251</t>
        </is>
      </c>
      <c r="L197" s="2" t="n">
        <v>200</v>
      </c>
      <c r="M197" s="2" t="inlineStr">
        <is>
          <t>p.6 line 141: 'additional aerosol flux of the 1x10^16 particles per second'</t>
        </is>
      </c>
      <c r="N197" s="2" t="inlineStr">
        <is>
          <t>full text</t>
        </is>
      </c>
      <c r="O197" s="2" t="n">
        <v>1e+16</v>
      </c>
      <c r="P197" s="2" t="inlineStr">
        <is>
          <t>point</t>
        </is>
      </c>
      <c r="Q197" s="2" t="n">
        <v>1e+16</v>
      </c>
      <c r="R197" s="2" t="n">
        <v>1e+16</v>
      </c>
      <c r="S197" s="2" t="inlineStr">
        <is>
          <t>range stated</t>
        </is>
      </c>
      <c r="T197" s="2" t="inlineStr">
        <is>
          <t>EXP20 design (1 of 3 configurations: 20, 40, 100 km)</t>
        </is>
      </c>
      <c r="U197" s="2" t="inlineStr">
        <is>
          <t>Model set-up value, not a measurement.</t>
        </is>
      </c>
      <c r="V197" s="7" t="inlineStr">
        <is>
          <t>within</t>
        </is>
      </c>
      <c r="W197" s="2" t="inlineStr">
        <is>
          <t>neutral</t>
        </is>
      </c>
      <c r="X197" s="2" t="inlineStr">
        <is>
          <t>high</t>
        </is>
      </c>
      <c r="Y197" s="2" t="inlineStr">
        <is>
          <t>Verified verbatim. Caveat: results come from one 24-h case (08 UTC 7 Feb to 08 UTC 8 Feb 2022, Cairns region, p.12) and albedo is averaged over cloudy grid points only (Fig. 7/8 captions). Body says '6.2% enhancement in cloud albedo' (relative, p.14) while conclusions say '~6% absolute increase' (p.18), an internal inconsistency; workbook uses 0.48-&gt;0.51 (absolute 0.03), which matches the relative reading.</t>
        </is>
      </c>
    </row>
    <row r="198">
      <c r="A198" s="4" t="inlineStr">
        <is>
          <t>D_benefits</t>
        </is>
      </c>
      <c r="B198" s="2" t="inlineStr">
        <is>
          <t>5c-alt. Benefit - Reef (Zhao)</t>
        </is>
      </c>
      <c r="C198" s="2" t="inlineStr">
        <is>
          <t>B14</t>
        </is>
      </c>
      <c r="D198" s="2" t="inlineStr">
        <is>
          <t>Cloud-top shortwave, 24-h average</t>
        </is>
      </c>
      <c r="E198" s="2" t="n">
        <v>340</v>
      </c>
      <c r="F198" s="2" t="inlineStr">
        <is>
          <t>W/m2</t>
        </is>
      </c>
      <c r="G198" s="2" t="inlineStr">
        <is>
          <t>Assumption (24-h mean cloud-top shortwave, GBR summer)</t>
        </is>
      </c>
      <c r="H198" s="2" t="inlineStr">
        <is>
          <t>KoppLean11</t>
        </is>
      </c>
      <c r="I198" s="2" t="inlineStr">
        <is>
          <t>Kopp, G., Lean, J.L. (2011). A new, lower value of total solar irradiance: Evidence and climate significance. GRL 38:L01706.</t>
        </is>
      </c>
      <c r="J198" s="2" t="inlineStr">
        <is>
          <t>10.1029/2010GL045777</t>
        </is>
      </c>
      <c r="K198" s="8" t="inlineStr">
        <is>
          <t>https://doi.org/10.1029/2010GL045777</t>
        </is>
      </c>
      <c r="L198" s="2" t="n">
        <v>403</v>
      </c>
      <c r="M198" s="2" t="inlineStr">
        <is>
          <t>Abstract (TSI 1360.8 +/- 0.5 W/m2); daily-mean insolation computed with standard astronomical formula</t>
        </is>
      </c>
      <c r="N198" s="2" t="inlineStr">
        <is>
          <t>abstract only</t>
        </is>
      </c>
      <c r="O198" s="2" t="n">
        <v>441</v>
      </c>
      <c r="P198" s="2" t="inlineStr">
        <is>
          <t>mean</t>
        </is>
      </c>
      <c r="Q198" s="2" t="n">
        <v>322</v>
      </c>
      <c r="R198" s="2" t="n">
        <v>491</v>
      </c>
      <c r="S198" s="2" t="inlineStr">
        <is>
          <t>min-max across studies</t>
        </is>
      </c>
      <c r="T198" s="2" t="inlineStr">
        <is>
          <t>Derived: daily-mean TOA insolation, 14-22S, every day 1 Dec-30 Apr</t>
        </is>
      </c>
      <c r="U198" s="2" t="inlineStr">
        <is>
          <t>340 = S0/4, the global annual mean TOA insolation (1361/4). Derived GBR Dec-Apr daily mean TOA ~441 W/m2 (322-491 by day/latitude); 7 Feb (Zhao case day) ~462-470.</t>
        </is>
      </c>
      <c r="V198" s="5" t="inlineStr">
        <is>
          <t>below range</t>
        </is>
      </c>
      <c r="W198" s="2" t="inlineStr">
        <is>
          <t>no</t>
        </is>
      </c>
      <c r="X198" s="2" t="inlineStr">
        <is>
          <t>medium</t>
        </is>
      </c>
      <c r="Y198" s="2" t="inlineStr">
        <is>
          <t>Derived, not published. Using 340 understates GBR summer forcing by ~23%, which makes MCB look worse, not better. Cloud-top downwelling is a few percent below TOA (above-cloud absorption), not quantified here.</t>
        </is>
      </c>
    </row>
    <row r="199">
      <c r="A199" s="4" t="inlineStr">
        <is>
          <t>D_benefits</t>
        </is>
      </c>
      <c r="B199" s="2" t="inlineStr">
        <is>
          <t>5c-alt. Benefit - Reef (Zhao)</t>
        </is>
      </c>
      <c r="C199" s="2" t="inlineStr">
        <is>
          <t>B16</t>
        </is>
      </c>
      <c r="D199" s="2" t="inlineStr">
        <is>
          <t>Cloud availability</t>
        </is>
      </c>
      <c r="E199" s="2" t="n">
        <v>0.225</v>
      </c>
      <c r="F199" s="2" t="inlineStr">
        <is>
          <t>fraction</t>
        </is>
      </c>
      <c r="G199" s="2" t="inlineStr">
        <is>
          <t>Harrison et al. 2019 (T14), scenario D0.0676 basis</t>
        </is>
      </c>
      <c r="H199" s="2" t="inlineStr">
        <is>
          <t>T14</t>
        </is>
      </c>
      <c r="I199" s="2" t="inlineStr">
        <is>
          <t>Harrison, D.P., Baird, M., Harrison, L., Utembe, S., Schofield, R., Escobar Correa, R., Mongin, M., Rizwi, F. (2019). Environmental Modelling of Large Scale Solar Radiation Management. RRAP T14 Final Report.</t>
        </is>
      </c>
      <c r="J199" s="2" t="inlineStr"/>
      <c r="K199" s="8" t="inlineStr">
        <is>
          <t>https://gbrrestoration.org/wp-content/uploads/2020/09/T14-Environmental-Modelling-of-Large-Scale-SRM_v3.03-3.pdf</t>
        </is>
      </c>
      <c r="L199" s="2" t="n">
        <v>200</v>
      </c>
      <c r="M199" s="2" t="inlineStr">
        <is>
          <t>Table 2 (printed p.23, PDF p.30): D0.0676 'Equivalent average forcing to #3' (A0.3); printed p.33</t>
        </is>
      </c>
      <c r="N199" s="2" t="inlineStr">
        <is>
          <t>full text</t>
        </is>
      </c>
      <c r="O199" s="2" t="n">
        <v>0.2253</v>
      </c>
      <c r="P199" s="2" t="inlineStr">
        <is>
          <t>point</t>
        </is>
      </c>
      <c r="Q199" s="2" t="n"/>
      <c r="R199" s="2" t="n"/>
      <c r="S199" s="2" t="inlineStr">
        <is>
          <t>range stated</t>
        </is>
      </c>
      <c r="T199" s="2" t="inlineStr">
        <is>
          <t>Derived from scenario design</t>
        </is>
      </c>
      <c r="U199" s="2" t="inlineStr">
        <is>
          <t>Derived: 0.0676/0.3 = 0.2253, the effective low-cloud fraction implied by setting a constant +0.0676 sky albedo equal in forcing to +0.3 cloud albedo in 2015/16 (a dry El Nino year; 2016/17 had significantly more low cloud).</t>
        </is>
      </c>
      <c r="V199" s="7" t="inlineStr">
        <is>
          <t>within</t>
        </is>
      </c>
      <c r="W199" s="2" t="inlineStr">
        <is>
          <t>neutral</t>
        </is>
      </c>
      <c r="X199" s="2" t="inlineStr">
        <is>
          <t>medium</t>
        </is>
      </c>
      <c r="Y199" s="2" t="inlineStr">
        <is>
          <t>Value traces correctly but is not stated as a 'cloud availability' anywhere in T14; it is a 2015/16-specific ratio.</t>
        </is>
      </c>
    </row>
    <row r="200">
      <c r="A200" s="4" t="inlineStr">
        <is>
          <t>D_benefits</t>
        </is>
      </c>
      <c r="B200" s="2" t="inlineStr">
        <is>
          <t>5c-alt. Benefit - Reef (Zhao)</t>
        </is>
      </c>
      <c r="C200" s="2" t="inlineStr">
        <is>
          <t>B16</t>
        </is>
      </c>
      <c r="D200" s="2" t="inlineStr">
        <is>
          <t>Cloud availability (susceptible low cloud)</t>
        </is>
      </c>
      <c r="E200" s="2" t="n">
        <v>0.225</v>
      </c>
      <c r="F200" s="2" t="inlineStr">
        <is>
          <t>fraction</t>
        </is>
      </c>
      <c r="G200" s="2" t="inlineStr"/>
      <c r="H200" s="2" t="inlineStr">
        <is>
          <t>CS01</t>
        </is>
      </c>
      <c r="I200" s="2" t="inlineStr">
        <is>
          <t>Harrison, D. et al. (2025). RRAP GBR Atmospheric Survey (CS-01) Final Report 2025.</t>
        </is>
      </c>
      <c r="J200" s="2" t="inlineStr"/>
      <c r="K200" s="8" t="inlineStr">
        <is>
          <t>https://gbrrestoration.org/wp-content/uploads/2026/06/RRAP-CS-01_FINAL-REPORT-2025.pdf</t>
        </is>
      </c>
      <c r="L200" s="2" t="n">
        <v>200</v>
      </c>
      <c r="M200" s="2" t="inlineStr">
        <is>
          <t>Printed p.11 (PDF p.15)</t>
        </is>
      </c>
      <c r="N200" s="2" t="inlineStr">
        <is>
          <t>full text</t>
        </is>
      </c>
      <c r="O200" s="2" t="n"/>
      <c r="P200" s="2" t="inlineStr">
        <is>
          <t>point</t>
        </is>
      </c>
      <c r="Q200" s="2" t="n">
        <v>0.2</v>
      </c>
      <c r="R200" s="2" t="n">
        <v>0.55</v>
      </c>
      <c r="S200" s="2" t="inlineStr">
        <is>
          <t>range stated</t>
        </is>
      </c>
      <c r="T200" s="2" t="inlineStr">
        <is>
          <t>Satellite low-cloud climatology 2003-2020</t>
        </is>
      </c>
      <c r="U200" s="2" t="inlineStr">
        <is>
          <t>Low clouds potentially susceptible to seeding in summer: 20% in the north rising to 55% in the south; seeding-suitable conditions in ~40% of low clouds.</t>
        </is>
      </c>
      <c r="V200" s="7" t="inlineStr">
        <is>
          <t>within</t>
        </is>
      </c>
      <c r="W200" s="2" t="inlineStr">
        <is>
          <t>no</t>
        </is>
      </c>
      <c r="X200" s="2" t="inlineStr">
        <is>
          <t>medium</t>
        </is>
      </c>
      <c r="Y200" s="2" t="inlineStr">
        <is>
          <t>Workbook 0.225 sits at the low (northern) end, which is conservative for MCB.</t>
        </is>
      </c>
    </row>
    <row r="201">
      <c r="A201" s="4" t="inlineStr">
        <is>
          <t>D_benefits</t>
        </is>
      </c>
      <c r="B201" s="2" t="inlineStr">
        <is>
          <t>5c-alt. Benefit - Reef (Zhao)</t>
        </is>
      </c>
      <c r="C201" s="2" t="inlineStr">
        <is>
          <t>B27</t>
        </is>
      </c>
      <c r="D201" s="2" t="inlineStr">
        <is>
          <t>Spray-time fraction</t>
        </is>
      </c>
      <c r="E201" s="2" t="n">
        <v>0.95</v>
      </c>
      <c r="F201" s="2" t="inlineStr">
        <is>
          <t>fraction</t>
        </is>
      </c>
      <c r="G201" s="2" t="inlineStr">
        <is>
          <t>Assumption (spray uptime within events).</t>
        </is>
      </c>
      <c r="H201" s="2" t="inlineStr"/>
      <c r="I201" s="2" t="inlineStr"/>
      <c r="J201" s="2" t="inlineStr"/>
      <c r="K201" s="2" t="inlineStr"/>
      <c r="L201" s="2" t="n"/>
      <c r="M201" s="2" t="inlineStr"/>
      <c r="N201" s="2" t="inlineStr"/>
      <c r="O201" s="2" t="n"/>
      <c r="P201" s="2" t="inlineStr">
        <is>
          <t>point</t>
        </is>
      </c>
      <c r="Q201" s="2" t="n"/>
      <c r="R201" s="2" t="n"/>
      <c r="S201" s="2" t="inlineStr">
        <is>
          <t>range stated</t>
        </is>
      </c>
      <c r="T201" s="2" t="inlineStr"/>
      <c r="U201" s="2" t="inlineStr"/>
      <c r="V201" s="6" t="inlineStr">
        <is>
          <t>no comparable value</t>
        </is>
      </c>
      <c r="W201" s="2" t="inlineStr">
        <is>
          <t>n/a</t>
        </is>
      </c>
      <c r="X201" s="2" t="inlineStr">
        <is>
          <t>low</t>
        </is>
      </c>
      <c r="Y201" s="2" t="inlineStr">
        <is>
          <t>Unsupported assumption. Tried: OpenAlex search (MCB targeted cooling fraction reaching target; urban daily max vs mean cooling ratio; cool roofs mean vs peak), WebSearch, and the workbook's own cited sources (T14, CS-01). No published value for this specific quantity found.</t>
        </is>
      </c>
    </row>
    <row r="202">
      <c r="A202" s="4" t="inlineStr">
        <is>
          <t>D_benefits</t>
        </is>
      </c>
      <c r="B202" s="2" t="inlineStr">
        <is>
          <t>5d. Benefit - Local - City</t>
        </is>
      </c>
      <c r="C202" s="2" t="inlineStr">
        <is>
          <t>B3</t>
        </is>
      </c>
      <c r="D202" s="2" t="inlineStr">
        <is>
          <t>Local on-target delivery factor</t>
        </is>
      </c>
      <c r="E202" s="2" t="n">
        <v>0.5</v>
      </c>
      <c r="F202" s="2" t="inlineStr">
        <is>
          <t>fraction</t>
        </is>
      </c>
      <c r="G202" s="2" t="inlineStr">
        <is>
          <t>Assumption (same factor as 5c).</t>
        </is>
      </c>
      <c r="H202" s="2" t="inlineStr"/>
      <c r="I202" s="2" t="inlineStr"/>
      <c r="J202" s="2" t="inlineStr"/>
      <c r="K202" s="2" t="inlineStr"/>
      <c r="L202" s="2" t="n"/>
      <c r="M202" s="2" t="inlineStr"/>
      <c r="N202" s="2" t="inlineStr"/>
      <c r="O202" s="2" t="n"/>
      <c r="P202" s="2" t="inlineStr">
        <is>
          <t>point</t>
        </is>
      </c>
      <c r="Q202" s="2" t="n"/>
      <c r="R202" s="2" t="n"/>
      <c r="S202" s="2" t="inlineStr">
        <is>
          <t>range stated</t>
        </is>
      </c>
      <c r="T202" s="2" t="inlineStr"/>
      <c r="U202" s="2" t="inlineStr"/>
      <c r="V202" s="6" t="inlineStr">
        <is>
          <t>no comparable value</t>
        </is>
      </c>
      <c r="W202" s="2" t="inlineStr">
        <is>
          <t>n/a</t>
        </is>
      </c>
      <c r="X202" s="2" t="inlineStr">
        <is>
          <t>low</t>
        </is>
      </c>
      <c r="Y202" s="2" t="inlineStr">
        <is>
          <t>Unsupported; no published targeted city MCB study. Tried: OpenAlex search (MCB targeted cooling fraction reaching target; urban daily max vs mean cooling ratio; cool roofs mean vs peak), WebSearch, and the workbook's own cited sources (T14, CS-01). No published value for this specific quantity found.</t>
        </is>
      </c>
    </row>
    <row r="203">
      <c r="A203" s="4" t="inlineStr">
        <is>
          <t>D_benefits</t>
        </is>
      </c>
      <c r="B203" s="2" t="inlineStr">
        <is>
          <t>5d. Benefit - Local - City</t>
        </is>
      </c>
      <c r="C203" s="2" t="inlineStr">
        <is>
          <t>B7</t>
        </is>
      </c>
      <c r="D203" s="2" t="inlineStr">
        <is>
          <t>City area to cool</t>
        </is>
      </c>
      <c r="E203" s="2" t="n">
        <v>50000</v>
      </c>
      <c r="F203" s="2" t="inlineStr">
        <is>
          <t>ha</t>
        </is>
      </c>
      <c r="G203" s="2" t="inlineStr">
        <is>
          <t>Assumption (large metro core).</t>
        </is>
      </c>
      <c r="H203" s="2" t="inlineStr"/>
      <c r="I203" s="2" t="inlineStr"/>
      <c r="J203" s="2" t="inlineStr"/>
      <c r="K203" s="2" t="inlineStr"/>
      <c r="L203" s="2" t="n"/>
      <c r="M203" s="2" t="inlineStr"/>
      <c r="N203" s="2" t="inlineStr"/>
      <c r="O203" s="2" t="n"/>
      <c r="P203" s="2" t="inlineStr">
        <is>
          <t>point</t>
        </is>
      </c>
      <c r="Q203" s="2" t="n"/>
      <c r="R203" s="2" t="n"/>
      <c r="S203" s="2" t="inlineStr">
        <is>
          <t>range stated</t>
        </is>
      </c>
      <c r="T203" s="2" t="inlineStr"/>
      <c r="U203" s="2" t="inlineStr">
        <is>
          <t>Scenario choice</t>
        </is>
      </c>
      <c r="V203" s="2" t="inlineStr">
        <is>
          <t>definitional</t>
        </is>
      </c>
      <c r="W203" s="2" t="inlineStr">
        <is>
          <t>n/a</t>
        </is>
      </c>
      <c r="X203" s="2" t="inlineStr">
        <is>
          <t>high</t>
        </is>
      </c>
      <c r="Y203" s="2" t="inlineStr">
        <is>
          <t>Scenario design input; no literature value expected.</t>
        </is>
      </c>
    </row>
    <row r="204">
      <c r="A204" s="4" t="inlineStr">
        <is>
          <t>D_benefits</t>
        </is>
      </c>
      <c r="B204" s="2" t="inlineStr">
        <is>
          <t>5d. Benefit - Local - City</t>
        </is>
      </c>
      <c r="C204" s="2" t="inlineStr">
        <is>
          <t>B8</t>
        </is>
      </c>
      <c r="D204" s="2" t="inlineStr">
        <is>
          <t>Peak cooling delivered</t>
        </is>
      </c>
      <c r="E204" s="2" t="n">
        <v>0.8</v>
      </c>
      <c r="F204" s="2" t="inlineStr">
        <is>
          <t>degC</t>
        </is>
      </c>
      <c r="G204" s="2" t="inlineStr">
        <is>
          <t>Assumption.</t>
        </is>
      </c>
      <c r="H204" s="2" t="inlineStr"/>
      <c r="I204" s="2" t="inlineStr"/>
      <c r="J204" s="2" t="inlineStr"/>
      <c r="K204" s="2" t="inlineStr"/>
      <c r="L204" s="2" t="n"/>
      <c r="M204" s="2" t="inlineStr"/>
      <c r="N204" s="2" t="inlineStr"/>
      <c r="O204" s="2" t="n"/>
      <c r="P204" s="2" t="inlineStr">
        <is>
          <t>point</t>
        </is>
      </c>
      <c r="Q204" s="2" t="n"/>
      <c r="R204" s="2" t="n"/>
      <c r="S204" s="2" t="inlineStr">
        <is>
          <t>range stated</t>
        </is>
      </c>
      <c r="T204" s="2" t="inlineStr"/>
      <c r="U204" s="2" t="inlineStr"/>
      <c r="V204" s="6" t="inlineStr">
        <is>
          <t>no comparable value</t>
        </is>
      </c>
      <c r="W204" s="2" t="inlineStr">
        <is>
          <t>n/a</t>
        </is>
      </c>
      <c r="X204" s="2" t="inlineStr">
        <is>
          <t>low</t>
        </is>
      </c>
      <c r="Y204" s="2" t="inlineStr">
        <is>
          <t>No published estimate of city air-temperature cooling from MCB found. Tried: OpenAlex search (MCB targeted cooling fraction reaching target; urban daily max vs mean cooling ratio; cool roofs mean vs peak), WebSearch, and the workbook's own cited sources (T14, CS-01). No published value for this specific quantity found.</t>
        </is>
      </c>
    </row>
    <row r="205">
      <c r="A205" s="4" t="inlineStr">
        <is>
          <t>D_benefits</t>
        </is>
      </c>
      <c r="B205" s="2" t="inlineStr">
        <is>
          <t>5d. Benefit - Local - City</t>
        </is>
      </c>
      <c r="C205" s="2" t="inlineStr">
        <is>
          <t>B9</t>
        </is>
      </c>
      <c r="D205" s="2" t="inlineStr">
        <is>
          <t>Extreme-heat days per year</t>
        </is>
      </c>
      <c r="E205" s="2" t="n">
        <v>14</v>
      </c>
      <c r="F205" s="2" t="inlineStr">
        <is>
          <t>days</t>
        </is>
      </c>
      <c r="G205" s="2" t="inlineStr">
        <is>
          <t>~13.7 heatwave days/yr global 2010s (blank citation in G9).</t>
        </is>
      </c>
      <c r="H205" s="2" t="inlineStr">
        <is>
          <t>Kephart22</t>
        </is>
      </c>
      <c r="I205" s="2" t="inlineStr">
        <is>
          <t>Kephart, J.L., Sanchez, B.N., Moore, J., Schinasi, L.H. et al. (2022). City-level impact of extreme temperatures and mortality in Latin America. Nature Medicine 28:1700-1705.</t>
        </is>
      </c>
      <c r="J205" s="2" t="inlineStr">
        <is>
          <t>10.1038/s41591-022-01872-6</t>
        </is>
      </c>
      <c r="K205" s="8" t="inlineStr">
        <is>
          <t>https://doi.org/10.1038/s41591-022-01872-6</t>
        </is>
      </c>
      <c r="L205" s="2" t="n">
        <v>200</v>
      </c>
      <c r="M205" s="2" t="inlineStr">
        <is>
          <t>Discussion: extreme heat = &gt;= city P95, 'representing the hottest and coldest 18 d within a typical year'</t>
        </is>
      </c>
      <c r="N205" s="2" t="inlineStr">
        <is>
          <t>full text</t>
        </is>
      </c>
      <c r="O205" s="2" t="n">
        <v>18</v>
      </c>
      <c r="P205" s="2" t="inlineStr">
        <is>
          <t>point</t>
        </is>
      </c>
      <c r="Q205" s="2" t="n"/>
      <c r="R205" s="2" t="n"/>
      <c r="S205" s="2" t="inlineStr">
        <is>
          <t>range stated</t>
        </is>
      </c>
      <c r="T205" s="2" t="inlineStr">
        <is>
          <t>Definition consistent with the RR used in B24</t>
        </is>
      </c>
      <c r="U205" s="2" t="inlineStr">
        <is>
          <t>Derived 0.05 x 365 = 18.25 days. The 13.7/yr figure could not be traced.</t>
        </is>
      </c>
      <c r="V205" s="5" t="inlineStr">
        <is>
          <t>below range</t>
        </is>
      </c>
      <c r="W205" s="2" t="inlineStr">
        <is>
          <t>yes</t>
        </is>
      </c>
      <c r="X205" s="2" t="inlineStr">
        <is>
          <t>medium</t>
        </is>
      </c>
      <c r="Y205" s="2" t="inlineStr">
        <is>
          <t>Tried: exact-phrase web search '13.7 heatwave days', OpenAlex (Lancet Countdown heatwave days), and Perkins-Kirkpatrick &amp; Lewis 2020 full text; no source gives 13.7. Because B23 deaths are fixed per season, fewer days lowers cost with the same benefit, so 14 vs 18 favours MCB slightly.</t>
        </is>
      </c>
    </row>
    <row r="206">
      <c r="A206" s="4" t="inlineStr">
        <is>
          <t>D_benefits</t>
        </is>
      </c>
      <c r="B206" s="2" t="inlineStr">
        <is>
          <t>5d. Benefit - Local - City</t>
        </is>
      </c>
      <c r="C206" s="2" t="inlineStr">
        <is>
          <t>B9</t>
        </is>
      </c>
      <c r="D206" s="2" t="inlineStr">
        <is>
          <t>Heatwave days trend (context)</t>
        </is>
      </c>
      <c r="E206" s="2" t="n">
        <v>14</v>
      </c>
      <c r="F206" s="2" t="inlineStr">
        <is>
          <t>days</t>
        </is>
      </c>
      <c r="G206" s="2" t="inlineStr"/>
      <c r="H206" s="2" t="inlineStr">
        <is>
          <t>PK20</t>
        </is>
      </c>
      <c r="I206" s="2" t="inlineStr">
        <is>
          <t>Perkins-Kirkpatrick, S.E., Lewis, S.C. (2020). Increasing trends in regional heatwaves. Nature Communications 11:3357.</t>
        </is>
      </c>
      <c r="J206" s="2" t="inlineStr">
        <is>
          <t>10.1038/s41467-020-16970-7</t>
        </is>
      </c>
      <c r="K206" s="8" t="inlineStr">
        <is>
          <t>https://doi.org/10.1038/s41467-020-16970-7</t>
        </is>
      </c>
      <c r="L206" s="2" t="n">
        <v>200</v>
      </c>
      <c r="M206" s="2" t="inlineStr">
        <is>
          <t>Results p.2</t>
        </is>
      </c>
      <c r="N206" s="2" t="inlineStr">
        <is>
          <t>full text</t>
        </is>
      </c>
      <c r="O206" s="2" t="n"/>
      <c r="P206" s="2" t="inlineStr">
        <is>
          <t>point</t>
        </is>
      </c>
      <c r="Q206" s="2" t="n">
        <v>1</v>
      </c>
      <c r="R206" s="2" t="n">
        <v>5</v>
      </c>
      <c r="S206" s="2" t="inlineStr">
        <is>
          <t>range stated</t>
        </is>
      </c>
      <c r="T206" s="2" t="inlineStr">
        <is>
          <t>Berkeley Earth, regional, 1950-2017</t>
        </is>
      </c>
      <c r="U206" s="2" t="inlineStr">
        <is>
          <t>At least 1 extra heatwave day per decade over most regions, up to 3-5 days/decade at low latitudes (heatwave = &gt;=3 days above calendar-day Tx90).</t>
        </is>
      </c>
      <c r="V206" s="6" t="inlineStr">
        <is>
          <t>no comparable value</t>
        </is>
      </c>
      <c r="W206" s="2" t="inlineStr">
        <is>
          <t>n/a</t>
        </is>
      </c>
      <c r="X206" s="2" t="inlineStr">
        <is>
          <t>medium</t>
        </is>
      </c>
      <c r="Y206" s="2" t="inlineStr">
        <is>
          <t>Gives trends, not a global mean count.</t>
        </is>
      </c>
    </row>
    <row r="207">
      <c r="A207" s="4" t="inlineStr">
        <is>
          <t>D_benefits</t>
        </is>
      </c>
      <c r="B207" s="2" t="inlineStr">
        <is>
          <t>5d. Benefit - Local - City</t>
        </is>
      </c>
      <c r="C207" s="2" t="inlineStr">
        <is>
          <t>B22</t>
        </is>
      </c>
      <c r="D207" s="2" t="inlineStr">
        <is>
          <t>City population</t>
        </is>
      </c>
      <c r="E207" s="2" t="n">
        <v>2000000</v>
      </c>
      <c r="F207" s="2" t="inlineStr">
        <is>
          <t>people</t>
        </is>
      </c>
      <c r="G207" s="2" t="inlineStr">
        <is>
          <t>Assumption (mid-large city).</t>
        </is>
      </c>
      <c r="H207" s="2" t="inlineStr"/>
      <c r="I207" s="2" t="inlineStr"/>
      <c r="J207" s="2" t="inlineStr"/>
      <c r="K207" s="2" t="inlineStr"/>
      <c r="L207" s="2" t="n"/>
      <c r="M207" s="2" t="inlineStr"/>
      <c r="N207" s="2" t="inlineStr"/>
      <c r="O207" s="2" t="n"/>
      <c r="P207" s="2" t="inlineStr">
        <is>
          <t>point</t>
        </is>
      </c>
      <c r="Q207" s="2" t="n"/>
      <c r="R207" s="2" t="n"/>
      <c r="S207" s="2" t="inlineStr">
        <is>
          <t>range stated</t>
        </is>
      </c>
      <c r="T207" s="2" t="inlineStr"/>
      <c r="U207" s="2" t="inlineStr">
        <is>
          <t>Scenario choice</t>
        </is>
      </c>
      <c r="V207" s="2" t="inlineStr">
        <is>
          <t>definitional</t>
        </is>
      </c>
      <c r="W207" s="2" t="inlineStr">
        <is>
          <t>n/a</t>
        </is>
      </c>
      <c r="X207" s="2" t="inlineStr">
        <is>
          <t>high</t>
        </is>
      </c>
      <c r="Y207" s="2" t="inlineStr"/>
    </row>
    <row r="208">
      <c r="A208" s="4" t="inlineStr">
        <is>
          <t>D_benefits</t>
        </is>
      </c>
      <c r="B208" s="2" t="inlineStr">
        <is>
          <t>5d. Benefit - Local - City</t>
        </is>
      </c>
      <c r="C208" s="2" t="inlineStr">
        <is>
          <t>B23</t>
        </is>
      </c>
      <c r="D208" s="2" t="inlineStr">
        <is>
          <t>Baseline heat deaths / extreme season</t>
        </is>
      </c>
      <c r="E208" s="2" t="n">
        <v>200</v>
      </c>
      <c r="F208" s="2" t="inlineStr">
        <is>
          <t>deaths</t>
        </is>
      </c>
      <c r="G208" s="2" t="inlineStr">
        <is>
          <t>Assumption.</t>
        </is>
      </c>
      <c r="H208" s="2" t="inlineStr">
        <is>
          <t>ZhaoQ21</t>
        </is>
      </c>
      <c r="I208" s="2" t="inlineStr">
        <is>
          <t>Zhao, Q., Guo, Y., Ye, T., Gasparrini, A. et al. (2021). Global, regional, and national burden of mortality associated with non-optimal ambient temperatures from 2000 to 2019: a three-stage modelling study. Lancet Planetary Health 5:e415-e425.</t>
        </is>
      </c>
      <c r="J208" s="2" t="inlineStr">
        <is>
          <t>10.1016/S2542-5196(21)00081-4</t>
        </is>
      </c>
      <c r="K208" s="8" t="inlineStr">
        <is>
          <t>https://doi.org/10.1016/S2542-5196(21)00081-4</t>
        </is>
      </c>
      <c r="L208" s="2" t="n">
        <v>200</v>
      </c>
      <c r="M208" s="2" t="inlineStr">
        <is>
          <t>Abstract: heat-related excess death ratio 0.91% (95% eCI 0.56-1.36)</t>
        </is>
      </c>
      <c r="N208" s="2" t="inlineStr">
        <is>
          <t>abstract only</t>
        </is>
      </c>
      <c r="O208" s="2" t="n">
        <v>137.4</v>
      </c>
      <c r="P208" s="2" t="inlineStr">
        <is>
          <t>point</t>
        </is>
      </c>
      <c r="Q208" s="2" t="n">
        <v>84.59999999999999</v>
      </c>
      <c r="R208" s="2" t="n">
        <v>205.4</v>
      </c>
      <c r="S208" s="2" t="inlineStr">
        <is>
          <t>5-95%</t>
        </is>
      </c>
      <c r="T208" s="2" t="inlineStr">
        <is>
          <t>750 locations, 43 countries, 2000-2019</t>
        </is>
      </c>
      <c r="U208" s="2" t="inlineStr">
        <is>
          <t>Derived: 2,000,000 x crude death rate 7.55065/1000 (World Bank 2024) = 15101 deaths/yr x 0.91% = 137 (85-205).</t>
        </is>
      </c>
      <c r="V208" s="5" t="inlineStr">
        <is>
          <t>above range</t>
        </is>
      </c>
      <c r="W208" s="2" t="inlineStr">
        <is>
          <t>yes</t>
        </is>
      </c>
      <c r="X208" s="2" t="inlineStr">
        <is>
          <t>medium</t>
        </is>
      </c>
      <c r="Y208" s="2" t="inlineStr">
        <is>
          <t>200 is at the top of the global heat-burden range for a 2M city. Structural note: the RR in B24 should multiply ALL deaths on the extreme days (derived 15,101 x 14/365 = 579), not excess deaths, so the formula is internally inconsistent but the error runs conservative.</t>
        </is>
      </c>
    </row>
    <row r="209">
      <c r="A209" s="4" t="inlineStr">
        <is>
          <t>D_benefits</t>
        </is>
      </c>
      <c r="B209" s="2" t="inlineStr">
        <is>
          <t>5d. Benefit - Local - City</t>
        </is>
      </c>
      <c r="C209" s="2" t="inlineStr">
        <is>
          <t>B23</t>
        </is>
      </c>
      <c r="D209" s="2" t="inlineStr">
        <is>
          <t>Baseline heat deaths (Latin America, 326 cities)</t>
        </is>
      </c>
      <c r="E209" s="2" t="n">
        <v>200</v>
      </c>
      <c r="F209" s="2" t="inlineStr">
        <is>
          <t>deaths</t>
        </is>
      </c>
      <c r="G209" s="2" t="inlineStr">
        <is>
          <t>Assumption.</t>
        </is>
      </c>
      <c r="H209" s="2" t="inlineStr">
        <is>
          <t>Kephart22</t>
        </is>
      </c>
      <c r="I209" s="2" t="inlineStr">
        <is>
          <t>Kephart, J.L., Sanchez, B.N., Moore, J., Schinasi, L.H. et al. (2022). City-level impact of extreme temperatures and mortality in Latin America. Nature Medicine 28:1700-1705.</t>
        </is>
      </c>
      <c r="J209" s="2" t="inlineStr">
        <is>
          <t>10.1038/s41591-022-01872-6</t>
        </is>
      </c>
      <c r="K209" s="8" t="inlineStr">
        <is>
          <t>https://doi.org/10.1038/s41591-022-01872-6</t>
        </is>
      </c>
      <c r="L209" s="2" t="n">
        <v>200</v>
      </c>
      <c r="M209" s="2" t="inlineStr">
        <is>
          <t>Abstract and Table 2: heat EDF 0.67% (0.58-0.74); extreme heat (&gt;=P95) EDF 0.42% (0.38-0.45)</t>
        </is>
      </c>
      <c r="N209" s="2" t="inlineStr">
        <is>
          <t>full text</t>
        </is>
      </c>
      <c r="O209" s="2" t="n">
        <v>101.2</v>
      </c>
      <c r="P209" s="2" t="inlineStr">
        <is>
          <t>point</t>
        </is>
      </c>
      <c r="Q209" s="2" t="n">
        <v>63.4</v>
      </c>
      <c r="R209" s="2" t="n">
        <v>111.7</v>
      </c>
      <c r="S209" s="2" t="inlineStr">
        <is>
          <t>range stated</t>
        </is>
      </c>
      <c r="T209" s="2" t="inlineStr">
        <is>
          <t>326 cities, 15.4M deaths, 2002-2015</t>
        </is>
      </c>
      <c r="U209" s="2" t="inlineStr">
        <is>
          <t>Derived: 15101 x 0.67% = 101; extreme-heat-only 63; CI-bounds 0.38%-0.74% -&gt; 57-112.</t>
        </is>
      </c>
      <c r="V209" s="5" t="inlineStr">
        <is>
          <t>above range</t>
        </is>
      </c>
      <c r="W209" s="2" t="inlineStr">
        <is>
          <t>yes</t>
        </is>
      </c>
      <c r="X209" s="2" t="inlineStr">
        <is>
          <t>high</t>
        </is>
      </c>
      <c r="Y209" s="2" t="inlineStr">
        <is>
          <t>Uses same study as B24, so internally consistent basis.</t>
        </is>
      </c>
    </row>
    <row r="210">
      <c r="A210" s="4" t="inlineStr">
        <is>
          <t>D_benefits</t>
        </is>
      </c>
      <c r="B210" s="2" t="inlineStr">
        <is>
          <t>5d. Benefit - Local - City</t>
        </is>
      </c>
      <c r="C210" s="2" t="inlineStr">
        <is>
          <t>B23</t>
        </is>
      </c>
      <c r="D210" s="2" t="inlineStr">
        <is>
          <t>Baseline heat deaths (multicountry)</t>
        </is>
      </c>
      <c r="E210" s="2" t="n">
        <v>200</v>
      </c>
      <c r="F210" s="2" t="inlineStr">
        <is>
          <t>deaths</t>
        </is>
      </c>
      <c r="G210" s="2" t="inlineStr">
        <is>
          <t>Assumption.</t>
        </is>
      </c>
      <c r="H210" s="2" t="inlineStr">
        <is>
          <t>Gasparrini15</t>
        </is>
      </c>
      <c r="I210" s="2" t="inlineStr">
        <is>
          <t>Gasparrini, A., Guo, Y., Hashizume, M. et al. (2015). Mortality risk attributable to high and low ambient temperature: a multicountry observational study. Lancet 386:369-375.</t>
        </is>
      </c>
      <c r="J210" s="2" t="inlineStr">
        <is>
          <t>10.1016/S0140-6736(14)62114-0</t>
        </is>
      </c>
      <c r="K210" s="8" t="inlineStr">
        <is>
          <t>https://doi.org/10.1016/S0140-6736(14)62114-0</t>
        </is>
      </c>
      <c r="L210" s="2" t="n">
        <v>200</v>
      </c>
      <c r="M210" s="2" t="inlineStr">
        <is>
          <t>Abstract: heat-attributable 0.42% (0.39-0.44); extreme hot+cold 0.86%</t>
        </is>
      </c>
      <c r="N210" s="2" t="inlineStr">
        <is>
          <t>abstract only</t>
        </is>
      </c>
      <c r="O210" s="2" t="n">
        <v>63.4</v>
      </c>
      <c r="P210" s="2" t="inlineStr">
        <is>
          <t>point</t>
        </is>
      </c>
      <c r="Q210" s="2" t="n">
        <v>58.9</v>
      </c>
      <c r="R210" s="2" t="n">
        <v>66.40000000000001</v>
      </c>
      <c r="S210" s="2" t="inlineStr">
        <is>
          <t>95% eCI</t>
        </is>
      </c>
      <c r="T210" s="2" t="inlineStr">
        <is>
          <t>384 locations, 13 countries, 74.2M deaths</t>
        </is>
      </c>
      <c r="U210" s="2" t="inlineStr">
        <is>
          <t>Derived from heat AF x derived city deaths.</t>
        </is>
      </c>
      <c r="V210" s="5" t="inlineStr">
        <is>
          <t>above range</t>
        </is>
      </c>
      <c r="W210" s="2" t="inlineStr">
        <is>
          <t>yes</t>
        </is>
      </c>
      <c r="X210" s="2" t="inlineStr">
        <is>
          <t>high</t>
        </is>
      </c>
      <c r="Y210" s="2" t="inlineStr"/>
    </row>
    <row r="211">
      <c r="A211" s="4" t="inlineStr">
        <is>
          <t>D_benefits</t>
        </is>
      </c>
      <c r="B211" s="2" t="inlineStr">
        <is>
          <t>5d. Benefit - Local - City</t>
        </is>
      </c>
      <c r="C211" s="2" t="inlineStr">
        <is>
          <t>B23</t>
        </is>
      </c>
      <c r="D211" s="2" t="inlineStr">
        <is>
          <t>Crude death rate input</t>
        </is>
      </c>
      <c r="E211" s="2" t="n">
        <v>200</v>
      </c>
      <c r="F211" s="2" t="inlineStr">
        <is>
          <t>deaths</t>
        </is>
      </c>
      <c r="G211" s="2" t="inlineStr"/>
      <c r="H211" s="2" t="inlineStr">
        <is>
          <t>WB_CDR</t>
        </is>
      </c>
      <c r="I211" s="2" t="inlineStr">
        <is>
          <t>World Bank, World Development Indicators: Death rate, crude (per 1,000 people), SP.DYN.CDRT.IN, World, 2024.</t>
        </is>
      </c>
      <c r="J211" s="2" t="inlineStr"/>
      <c r="K211" s="8" t="inlineStr">
        <is>
          <t>https://api.worldbank.org/v2/country/WLD/indicator/SP.DYN.CDRT.IN?format=json&amp;date=2019:2024</t>
        </is>
      </c>
      <c r="L211" s="2" t="n">
        <v>200</v>
      </c>
      <c r="M211" s="2" t="inlineStr">
        <is>
          <t>SP.DYN.CDRT.IN World 2024</t>
        </is>
      </c>
      <c r="N211" s="2" t="inlineStr">
        <is>
          <t>full text</t>
        </is>
      </c>
      <c r="O211" s="2" t="n">
        <v>7.55065</v>
      </c>
      <c r="P211" s="2" t="inlineStr">
        <is>
          <t>point</t>
        </is>
      </c>
      <c r="Q211" s="2" t="n">
        <v>7.47</v>
      </c>
      <c r="R211" s="2" t="n">
        <v>8.710000000000001</v>
      </c>
      <c r="S211" s="2" t="inlineStr">
        <is>
          <t>min-max across studies</t>
        </is>
      </c>
      <c r="T211" s="2" t="inlineStr">
        <is>
          <t>World aggregate 2019-2024</t>
        </is>
      </c>
      <c r="U211" s="2" t="inlineStr">
        <is>
          <t>2019 7.47, 2021 8.71 (COVID), 2024 7.55 per 1,000</t>
        </is>
      </c>
      <c r="V211" s="6" t="inlineStr">
        <is>
          <t>no comparable value</t>
        </is>
      </c>
      <c r="W211" s="2" t="inlineStr">
        <is>
          <t>n/a</t>
        </is>
      </c>
      <c r="X211" s="2" t="inlineStr">
        <is>
          <t>high</t>
        </is>
      </c>
      <c r="Y211" s="2" t="inlineStr">
        <is>
          <t>Input to the derived rows above; city age structure can move this +/-50%.</t>
        </is>
      </c>
    </row>
    <row r="212">
      <c r="A212" s="4" t="inlineStr">
        <is>
          <t>D_benefits</t>
        </is>
      </c>
      <c r="B212" s="2" t="inlineStr">
        <is>
          <t>5d. Benefit - Local - City</t>
        </is>
      </c>
      <c r="C212" s="2" t="inlineStr">
        <is>
          <t>B24</t>
        </is>
      </c>
      <c r="D212" s="2" t="inlineStr">
        <is>
          <t>Mortality rise per degC above threshold</t>
        </is>
      </c>
      <c r="E212" s="2" t="n">
        <v>0.057</v>
      </c>
      <c r="F212" s="2" t="inlineStr">
        <is>
          <t>per degC</t>
        </is>
      </c>
      <c r="G212" s="2" t="inlineStr">
        <is>
          <t>RR 1.057 per 1C (326-city study).</t>
        </is>
      </c>
      <c r="H212" s="2" t="inlineStr">
        <is>
          <t>Kephart22</t>
        </is>
      </c>
      <c r="I212" s="2" t="inlineStr">
        <is>
          <t>Kephart, J.L., Sanchez, B.N., Moore, J., Schinasi, L.H. et al. (2022). City-level impact of extreme temperatures and mortality in Latin America. Nature Medicine 28:1700-1705.</t>
        </is>
      </c>
      <c r="J212" s="2" t="inlineStr">
        <is>
          <t>10.1038/s41591-022-01872-6</t>
        </is>
      </c>
      <c r="K212" s="8" t="inlineStr">
        <is>
          <t>https://doi.org/10.1038/s41591-022-01872-6</t>
        </is>
      </c>
      <c r="L212" s="2" t="n">
        <v>200</v>
      </c>
      <c r="M212" s="2" t="inlineStr">
        <is>
          <t>Abstract; Results: 'overall RR ... per 1 C increase in daily mean temperature for temperatures above the city-specific 95th percentile was 1.057 (95% CI 1.046-1.067)'; Fig. 3 city map</t>
        </is>
      </c>
      <c r="N212" s="2" t="inlineStr">
        <is>
          <t>full text</t>
        </is>
      </c>
      <c r="O212" s="2" t="n">
        <v>0.057</v>
      </c>
      <c r="P212" s="2" t="inlineStr">
        <is>
          <t>point</t>
        </is>
      </c>
      <c r="Q212" s="2" t="n">
        <v>0.046</v>
      </c>
      <c r="R212" s="2" t="n">
        <v>0.067</v>
      </c>
      <c r="S212" s="2" t="inlineStr">
        <is>
          <t>95% CI</t>
        </is>
      </c>
      <c r="T212" s="2" t="inlineStr">
        <is>
          <t>326 Latin American cities, 2002-2015, 15,431,532 deaths</t>
        </is>
      </c>
      <c r="U212" s="2" t="inlineStr">
        <is>
          <t>Pooled estimate. City-specific RRs range from &lt;=1.000 (high-Andes, NE Brazil) to &gt;=1.050 (S Brazil, Argentina, Mexico) per Fig. 3; strongest in older adults and CVD/respiratory deaths.</t>
        </is>
      </c>
      <c r="V212" s="7" t="inlineStr">
        <is>
          <t>within</t>
        </is>
      </c>
      <c r="W212" s="2" t="inlineStr">
        <is>
          <t>neutral</t>
        </is>
      </c>
      <c r="X212" s="2" t="inlineStr">
        <is>
          <t>high</t>
        </is>
      </c>
      <c r="Y212" s="2" t="inlineStr">
        <is>
          <t>The '326-city study' is Kephart et al. 2022 Nat Med, not Gasparrini 2015 (384 locations) or Zhao 2021 (750 locations). Exposure is daily MEAN temperature above P95, which the workbook correctly handles via B30.</t>
        </is>
      </c>
    </row>
    <row r="213">
      <c r="A213" s="4" t="inlineStr">
        <is>
          <t>D_benefits</t>
        </is>
      </c>
      <c r="B213" s="2" t="inlineStr">
        <is>
          <t>5d. Benefit - Local - City</t>
        </is>
      </c>
      <c r="C213" s="2" t="inlineStr">
        <is>
          <t>B27</t>
        </is>
      </c>
      <c r="D213" s="2" t="inlineStr">
        <is>
          <t>Value of a statistical life</t>
        </is>
      </c>
      <c r="E213" s="2" t="n">
        <v>10000000</v>
      </c>
      <c r="F213" s="2" t="inlineStr">
        <is>
          <t>$/life</t>
        </is>
      </c>
      <c r="G213" s="2" t="inlineStr">
        <is>
          <t>Assumption (US federal range).</t>
        </is>
      </c>
      <c r="H213" s="2" t="inlineStr">
        <is>
          <t>EPA_VSL</t>
        </is>
      </c>
      <c r="I213" s="2" t="inlineStr">
        <is>
          <t>US EPA, Mortality Risk Valuation (web guidance page).</t>
        </is>
      </c>
      <c r="J213" s="2" t="inlineStr"/>
      <c r="K213" s="8" t="inlineStr">
        <is>
          <t>https://www.epa.gov/environmental-economics/mortality-risk-valuation</t>
        </is>
      </c>
      <c r="L213" s="2" t="n">
        <v>200</v>
      </c>
      <c r="M213" s="2" t="inlineStr">
        <is>
          <t>Web page: 'central estimate of $7.4 million ($2006), updated to the year of the analysis'</t>
        </is>
      </c>
      <c r="N213" s="2" t="inlineStr">
        <is>
          <t>full text</t>
        </is>
      </c>
      <c r="O213" s="2" t="n">
        <v>7400000</v>
      </c>
      <c r="P213" s="2" t="inlineStr">
        <is>
          <t>point</t>
        </is>
      </c>
      <c r="Q213" s="2" t="n"/>
      <c r="R213" s="2" t="n"/>
      <c r="S213" s="2" t="inlineStr">
        <is>
          <t>range stated</t>
        </is>
      </c>
      <c r="T213" s="2" t="inlineStr">
        <is>
          <t>Based on 26 studies (21 wage-risk, 5 stated preference)</t>
        </is>
      </c>
      <c r="U213" s="2" t="inlineStr">
        <is>
          <t>2006 dollars; to be inflated/income-adjusted to analysis year (not done here).</t>
        </is>
      </c>
      <c r="V213" s="7" t="inlineStr">
        <is>
          <t>within</t>
        </is>
      </c>
      <c r="W213" s="2" t="inlineStr">
        <is>
          <t>neutral</t>
        </is>
      </c>
      <c r="X213" s="2" t="inlineStr">
        <is>
          <t>high</t>
        </is>
      </c>
      <c r="Y213" s="2" t="inlineStr"/>
    </row>
    <row r="214">
      <c r="A214" s="4" t="inlineStr">
        <is>
          <t>D_benefits</t>
        </is>
      </c>
      <c r="B214" s="2" t="inlineStr">
        <is>
          <t>5d. Benefit - Local - City</t>
        </is>
      </c>
      <c r="C214" s="2" t="inlineStr">
        <is>
          <t>B27</t>
        </is>
      </c>
      <c r="D214" s="2" t="inlineStr">
        <is>
          <t>Value of a statistical life (DOT)</t>
        </is>
      </c>
      <c r="E214" s="2" t="n">
        <v>10000000</v>
      </c>
      <c r="F214" s="2" t="inlineStr">
        <is>
          <t>$/life</t>
        </is>
      </c>
      <c r="G214" s="2" t="inlineStr"/>
      <c r="H214" s="2" t="inlineStr">
        <is>
          <t>DOT_VSL</t>
        </is>
      </c>
      <c r="I214" s="2" t="inlineStr">
        <is>
          <t>US DOT, Departmental Guidance on Valuation of a Statistical Life in Economic Analysis (2024 update, $13.2M 2023$); value read via DHS/USCG May 2024 VSL memo as quoted in search results.</t>
        </is>
      </c>
      <c r="J214" s="2" t="inlineStr"/>
      <c r="K214" s="8" t="inlineStr">
        <is>
          <t>https://www.transportation.gov/office-policy/transportation-policy/revised-departmental-guidance-on-valuation-of-a-statistical-life-in-economic-analysis</t>
        </is>
      </c>
      <c r="L214" s="2" t="n">
        <v>403</v>
      </c>
      <c r="M214" s="2" t="inlineStr">
        <is>
          <t>2024 VSL update, $13.2M (2023$) per DHS/USCG memo (May 2024)</t>
        </is>
      </c>
      <c r="N214" s="2" t="inlineStr">
        <is>
          <t>paywalled, from secondary</t>
        </is>
      </c>
      <c r="O214" s="2" t="n">
        <v>13200000</v>
      </c>
      <c r="P214" s="2" t="inlineStr">
        <is>
          <t>point</t>
        </is>
      </c>
      <c r="Q214" s="2" t="n"/>
      <c r="R214" s="2" t="n"/>
      <c r="S214" s="2" t="inlineStr">
        <is>
          <t>range stated</t>
        </is>
      </c>
      <c r="T214" s="2" t="inlineStr">
        <is>
          <t>DOT guidance</t>
        </is>
      </c>
      <c r="U214" s="2" t="inlineStr">
        <is>
          <t>Previous step $12.5M (2022$).</t>
        </is>
      </c>
      <c r="V214" s="5" t="inlineStr">
        <is>
          <t>below range</t>
        </is>
      </c>
      <c r="W214" s="2" t="inlineStr">
        <is>
          <t>no</t>
        </is>
      </c>
      <c r="X214" s="2" t="inlineStr">
        <is>
          <t>medium</t>
        </is>
      </c>
      <c r="Y214" s="2" t="inlineStr">
        <is>
          <t>transportation.gov and the USCG memo both returned 403; value from search-result quotation of the DHS memo.</t>
        </is>
      </c>
    </row>
    <row r="215">
      <c r="A215" s="4" t="inlineStr">
        <is>
          <t>D_benefits</t>
        </is>
      </c>
      <c r="B215" s="2" t="inlineStr">
        <is>
          <t>5d. Benefit - Local - City</t>
        </is>
      </c>
      <c r="C215" s="2" t="inlineStr">
        <is>
          <t>B27</t>
        </is>
      </c>
      <c r="D215" s="2" t="inlineStr">
        <is>
          <t>Value of a statistical life (income-adjusted, global)</t>
        </is>
      </c>
      <c r="E215" s="2" t="n">
        <v>10000000</v>
      </c>
      <c r="F215" s="2" t="inlineStr">
        <is>
          <t>$/life</t>
        </is>
      </c>
      <c r="G215" s="2" t="inlineStr"/>
      <c r="H215" s="2" t="inlineStr">
        <is>
          <t>VM17</t>
        </is>
      </c>
      <c r="I215" s="2" t="inlineStr">
        <is>
          <t>Viscusi, W.K., Masterman, C.J. (2017). Income Elasticities and Global Values of a Statistical Life. Journal of Benefit-Cost Analysis 8:226-250.</t>
        </is>
      </c>
      <c r="J215" s="2" t="inlineStr">
        <is>
          <t>10.1017/bca.2017.12</t>
        </is>
      </c>
      <c r="K215" s="8" t="inlineStr">
        <is>
          <t>https://doi.org/10.1017/bca.2017.12</t>
        </is>
      </c>
      <c r="L215" s="2" t="n">
        <v>200</v>
      </c>
      <c r="M215" s="2" t="inlineStr">
        <is>
          <t>Abstract</t>
        </is>
      </c>
      <c r="N215" s="2" t="inlineStr">
        <is>
          <t>abstract only</t>
        </is>
      </c>
      <c r="O215" s="2" t="n">
        <v>9600000</v>
      </c>
      <c r="P215" s="2" t="inlineStr">
        <is>
          <t>point</t>
        </is>
      </c>
      <c r="Q215" s="2" t="n">
        <v>45000</v>
      </c>
      <c r="R215" s="2" t="n">
        <v>18300000</v>
      </c>
      <c r="S215" s="2" t="inlineStr">
        <is>
          <t>min-max across studies</t>
        </is>
      </c>
      <c r="T215" s="2" t="inlineStr">
        <is>
          <t>953 estimates from 68 labour-market studies; 189 countries</t>
        </is>
      </c>
      <c r="U215" s="2" t="inlineStr">
        <is>
          <t>US base $9.6M. Income-group averages: low $107k, lower-middle $420k, upper-middle $1.2M, high $6.4M; range $45k-$18.3M.</t>
        </is>
      </c>
      <c r="V215" s="7" t="inlineStr">
        <is>
          <t>within</t>
        </is>
      </c>
      <c r="W215" s="2" t="inlineStr">
        <is>
          <t>yes</t>
        </is>
      </c>
      <c r="X215" s="2" t="inlineStr">
        <is>
          <t>high</t>
        </is>
      </c>
      <c r="Y215" s="2" t="inlineStr">
        <is>
          <t>For a generic non-US 'mid-large city', income-adjusted VSL is 1.5-90x lower than $10M, so $10M favours MCB unless the city is in the US.</t>
        </is>
      </c>
    </row>
    <row r="216">
      <c r="A216" s="4" t="inlineStr">
        <is>
          <t>D_benefits</t>
        </is>
      </c>
      <c r="B216" s="2" t="inlineStr">
        <is>
          <t>5d. Benefit - Local - City</t>
        </is>
      </c>
      <c r="C216" s="2" t="inlineStr">
        <is>
          <t>B27</t>
        </is>
      </c>
      <c r="D216" s="2" t="inlineStr">
        <is>
          <t>Value of a statistical life (OECD)</t>
        </is>
      </c>
      <c r="E216" s="2" t="n">
        <v>10000000</v>
      </c>
      <c r="F216" s="2" t="inlineStr">
        <is>
          <t>$/life</t>
        </is>
      </c>
      <c r="G216" s="2" t="inlineStr"/>
      <c r="H216" s="2" t="inlineStr">
        <is>
          <t>OECD12</t>
        </is>
      </c>
      <c r="I216" s="2" t="inlineStr">
        <is>
          <t>OECD (2012). Mortality Risk Valuation in Environment, Health and Transport Policies. OECD Publishing.</t>
        </is>
      </c>
      <c r="J216" s="2" t="inlineStr">
        <is>
          <t>10.1787/9789264130807-en</t>
        </is>
      </c>
      <c r="K216" s="8" t="inlineStr">
        <is>
          <t>https://doi.org/10.1787/9789264130807-en</t>
        </is>
      </c>
      <c r="L216" s="2" t="n">
        <v>403</v>
      </c>
      <c r="M216" s="2" t="inlineStr">
        <is>
          <t>Abstract only; base values not accessible (oecd-ilibrary chapter pages returned no text)</t>
        </is>
      </c>
      <c r="N216" s="2" t="inlineStr">
        <is>
          <t>abstract only</t>
        </is>
      </c>
      <c r="O216" s="2" t="n"/>
      <c r="P216" s="2" t="inlineStr">
        <is>
          <t>point</t>
        </is>
      </c>
      <c r="Q216" s="2" t="n"/>
      <c r="R216" s="2" t="n"/>
      <c r="S216" s="2" t="inlineStr">
        <is>
          <t>range stated</t>
        </is>
      </c>
      <c r="T216" s="2" t="inlineStr">
        <is>
          <t>Meta-analysis of stated-preference VSL studies</t>
        </is>
      </c>
      <c r="U216" s="2" t="inlineStr"/>
      <c r="V216" s="6" t="inlineStr">
        <is>
          <t>no comparable value</t>
        </is>
      </c>
      <c r="W216" s="2" t="inlineStr">
        <is>
          <t>n/a</t>
        </is>
      </c>
      <c r="X216" s="2" t="inlineStr">
        <is>
          <t>low</t>
        </is>
      </c>
      <c r="Y216" s="2" t="inlineStr">
        <is>
          <t>Could not read the recommended base values; not quoting any.</t>
        </is>
      </c>
    </row>
    <row r="217">
      <c r="A217" s="4" t="inlineStr">
        <is>
          <t>D_benefits</t>
        </is>
      </c>
      <c r="B217" s="2" t="inlineStr">
        <is>
          <t>5d. Benefit - Local - City</t>
        </is>
      </c>
      <c r="C217" s="2" t="inlineStr">
        <is>
          <t>B30</t>
        </is>
      </c>
      <c r="D217" s="2" t="inlineStr">
        <is>
          <t>Peak to daily-mean conversion</t>
        </is>
      </c>
      <c r="E217" s="2" t="n">
        <v>0.44</v>
      </c>
      <c r="F217" s="2" t="inlineStr">
        <is>
          <t>fraction</t>
        </is>
      </c>
      <c r="G217" s="2" t="inlineStr">
        <is>
          <t>Assumption.</t>
        </is>
      </c>
      <c r="H217" s="2" t="inlineStr"/>
      <c r="I217" s="2" t="inlineStr"/>
      <c r="J217" s="2" t="inlineStr"/>
      <c r="K217" s="2" t="inlineStr"/>
      <c r="L217" s="2" t="n"/>
      <c r="M217" s="2" t="inlineStr"/>
      <c r="N217" s="2" t="inlineStr"/>
      <c r="O217" s="2" t="n"/>
      <c r="P217" s="2" t="inlineStr">
        <is>
          <t>point</t>
        </is>
      </c>
      <c r="Q217" s="2" t="n"/>
      <c r="R217" s="2" t="n"/>
      <c r="S217" s="2" t="inlineStr">
        <is>
          <t>range stated</t>
        </is>
      </c>
      <c r="T217" s="2" t="inlineStr"/>
      <c r="U217" s="2" t="inlineStr"/>
      <c r="V217" s="6" t="inlineStr">
        <is>
          <t>no comparable value</t>
        </is>
      </c>
      <c r="W217" s="2" t="inlineStr">
        <is>
          <t>n/a</t>
        </is>
      </c>
      <c r="X217" s="2" t="inlineStr">
        <is>
          <t>low</t>
        </is>
      </c>
      <c r="Y217" s="2" t="inlineStr">
        <is>
          <t>Unsupported assumption. Tried: OpenAlex search (MCB targeted cooling fraction reaching target; urban daily max vs mean cooling ratio; cool roofs mean vs peak), WebSearch, and the workbook's own cited sources (T14, CS-01). No published value for this specific quantity found.</t>
        </is>
      </c>
    </row>
    <row r="218">
      <c r="A218" s="4" t="inlineStr">
        <is>
          <t>D_benefits</t>
        </is>
      </c>
      <c r="B218" s="2" t="inlineStr">
        <is>
          <t>5d. Benefit - Local - City</t>
        </is>
      </c>
      <c r="C218" s="2" t="inlineStr">
        <is>
          <t>B35</t>
        </is>
      </c>
      <c r="D218" s="2" t="inlineStr">
        <is>
          <t>Solar geoengineering mortality benefit:risk</t>
        </is>
      </c>
      <c r="E218" s="2" t="n">
        <v>13</v>
      </c>
      <c r="F218" s="2" t="inlineStr">
        <is>
          <t>x</t>
        </is>
      </c>
      <c r="G218" s="2" t="inlineStr">
        <is>
          <t>Harding, Keith, Vecchi &amp; Yang 2024 (PNAS).</t>
        </is>
      </c>
      <c r="H218" s="2" t="inlineStr">
        <is>
          <t>Harding24</t>
        </is>
      </c>
      <c r="I218" s="2" t="inlineStr">
        <is>
          <t>Harding, A.R., Vecchi, G.A., Yang, W., Keith, D.W. (2024). Impact of solar geoengineering on temperature-attributable mortality. PNAS 121(52):e2401801121.</t>
        </is>
      </c>
      <c r="J218" s="2" t="inlineStr">
        <is>
          <t>10.1073/pnas.2401801121</t>
        </is>
      </c>
      <c r="K218" s="8" t="inlineStr">
        <is>
          <t>https://doi.org/10.1073/pnas.2401801121</t>
        </is>
      </c>
      <c r="L218" s="2" t="n">
        <v>403</v>
      </c>
      <c r="M218" s="2" t="inlineStr">
        <is>
          <t>Abstract</t>
        </is>
      </c>
      <c r="N218" s="2" t="inlineStr">
        <is>
          <t>abstract only</t>
        </is>
      </c>
      <c r="O218" s="2" t="n">
        <v>13</v>
      </c>
      <c r="P218" s="2" t="inlineStr">
        <is>
          <t>point</t>
        </is>
      </c>
      <c r="Q218" s="2" t="n"/>
      <c r="R218" s="2" t="n"/>
      <c r="S218" s="2" t="inlineStr">
        <is>
          <t>range stated</t>
        </is>
      </c>
      <c r="T218" s="2" t="inlineStr">
        <is>
          <t>2 climate models + econometric mortality analysis</t>
        </is>
      </c>
      <c r="U218" s="2" t="inlineStr">
        <is>
          <t>Benefits outweigh direct SAI risks 13x at central estimates, but only 61% probability benefits exceed risks; ~400,000 deaths/yr avoided [90% CI -1.2M to +2.7M] for 1 C cooling from 2.5 C in 2080; net 4 deaths/100k/1C/yr [90% CI -11 to 23].</t>
        </is>
      </c>
      <c r="V218" s="7" t="inlineStr">
        <is>
          <t>within</t>
        </is>
      </c>
      <c r="W218" s="2" t="inlineStr">
        <is>
          <t>yes</t>
        </is>
      </c>
      <c r="X218" s="2" t="inlineStr">
        <is>
          <t>high</t>
        </is>
      </c>
      <c r="Y218" s="2" t="inlineStr">
        <is>
          <t>Verified. It is a benefit:RISK ratio for stratospheric aerosol, not a benefit:cost ratio; workbook text says 516x BCR 'sits near the global geoengineering mortality anchor', which compares different quantities. The 90% CIs span zero.</t>
        </is>
      </c>
    </row>
    <row r="219">
      <c r="A219" s="4" t="inlineStr">
        <is>
          <t>D_benefits</t>
        </is>
      </c>
      <c r="B219" s="2" t="inlineStr">
        <is>
          <t>6c. Benefit - Global Piggyback</t>
        </is>
      </c>
      <c r="C219" s="2" t="inlineStr">
        <is>
          <t>B50</t>
        </is>
      </c>
      <c r="D219" s="2" t="inlineStr">
        <is>
          <t>Generator fuel rate</t>
        </is>
      </c>
      <c r="E219" s="2" t="n">
        <v>0.2</v>
      </c>
      <c r="F219" s="2" t="inlineStr">
        <is>
          <t>kg/kWh</t>
        </is>
      </c>
      <c r="G219" s="2" t="inlineStr">
        <is>
          <t>Own gensets ~200 g/kWh.</t>
        </is>
      </c>
      <c r="H219" s="2" t="inlineStr">
        <is>
          <t>IMO4</t>
        </is>
      </c>
      <c r="I219" s="2" t="inlineStr">
        <is>
          <t>IMO (2020). Fourth IMO Greenhouse Gas Study 2020, Table 19 (SFCbase).</t>
        </is>
      </c>
      <c r="J219" s="2" t="inlineStr"/>
      <c r="K219" s="8" t="inlineStr">
        <is>
          <t>https://ghgsmart.imo.org/wp-content/uploads/2023/05/Fourth-IMO-GHG-Study-2020-Full-report-and-annexes_compressed.pdf</t>
        </is>
      </c>
      <c r="L219" s="2" t="n">
        <v>200</v>
      </c>
      <c r="M219" s="2" t="inlineStr">
        <is>
          <t>Table 19, printed pp.70-71</t>
        </is>
      </c>
      <c r="N219" s="2" t="inlineStr">
        <is>
          <t>full text</t>
        </is>
      </c>
      <c r="O219" s="2" t="n">
        <v>0.185</v>
      </c>
      <c r="P219" s="2" t="inlineStr">
        <is>
          <t>point</t>
        </is>
      </c>
      <c r="Q219" s="2" t="n">
        <v>0.156</v>
      </c>
      <c r="R219" s="2" t="n">
        <v>0.225</v>
      </c>
      <c r="S219" s="2" t="inlineStr">
        <is>
          <t>range stated</t>
        </is>
      </c>
      <c r="T219" s="2" t="inlineStr">
        <is>
          <t>IMO bottom-up inventory assumptions by engine age and fuel</t>
        </is>
      </c>
      <c r="U219" s="2" t="inlineStr">
        <is>
          <t>Auxiliary engines SFCbase: 2001+ HFO 195, MDO 185, LNG 156; 1984-2000 HFO 205, MDO 190; pre-1983 HFO 225, MDO 210 g/kWh (lowest point of load curve).</t>
        </is>
      </c>
      <c r="V219" s="7" t="inlineStr">
        <is>
          <t>within</t>
        </is>
      </c>
      <c r="W219" s="2" t="inlineStr">
        <is>
          <t>neutral</t>
        </is>
      </c>
      <c r="X219" s="2" t="inlineStr">
        <is>
          <t>high</t>
        </is>
      </c>
      <c r="Y219" s="2" t="inlineStr">
        <is>
          <t>Row is bunkering logistics only (not costed), so no effect on BCR.</t>
        </is>
      </c>
    </row>
    <row r="220">
      <c r="A220" s="4" t="inlineStr">
        <is>
          <t>D_benefits</t>
        </is>
      </c>
      <c r="B220" s="2" t="inlineStr">
        <is>
          <t>6c. Benefit - Global Piggyback</t>
        </is>
      </c>
      <c r="C220" s="2" t="inlineStr">
        <is>
          <t>B52</t>
        </is>
      </c>
      <c r="D220" s="2" t="inlineStr">
        <is>
          <t>Fully cellular container ships</t>
        </is>
      </c>
      <c r="E220" s="2" t="n">
        <v>6706</v>
      </c>
      <c r="F220" s="2" t="inlineStr">
        <is>
          <t>ships</t>
        </is>
      </c>
      <c r="G220" s="2" t="inlineStr">
        <is>
          <t>Alphaliner Apr 2026.</t>
        </is>
      </c>
      <c r="H220" s="2" t="inlineStr">
        <is>
          <t>Alphaliner26</t>
        </is>
      </c>
      <c r="I220" s="2" t="inlineStr">
        <is>
          <t>Alphaliner Global Fleet Snapshot, March 2026, as reported by El Estrecho Digital (1 Apr 2026), 'The global fleet of container ships surpasses 6,700 vessels in operation for the first time'.</t>
        </is>
      </c>
      <c r="J220" s="2" t="inlineStr"/>
      <c r="K220" s="8" t="inlineStr">
        <is>
          <t>https://www.elestrechodigital.com/en/2026/04/01/the-global-fleet-of-container-ships-surpasses-6-700-vessels-in-operation-for-the-first-time</t>
        </is>
      </c>
      <c r="L220" s="2" t="n">
        <v>200</v>
      </c>
      <c r="M220" s="2" t="inlineStr">
        <is>
          <t>Article text</t>
        </is>
      </c>
      <c r="N220" s="2" t="inlineStr">
        <is>
          <t>paywalled, from secondary</t>
        </is>
      </c>
      <c r="O220" s="2" t="n">
        <v>6706</v>
      </c>
      <c r="P220" s="2" t="inlineStr">
        <is>
          <t>point</t>
        </is>
      </c>
      <c r="Q220" s="2" t="n">
        <v>6033</v>
      </c>
      <c r="R220" s="2" t="n">
        <v>7518</v>
      </c>
      <c r="S220" s="2" t="inlineStr">
        <is>
          <t>range stated</t>
        </is>
      </c>
      <c r="T220" s="2" t="inlineStr">
        <is>
          <t>Alphaliner Global Fleet Snapshot, March 2026</t>
        </is>
      </c>
      <c r="U220" s="2" t="inlineStr">
        <is>
          <t>6,706 cellular ships, 33.6M TEU; 7,518 incl. non-cellular. Workbook also cites MDS Transmodal Apr 2025 via UNCTAD RMT 2025 = 6,033 (not independently checked).</t>
        </is>
      </c>
      <c r="V220" s="7" t="inlineStr">
        <is>
          <t>within</t>
        </is>
      </c>
      <c r="W220" s="2" t="inlineStr">
        <is>
          <t>neutral</t>
        </is>
      </c>
      <c r="X220" s="2" t="inlineStr">
        <is>
          <t>medium</t>
        </is>
      </c>
      <c r="Y220" s="2" t="inlineStr">
        <is>
          <t>Snapshot is labelled March 2026 in the source; workbook says Apr 2026.</t>
        </is>
      </c>
    </row>
    <row r="221">
      <c r="A221" s="4" t="inlineStr">
        <is>
          <t>D_benefits</t>
        </is>
      </c>
      <c r="B221" s="2" t="inlineStr">
        <is>
          <t>6c. Benefit - Global Piggyback</t>
        </is>
      </c>
      <c r="C221" s="2" t="inlineStr">
        <is>
          <t>D54</t>
        </is>
      </c>
      <c r="D221" s="2" t="inlineStr">
        <is>
          <t>Eligible host ships share (&gt;=1,000 TEU)</t>
        </is>
      </c>
      <c r="E221" s="2" t="n">
        <v>0.85</v>
      </c>
      <c r="F221" s="2" t="inlineStr">
        <is>
          <t>fraction</t>
        </is>
      </c>
      <c r="G221" s="2" t="inlineStr">
        <is>
          <t>Alphaliner Jul 2024 (954 of 6,206 under 1,000 TEU).</t>
        </is>
      </c>
      <c r="H221" s="2" t="inlineStr"/>
      <c r="I221" s="2" t="inlineStr"/>
      <c r="J221" s="2" t="inlineStr"/>
      <c r="K221" s="2" t="inlineStr"/>
      <c r="L221" s="2" t="n"/>
      <c r="M221" s="2" t="inlineStr">
        <is>
          <t>Alphaliner Monthly Monitor Jul 2024 (paywalled, not accessed)</t>
        </is>
      </c>
      <c r="N221" s="2" t="inlineStr"/>
      <c r="O221" s="2" t="n">
        <v>0.846</v>
      </c>
      <c r="P221" s="2" t="inlineStr">
        <is>
          <t>point</t>
        </is>
      </c>
      <c r="Q221" s="2" t="n"/>
      <c r="R221" s="2" t="n"/>
      <c r="S221" s="2" t="inlineStr">
        <is>
          <t>range stated</t>
        </is>
      </c>
      <c r="T221" s="2" t="inlineStr">
        <is>
          <t>Derived from workbook-quoted counts</t>
        </is>
      </c>
      <c r="U221" s="2" t="inlineStr">
        <is>
          <t>Derived: 1 - 954/6206 = 0.846.</t>
        </is>
      </c>
      <c r="V221" s="7" t="inlineStr">
        <is>
          <t>within</t>
        </is>
      </c>
      <c r="W221" s="2" t="inlineStr">
        <is>
          <t>neutral</t>
        </is>
      </c>
      <c r="X221" s="2" t="inlineStr">
        <is>
          <t>low</t>
        </is>
      </c>
      <c r="Y221" s="2" t="inlineStr">
        <is>
          <t>Arithmetic checks, but the underlying Alphaliner size table could not be accessed.</t>
        </is>
      </c>
    </row>
    <row r="222">
      <c r="A222" s="4" t="inlineStr">
        <is>
          <t>D_benefits</t>
        </is>
      </c>
      <c r="B222" s="2" t="inlineStr">
        <is>
          <t>6a. Cooling Model - Global</t>
        </is>
      </c>
      <c r="C222" s="2" t="inlineStr">
        <is>
          <t>B42</t>
        </is>
      </c>
      <c r="D222" s="2" t="inlineStr">
        <is>
          <t>Global GDP</t>
        </is>
      </c>
      <c r="E222" s="2" t="n">
        <v>110</v>
      </c>
      <c r="F222" s="2" t="inlineStr">
        <is>
          <t>$ trillion</t>
        </is>
      </c>
      <c r="G222" s="2" t="inlineStr">
        <is>
          <t>World GDP ~$110T (2025).</t>
        </is>
      </c>
      <c r="H222" s="2" t="inlineStr">
        <is>
          <t>WB_GDP</t>
        </is>
      </c>
      <c r="I222" s="2" t="inlineStr">
        <is>
          <t>World Bank, World Development Indicators: GDP (current US$), NY.GDP.MKTP.CD, World.</t>
        </is>
      </c>
      <c r="J222" s="2" t="inlineStr"/>
      <c r="K222" s="8" t="inlineStr">
        <is>
          <t>https://api.worldbank.org/v2/country/WLD/indicator/NY.GDP.MKTP.CD?format=json&amp;date=2020:2025</t>
        </is>
      </c>
      <c r="L222" s="2" t="n">
        <v>200</v>
      </c>
      <c r="M222" s="2" t="inlineStr">
        <is>
          <t>NY.GDP.MKTP.CD, WLD</t>
        </is>
      </c>
      <c r="N222" s="2" t="inlineStr">
        <is>
          <t>full text</t>
        </is>
      </c>
      <c r="O222" s="2" t="n">
        <v>118.35</v>
      </c>
      <c r="P222" s="2" t="inlineStr">
        <is>
          <t>point</t>
        </is>
      </c>
      <c r="Q222" s="2" t="n">
        <v>111.67</v>
      </c>
      <c r="R222" s="2" t="n">
        <v>118.35</v>
      </c>
      <c r="S222" s="2" t="inlineStr">
        <is>
          <t>range stated</t>
        </is>
      </c>
      <c r="T222" s="2" t="inlineStr">
        <is>
          <t>World Bank aggregate</t>
        </is>
      </c>
      <c r="U222" s="2" t="inlineStr">
        <is>
          <t>2024 $111.67T; 2025 $118.35T (current US$).</t>
        </is>
      </c>
      <c r="V222" s="5" t="inlineStr">
        <is>
          <t>below range</t>
        </is>
      </c>
      <c r="W222" s="2" t="inlineStr">
        <is>
          <t>no</t>
        </is>
      </c>
      <c r="X222" s="2" t="inlineStr">
        <is>
          <t>high</t>
        </is>
      </c>
      <c r="Y222" s="2" t="inlineStr">
        <is>
          <t>Using 110 understates the value of cooling by ~7% vs 2025.</t>
        </is>
      </c>
    </row>
    <row r="223">
      <c r="A223" s="4" t="inlineStr">
        <is>
          <t>D_benefits</t>
        </is>
      </c>
      <c r="B223" s="2" t="inlineStr">
        <is>
          <t>6b. Benefit - Global - Vessel</t>
        </is>
      </c>
      <c r="C223" s="2" t="inlineStr">
        <is>
          <t>B16</t>
        </is>
      </c>
      <c r="D223" s="2" t="inlineStr">
        <is>
          <t>Global GDP</t>
        </is>
      </c>
      <c r="E223" s="2" t="n">
        <v>110</v>
      </c>
      <c r="F223" s="2" t="inlineStr">
        <is>
          <t>$ trillion</t>
        </is>
      </c>
      <c r="G223" s="2" t="inlineStr">
        <is>
          <t>World GDP ~$110T (2025).</t>
        </is>
      </c>
      <c r="H223" s="2" t="inlineStr">
        <is>
          <t>WB_GDP</t>
        </is>
      </c>
      <c r="I223" s="2" t="inlineStr">
        <is>
          <t>World Bank, World Development Indicators: GDP (current US$), NY.GDP.MKTP.CD, World.</t>
        </is>
      </c>
      <c r="J223" s="2" t="inlineStr"/>
      <c r="K223" s="8" t="inlineStr">
        <is>
          <t>https://api.worldbank.org/v2/country/WLD/indicator/NY.GDP.MKTP.CD?format=json&amp;date=2020:2025</t>
        </is>
      </c>
      <c r="L223" s="2" t="n">
        <v>200</v>
      </c>
      <c r="M223" s="2" t="inlineStr">
        <is>
          <t>NY.GDP.MKTP.CD, WLD</t>
        </is>
      </c>
      <c r="N223" s="2" t="inlineStr">
        <is>
          <t>full text</t>
        </is>
      </c>
      <c r="O223" s="2" t="n">
        <v>118.35</v>
      </c>
      <c r="P223" s="2" t="inlineStr">
        <is>
          <t>point</t>
        </is>
      </c>
      <c r="Q223" s="2" t="n">
        <v>111.67</v>
      </c>
      <c r="R223" s="2" t="n">
        <v>118.35</v>
      </c>
      <c r="S223" s="2" t="inlineStr">
        <is>
          <t>range stated</t>
        </is>
      </c>
      <c r="T223" s="2" t="inlineStr">
        <is>
          <t>World Bank aggregate</t>
        </is>
      </c>
      <c r="U223" s="2" t="inlineStr">
        <is>
          <t>2024 $111.67T; 2025 $118.35T (current US$).</t>
        </is>
      </c>
      <c r="V223" s="5" t="inlineStr">
        <is>
          <t>below range</t>
        </is>
      </c>
      <c r="W223" s="2" t="inlineStr">
        <is>
          <t>no</t>
        </is>
      </c>
      <c r="X223" s="2" t="inlineStr">
        <is>
          <t>high</t>
        </is>
      </c>
      <c r="Y223" s="2" t="inlineStr">
        <is>
          <t>Using 110 understates the value of cooling by ~7% vs 2025.</t>
        </is>
      </c>
    </row>
    <row r="224">
      <c r="A224" s="4" t="inlineStr">
        <is>
          <t>D_benefits</t>
        </is>
      </c>
      <c r="B224" s="2" t="inlineStr">
        <is>
          <t>6a. Cooling Model - Global</t>
        </is>
      </c>
      <c r="C224" s="2" t="inlineStr">
        <is>
          <t>B43</t>
        </is>
      </c>
      <c r="D224" s="2" t="inlineStr">
        <is>
          <t>Damage: low (older IAM / Nordhaus-style)</t>
        </is>
      </c>
      <c r="E224" s="2" t="n">
        <v>0.6</v>
      </c>
      <c r="F224" s="2" t="inlineStr">
        <is>
          <t>% GDP per degC</t>
        </is>
      </c>
      <c r="G224" s="2" t="inlineStr">
        <is>
          <t>DICE-2016R (Nordhaus 2017, w22933): 0.227% GDP per degC^2.</t>
        </is>
      </c>
      <c r="H224" s="2" t="inlineStr">
        <is>
          <t>Nordhaus16</t>
        </is>
      </c>
      <c r="I224" s="2" t="inlineStr">
        <is>
          <t>Nordhaus, W.D. (2016). Projections and Uncertainties About Climate Change in an Era of Minimal Climate Policies. NBER Working Paper 22933 (DICE-2016R).</t>
        </is>
      </c>
      <c r="J224" s="2" t="inlineStr">
        <is>
          <t>10.3386/w22933</t>
        </is>
      </c>
      <c r="K224" s="8" t="inlineStr">
        <is>
          <t>https://doi.org/10.3386/w22933</t>
        </is>
      </c>
      <c r="L224" s="2" t="n">
        <v>200</v>
      </c>
      <c r="M224" s="2" t="inlineStr">
        <is>
          <t>Section on damage function (w22933 PDF)</t>
        </is>
      </c>
      <c r="N224" s="2" t="inlineStr">
        <is>
          <t>full text</t>
        </is>
      </c>
      <c r="O224" s="2" t="n">
        <v>0.227</v>
      </c>
      <c r="P224" s="2" t="inlineStr">
        <is>
          <t>point</t>
        </is>
      </c>
      <c r="Q224" s="2" t="n">
        <v>0.206</v>
      </c>
      <c r="R224" s="2" t="n">
        <v>0.266</v>
      </c>
      <c r="S224" s="2" t="inlineStr">
        <is>
          <t>range stated</t>
        </is>
      </c>
      <c r="T224" s="2" t="inlineStr">
        <is>
          <t>Meta-regression (Nordhaus &amp; Moffat 2017)</t>
        </is>
      </c>
      <c r="U224" s="2" t="inlineStr">
        <is>
          <t>Model coefficient 0.227% Y per C^2, no linear term (2.0% at 3 C, 7.9% at 6 C); preferred regression 0.236 (SE 0.0303). Derived damage avoided by 1 C of cooling at warming T = 0.227 x (2T - 1): T=1.3 -&gt; 0.36%, T=2 -&gt; 0.68%, T=3 -&gt; 1.14%.</t>
        </is>
      </c>
      <c r="V224" s="7" t="inlineStr">
        <is>
          <t>within</t>
        </is>
      </c>
      <c r="W224" s="2" t="inlineStr">
        <is>
          <t>neutral</t>
        </is>
      </c>
      <c r="X224" s="2" t="inlineStr">
        <is>
          <t>high</t>
        </is>
      </c>
      <c r="Y224" s="2" t="inlineStr">
        <is>
          <t>lit_low/high = 0.236 +/- 1 SE. 0.6%/C matches DICE at T~1.8 C. Bilal &amp; Kanzig (2026, intro) characterise prior empirical estimates as 1-3% for a permanent 1 C.</t>
        </is>
      </c>
    </row>
    <row r="225">
      <c r="A225" s="4" t="inlineStr">
        <is>
          <t>D_benefits</t>
        </is>
      </c>
      <c r="B225" s="2" t="inlineStr">
        <is>
          <t>6a. Cooling Model - Global</t>
        </is>
      </c>
      <c r="C225" s="2" t="inlineStr">
        <is>
          <t>B44</t>
        </is>
      </c>
      <c r="D225" s="2" t="inlineStr">
        <is>
          <t>Damage: central (Burke 2015 anchor)</t>
        </is>
      </c>
      <c r="E225" s="2" t="n">
        <v>3.3</v>
      </c>
      <c r="F225" s="2" t="inlineStr">
        <is>
          <t>% GDP per degC</t>
        </is>
      </c>
      <c r="G225" s="2" t="inlineStr">
        <is>
          <t>Burke 2015: ~23% at ~3.7 C (~6%/C); 3.3 conservative.</t>
        </is>
      </c>
      <c r="H225" s="2" t="inlineStr">
        <is>
          <t>Burke15</t>
        </is>
      </c>
      <c r="I225" s="2" t="inlineStr">
        <is>
          <t>Burke, M., Hsiang, S.M., Miguel, E. (2015). Global non-linear effect of temperature on economic production. Nature 527:235-239.</t>
        </is>
      </c>
      <c r="J225" s="2" t="inlineStr">
        <is>
          <t>10.1038/nature15725</t>
        </is>
      </c>
      <c r="K225" s="8" t="inlineStr">
        <is>
          <t>https://doi.org/10.1038/nature15725</t>
        </is>
      </c>
      <c r="L225" s="2" t="n">
        <v>200</v>
      </c>
      <c r="M225" s="2" t="inlineStr">
        <is>
          <t>Abstract</t>
        </is>
      </c>
      <c r="N225" s="2" t="inlineStr">
        <is>
          <t>abstract only</t>
        </is>
      </c>
      <c r="O225" s="2" t="n"/>
      <c r="P225" s="2" t="inlineStr">
        <is>
          <t>point</t>
        </is>
      </c>
      <c r="Q225" s="2" t="n"/>
      <c r="R225" s="2" t="n"/>
      <c r="S225" s="2" t="inlineStr">
        <is>
          <t>range stated</t>
        </is>
      </c>
      <c r="T225" s="2" t="inlineStr">
        <is>
          <t>166 countries 1960-2010</t>
        </is>
      </c>
      <c r="U225" s="2" t="inlineStr">
        <is>
          <t>Abstract: ~23% lower average global income by 2100 under unmitigated warming; productivity peaks at 13 C annual mean. Warming level not stated in abstract, so no per-degree value derived.</t>
        </is>
      </c>
      <c r="V225" s="6" t="inlineStr">
        <is>
          <t>no comparable value</t>
        </is>
      </c>
      <c r="W225" s="2" t="inlineStr">
        <is>
          <t>n/a</t>
        </is>
      </c>
      <c r="X225" s="2" t="inlineStr">
        <is>
          <t>medium</t>
        </is>
      </c>
      <c r="Y225" s="2" t="inlineStr">
        <is>
          <t>No source found that states 3.3%/C; it is the workbook author's choice. Tried: Burke abstract, Kalkuhl &amp; Wenz, Tol 2024, Howard &amp; Sterner abstracts, web search.</t>
        </is>
      </c>
    </row>
    <row r="226">
      <c r="A226" s="4" t="inlineStr">
        <is>
          <t>D_benefits</t>
        </is>
      </c>
      <c r="B226" s="2" t="inlineStr">
        <is>
          <t>6a. Cooling Model - Global</t>
        </is>
      </c>
      <c r="C226" s="2" t="inlineStr">
        <is>
          <t>B44</t>
        </is>
      </c>
      <c r="D226" s="2" t="inlineStr">
        <is>
          <t>Damage: central (statistical class)</t>
        </is>
      </c>
      <c r="E226" s="2" t="n">
        <v>3.3</v>
      </c>
      <c r="F226" s="2" t="inlineStr">
        <is>
          <t>% GDP per degC</t>
        </is>
      </c>
      <c r="G226" s="2" t="inlineStr"/>
      <c r="H226" s="2" t="inlineStr">
        <is>
          <t>KW20</t>
        </is>
      </c>
      <c r="I226" s="2" t="inlineStr">
        <is>
          <t>Kalkuhl, M., Wenz, L. (2020). The impact of climate conditions on economic production. Evidence from a global panel of regions. JEEM 103:102360.</t>
        </is>
      </c>
      <c r="J226" s="2" t="inlineStr">
        <is>
          <t>10.1016/j.jeem.2020.102360</t>
        </is>
      </c>
      <c r="K226" s="8" t="inlineStr">
        <is>
          <t>https://doi.org/10.1016/j.jeem.2020.102360</t>
        </is>
      </c>
      <c r="L226" s="2" t="n">
        <v>200</v>
      </c>
      <c r="M226" s="2" t="inlineStr">
        <is>
          <t>Abstract</t>
        </is>
      </c>
      <c r="N226" s="2" t="inlineStr">
        <is>
          <t>full text</t>
        </is>
      </c>
      <c r="O226" s="2" t="n">
        <v>3</v>
      </c>
      <c r="P226" s="2" t="inlineStr">
        <is>
          <t>point</t>
        </is>
      </c>
      <c r="Q226" s="2" t="n">
        <v>2</v>
      </c>
      <c r="R226" s="2" t="n">
        <v>4</v>
      </c>
      <c r="S226" s="2" t="inlineStr">
        <is>
          <t>range stated</t>
        </is>
      </c>
      <c r="T226" s="2" t="inlineStr">
        <is>
          <t>GRP of &gt;1500 regions in 77 countries</t>
        </is>
      </c>
      <c r="U226" s="2" t="inlineStr">
        <is>
          <t>7-14% global output loss in 2100 for ~3.5 C; derived 2.0-4.0%/C (midpoint 3.0). Level, not growth, effects.</t>
        </is>
      </c>
      <c r="V226" s="7" t="inlineStr">
        <is>
          <t>within</t>
        </is>
      </c>
      <c r="W226" s="2" t="inlineStr">
        <is>
          <t>neutral</t>
        </is>
      </c>
      <c r="X226" s="2" t="inlineStr">
        <is>
          <t>high</t>
        </is>
      </c>
      <c r="Y226" s="2" t="inlineStr">
        <is>
          <t>Supports 3.3 as a level-effect central for a permanent temperature change.</t>
        </is>
      </c>
    </row>
    <row r="227">
      <c r="A227" s="4" t="inlineStr">
        <is>
          <t>D_benefits</t>
        </is>
      </c>
      <c r="B227" s="2" t="inlineStr">
        <is>
          <t>6a. Cooling Model - Global</t>
        </is>
      </c>
      <c r="C227" s="2" t="inlineStr">
        <is>
          <t>B44</t>
        </is>
      </c>
      <c r="D227" s="2" t="inlineStr">
        <is>
          <t>Damage: Kotz et al. 2024 (retracted)</t>
        </is>
      </c>
      <c r="E227" s="2" t="n">
        <v>3.3</v>
      </c>
      <c r="F227" s="2" t="inlineStr">
        <is>
          <t>% GDP per degC</t>
        </is>
      </c>
      <c r="G227" s="2" t="inlineStr">
        <is>
          <t>Replaces Kotz 2024, retracted Dec 2025.</t>
        </is>
      </c>
      <c r="H227" s="2" t="inlineStr">
        <is>
          <t>Kotz24</t>
        </is>
      </c>
      <c r="I227" s="2" t="inlineStr">
        <is>
          <t>Kotz, M., Levermann, A., Wenz, L. (2024). RETRACTED: The economic commitment of climate change. Nature 628:551-557. Retraction note 10.1038/s41586-025-09726-0.</t>
        </is>
      </c>
      <c r="J227" s="2" t="inlineStr">
        <is>
          <t>10.1038/s41586-024-07219-0</t>
        </is>
      </c>
      <c r="K227" s="8" t="inlineStr">
        <is>
          <t>https://doi.org/10.1038/s41586-025-09726-0</t>
        </is>
      </c>
      <c r="L227" s="2" t="n">
        <v>200</v>
      </c>
      <c r="M227" s="2" t="inlineStr">
        <is>
          <t>Retraction note</t>
        </is>
      </c>
      <c r="N227" s="2" t="inlineStr">
        <is>
          <t>full text</t>
        </is>
      </c>
      <c r="O227" s="2" t="n"/>
      <c r="P227" s="2" t="inlineStr">
        <is>
          <t>point</t>
        </is>
      </c>
      <c r="Q227" s="2" t="n"/>
      <c r="R227" s="2" t="n"/>
      <c r="S227" s="2" t="inlineStr">
        <is>
          <t>range stated</t>
        </is>
      </c>
      <c r="T227" s="2" t="inlineStr"/>
      <c r="U227" s="2" t="inlineStr">
        <is>
          <t>Retracted: results sensitive to Uzbekistan data; corrected mid-century damage range widened from 11-29% to 6-31%.</t>
        </is>
      </c>
      <c r="V227" s="6" t="inlineStr">
        <is>
          <t>no comparable value</t>
        </is>
      </c>
      <c r="W227" s="2" t="inlineStr">
        <is>
          <t>n/a</t>
        </is>
      </c>
      <c r="X227" s="2" t="inlineStr">
        <is>
          <t>high</t>
        </is>
      </c>
      <c r="Y227" s="2" t="inlineStr">
        <is>
          <t>Confirms workbook was right to drop Kotz (Crossref 'updated-by' retraction 10.1038/s41586-025-09726-0).</t>
        </is>
      </c>
    </row>
    <row r="228">
      <c r="A228" s="4" t="inlineStr">
        <is>
          <t>D_benefits</t>
        </is>
      </c>
      <c r="B228" s="2" t="inlineStr">
        <is>
          <t>6a. Cooling Model - Global</t>
        </is>
      </c>
      <c r="C228" s="2" t="inlineStr">
        <is>
          <t>B44</t>
        </is>
      </c>
      <c r="D228" s="2" t="inlineStr">
        <is>
          <t>Damage meta-analyses</t>
        </is>
      </c>
      <c r="E228" s="2" t="n">
        <v>3.3</v>
      </c>
      <c r="F228" s="2" t="inlineStr">
        <is>
          <t>% GDP per degC</t>
        </is>
      </c>
      <c r="G228" s="2" t="inlineStr"/>
      <c r="H228" s="2" t="inlineStr">
        <is>
          <t>HS17</t>
        </is>
      </c>
      <c r="I228" s="2" t="inlineStr">
        <is>
          <t>Howard, P.H., Sterner, T. (2017). Few and Not So Far Between: A Meta-analysis of Climate Damage Estimates. Environmental and Resource Economics 68:197-225.</t>
        </is>
      </c>
      <c r="J228" s="2" t="inlineStr">
        <is>
          <t>10.1007/s10640-017-0166-z</t>
        </is>
      </c>
      <c r="K228" s="8" t="inlineStr">
        <is>
          <t>https://doi.org/10.1007/s10640-017-0166-z</t>
        </is>
      </c>
      <c r="L228" s="2" t="n">
        <v>200</v>
      </c>
      <c r="M228" s="2" t="inlineStr">
        <is>
          <t>Abstract</t>
        </is>
      </c>
      <c r="N228" s="2" t="inlineStr">
        <is>
          <t>abstract only</t>
        </is>
      </c>
      <c r="O228" s="2" t="n"/>
      <c r="P228" s="2" t="inlineStr">
        <is>
          <t>point</t>
        </is>
      </c>
      <c r="Q228" s="2" t="n"/>
      <c r="R228" s="2" t="n"/>
      <c r="S228" s="2" t="inlineStr">
        <is>
          <t>range stated</t>
        </is>
      </c>
      <c r="T228" s="2" t="inlineStr">
        <is>
          <t>Meta-analysis of global damage estimates</t>
        </is>
      </c>
      <c r="U228" s="2" t="inlineStr">
        <is>
          <t>Abstract gives no %GDP; says corrected damage function raises 2015 SCC 3-4x vs DICE-2013R (4-5x with catastrophic impacts).</t>
        </is>
      </c>
      <c r="V228" s="6" t="inlineStr">
        <is>
          <t>no comparable value</t>
        </is>
      </c>
      <c r="W228" s="2" t="inlineStr">
        <is>
          <t>n/a</t>
        </is>
      </c>
      <c r="X228" s="2" t="inlineStr">
        <is>
          <t>low</t>
        </is>
      </c>
      <c r="Y228" s="2" t="inlineStr">
        <is>
          <t>Full text was not retrievable (Springer returned HTML).</t>
        </is>
      </c>
    </row>
    <row r="229">
      <c r="A229" s="4" t="inlineStr">
        <is>
          <t>D_benefits</t>
        </is>
      </c>
      <c r="B229" s="2" t="inlineStr">
        <is>
          <t>6a. Cooling Model - Global</t>
        </is>
      </c>
      <c r="C229" s="2" t="inlineStr">
        <is>
          <t>B44</t>
        </is>
      </c>
      <c r="D229" s="2" t="inlineStr">
        <is>
          <t>Damage meta-analyses</t>
        </is>
      </c>
      <c r="E229" s="2" t="n">
        <v>3.3</v>
      </c>
      <c r="F229" s="2" t="inlineStr">
        <is>
          <t>% GDP per degC</t>
        </is>
      </c>
      <c r="G229" s="2" t="inlineStr"/>
      <c r="H229" s="2" t="inlineStr">
        <is>
          <t>Tol24</t>
        </is>
      </c>
      <c r="I229" s="2" t="inlineStr">
        <is>
          <t>Tol, R.S.J. (2024). A meta-analysis of the total economic impact of climate change. Energy Policy 185:113922.</t>
        </is>
      </c>
      <c r="J229" s="2" t="inlineStr">
        <is>
          <t>10.1016/j.enpol.2023.113922</t>
        </is>
      </c>
      <c r="K229" s="8" t="inlineStr">
        <is>
          <t>https://doi.org/10.1016/j.enpol.2023.113922</t>
        </is>
      </c>
      <c r="L229" s="2" t="n">
        <v>200</v>
      </c>
      <c r="M229" s="2" t="inlineStr">
        <is>
          <t>Abstract</t>
        </is>
      </c>
      <c r="N229" s="2" t="inlineStr">
        <is>
          <t>abstract only</t>
        </is>
      </c>
      <c r="O229" s="2" t="n"/>
      <c r="P229" s="2" t="inlineStr">
        <is>
          <t>point</t>
        </is>
      </c>
      <c r="Q229" s="2" t="n"/>
      <c r="R229" s="2" t="n"/>
      <c r="S229" s="2" t="inlineStr">
        <is>
          <t>range stated</t>
        </is>
      </c>
      <c r="T229" s="2" t="inlineStr">
        <is>
          <t>Meta-analysis</t>
        </is>
      </c>
      <c r="U229" s="2" t="inlineStr">
        <is>
          <t>Abstract: central estimate always negative, wide and negatively skewed CI; econometric studies most optimistic; no numeric %GDP in abstract.</t>
        </is>
      </c>
      <c r="V229" s="6" t="inlineStr">
        <is>
          <t>no comparable value</t>
        </is>
      </c>
      <c r="W229" s="2" t="inlineStr">
        <is>
          <t>n/a</t>
        </is>
      </c>
      <c r="X229" s="2" t="inlineStr">
        <is>
          <t>low</t>
        </is>
      </c>
      <c r="Y229" s="2" t="inlineStr"/>
    </row>
    <row r="230">
      <c r="A230" s="4" t="inlineStr">
        <is>
          <t>D_benefits</t>
        </is>
      </c>
      <c r="B230" s="2" t="inlineStr">
        <is>
          <t>6a. Cooling Model - Global</t>
        </is>
      </c>
      <c r="C230" s="2" t="inlineStr">
        <is>
          <t>B45</t>
        </is>
      </c>
      <c r="D230" s="2" t="inlineStr">
        <is>
          <t>Damage: high (Bilal-Kanzig)</t>
        </is>
      </c>
      <c r="E230" s="2" t="n">
        <v>12</v>
      </c>
      <c r="F230" s="2" t="inlineStr">
        <is>
          <t>% GDP per degC</t>
        </is>
      </c>
      <c r="G230" s="2" t="inlineStr">
        <is>
          <t>Bilal &amp; Kanzig 2024 (w32450): 12% GDP per degC.</t>
        </is>
      </c>
      <c r="H230" s="2" t="inlineStr">
        <is>
          <t>BK24</t>
        </is>
      </c>
      <c r="I230" s="2" t="inlineStr">
        <is>
          <t>Bilal, A., Kanzig, D.R. (2024, revised Jan 2026). The Macroeconomic Impact of Climate Change: Global vs. Local Temperature. NBER Working Paper 32450.</t>
        </is>
      </c>
      <c r="J230" s="2" t="inlineStr">
        <is>
          <t>10.3386/w32450</t>
        </is>
      </c>
      <c r="K230" s="8" t="inlineStr">
        <is>
          <t>https://doi.org/10.3386/w32450</t>
        </is>
      </c>
      <c r="L230" s="2" t="n">
        <v>200</v>
      </c>
      <c r="M230" s="2" t="inlineStr">
        <is>
          <t>Revised Jan 2026 PDF: abstract; Sec. on local projections; model section</t>
        </is>
      </c>
      <c r="N230" s="2" t="inlineStr">
        <is>
          <t>full text</t>
        </is>
      </c>
      <c r="O230" s="2" t="n">
        <v>14</v>
      </c>
      <c r="P230" s="2" t="inlineStr">
        <is>
          <t>point</t>
        </is>
      </c>
      <c r="Q230" s="2" t="n">
        <v>6</v>
      </c>
      <c r="R230" s="2" t="n">
        <v>22</v>
      </c>
      <c r="S230" s="2" t="inlineStr">
        <is>
          <t>95% CI</t>
        </is>
      </c>
      <c r="T230" s="2" t="inlineStr">
        <is>
          <t>World GDP per capita, PWT sample (BU sample: 18%, 95% CI 6-30)</t>
        </is>
      </c>
      <c r="U230" s="2" t="inlineStr">
        <is>
          <t>Peak GDP loss 14% 6 yr after a 1 C global temperature shock (PWT). Permanent 1 C -&gt; 20-34% long-run loss. One-time fully transitory 1 C -&gt; 4% peak productivity decline (structural model).</t>
        </is>
      </c>
      <c r="V230" s="6" t="inlineStr">
        <is>
          <t>no comparable value</t>
        </is>
      </c>
      <c r="W230" s="2" t="inlineStr">
        <is>
          <t>yes</t>
        </is>
      </c>
      <c r="X230" s="2" t="inlineStr">
        <is>
          <t>high</t>
        </is>
      </c>
      <c r="Y230" s="2" t="inlineStr">
        <is>
          <t>The current (Jan 2026) version no longer reports 12%; text references 12-16% six-year impacts in one passage. For a one-year 'degree-year' of cooling, the paper's transitory-shock number (4%) is the closest analogue, so applying 12% of GDP per K-year favours MCB. All damage figures in B43-B45 are long-run level effects of persistent warming, not annual flows per degree-year.</t>
        </is>
      </c>
    </row>
    <row r="231">
      <c r="A231" s="4" t="inlineStr">
        <is>
          <t>D_benefits</t>
        </is>
      </c>
      <c r="B231" s="2" t="inlineStr">
        <is>
          <t>6b. Benefit - Global - Vessel</t>
        </is>
      </c>
      <c r="C231" s="2" t="inlineStr">
        <is>
          <t>n/a</t>
        </is>
      </c>
      <c r="D231" s="2" t="inlineStr">
        <is>
          <t>Social cost of carbon (context; not used in workbook)</t>
        </is>
      </c>
      <c r="E231" s="2" t="inlineStr"/>
      <c r="F231" s="2" t="inlineStr">
        <is>
          <t>$/tCO2</t>
        </is>
      </c>
      <c r="G231" s="2" t="inlineStr"/>
      <c r="H231" s="2" t="inlineStr">
        <is>
          <t>EPA23</t>
        </is>
      </c>
      <c r="I231" s="2" t="inlineStr">
        <is>
          <t>US EPA (2023). Report on the Social Cost of Greenhouse Gases: Estimates Incorporating Recent Scientific Advances (Table ES.1). Live EPA page now 404; read via Wayback snapshot 2024-12-30.</t>
        </is>
      </c>
      <c r="J231" s="2" t="inlineStr"/>
      <c r="K231" s="8" t="inlineStr">
        <is>
          <t>https://web.archive.org/web/20241230213521/https://www.epa.gov/system/files/documents/2023-12/epa_scghg_2023_report_final.pdf</t>
        </is>
      </c>
      <c r="L231" s="2" t="n">
        <v>200</v>
      </c>
      <c r="M231" s="2" t="inlineStr">
        <is>
          <t>Table ES.1</t>
        </is>
      </c>
      <c r="N231" s="2" t="inlineStr">
        <is>
          <t>full text</t>
        </is>
      </c>
      <c r="O231" s="2" t="n">
        <v>190</v>
      </c>
      <c r="P231" s="2" t="inlineStr">
        <is>
          <t>point</t>
        </is>
      </c>
      <c r="Q231" s="2" t="n">
        <v>120</v>
      </c>
      <c r="R231" s="2" t="n">
        <v>340</v>
      </c>
      <c r="S231" s="2" t="inlineStr">
        <is>
          <t>range stated</t>
        </is>
      </c>
      <c r="T231" s="2" t="inlineStr">
        <is>
          <t>Averaged over 3 damage modules; 2020 emissions, 2020$</t>
        </is>
      </c>
      <c r="U231" s="2" t="inlineStr">
        <is>
          <t>$190 at 2.0% near-term rate; $120 at 2.5%; $340 at 1.5%.</t>
        </is>
      </c>
      <c r="V231" s="6" t="inlineStr">
        <is>
          <t>no comparable value</t>
        </is>
      </c>
      <c r="W231" s="2" t="inlineStr">
        <is>
          <t>n/a</t>
        </is>
      </c>
      <c r="X231" s="2" t="inlineStr">
        <is>
          <t>high</t>
        </is>
      </c>
      <c r="Y231" s="2" t="inlineStr">
        <is>
          <t>Live EPA pages now 404; archived copy read.</t>
        </is>
      </c>
    </row>
    <row r="232">
      <c r="A232" s="4" t="inlineStr">
        <is>
          <t>D_benefits</t>
        </is>
      </c>
      <c r="B232" s="2" t="inlineStr">
        <is>
          <t>6b. Benefit - Global - Vessel</t>
        </is>
      </c>
      <c r="C232" s="2" t="inlineStr">
        <is>
          <t>n/a</t>
        </is>
      </c>
      <c r="D232" s="2" t="inlineStr">
        <is>
          <t>Social cost of carbon (context)</t>
        </is>
      </c>
      <c r="E232" s="2" t="inlineStr"/>
      <c r="F232" s="2" t="inlineStr">
        <is>
          <t>$/tCO2</t>
        </is>
      </c>
      <c r="G232" s="2" t="inlineStr"/>
      <c r="H232" s="2" t="inlineStr">
        <is>
          <t>IWG21</t>
        </is>
      </c>
      <c r="I232" s="2" t="inlineStr">
        <is>
          <t>Interagency Working Group on Social Cost of Greenhouse Gases (2021). Technical Support Document: Social Cost of Carbon, Methane, and Nitrous Oxide, Interim Estimates under EO 13990, Table ES-1. Live whitehouse.gov URL 404; read via Wayback.</t>
        </is>
      </c>
      <c r="J232" s="2" t="inlineStr"/>
      <c r="K232" s="8" t="inlineStr">
        <is>
          <t>https://web.archive.org/web/20241230213156/https://www.whitehouse.gov/wp-content/uploads/2021/02/TechnicalSupportDocument_SocialCostofCarbonMethaneNitrousOxide.pdf</t>
        </is>
      </c>
      <c r="L232" s="2" t="n">
        <v>200</v>
      </c>
      <c r="M232" s="2" t="inlineStr">
        <is>
          <t>Table ES-1</t>
        </is>
      </c>
      <c r="N232" s="2" t="inlineStr">
        <is>
          <t>full text</t>
        </is>
      </c>
      <c r="O232" s="2" t="n">
        <v>51</v>
      </c>
      <c r="P232" s="2" t="inlineStr">
        <is>
          <t>mean</t>
        </is>
      </c>
      <c r="Q232" s="2" t="n">
        <v>14</v>
      </c>
      <c r="R232" s="2" t="n">
        <v>152</v>
      </c>
      <c r="S232" s="2" t="inlineStr">
        <is>
          <t>range stated</t>
        </is>
      </c>
      <c r="T232" s="2" t="inlineStr">
        <is>
          <t>DICE, PAGE, FUND; 2020 emissions, 2020$</t>
        </is>
      </c>
      <c r="U232" s="2" t="inlineStr">
        <is>
          <t>$51 at 3% (average); $14 at 5%; $76 at 2.5%; $152 = 95th percentile at 3%.</t>
        </is>
      </c>
      <c r="V232" s="6" t="inlineStr">
        <is>
          <t>no comparable value</t>
        </is>
      </c>
      <c r="W232" s="2" t="inlineStr">
        <is>
          <t>n/a</t>
        </is>
      </c>
      <c r="X232" s="2" t="inlineStr">
        <is>
          <t>high</t>
        </is>
      </c>
      <c r="Y232" s="2" t="inlineStr"/>
    </row>
    <row r="233">
      <c r="A233" s="4" t="inlineStr">
        <is>
          <t>D_benefits</t>
        </is>
      </c>
      <c r="B233" s="2" t="inlineStr">
        <is>
          <t>6b. Benefit - Global - Vessel</t>
        </is>
      </c>
      <c r="C233" s="2" t="inlineStr">
        <is>
          <t>n/a</t>
        </is>
      </c>
      <c r="D233" s="2" t="inlineStr">
        <is>
          <t>Social cost of carbon (context)</t>
        </is>
      </c>
      <c r="E233" s="2" t="inlineStr"/>
      <c r="F233" s="2" t="inlineStr">
        <is>
          <t>$/tCO2</t>
        </is>
      </c>
      <c r="G233" s="2" t="inlineStr"/>
      <c r="H233" s="2" t="inlineStr">
        <is>
          <t>Rennert22</t>
        </is>
      </c>
      <c r="I233" s="2" t="inlineStr">
        <is>
          <t>Rennert, K., Errickson, F., Prest, B.C., Rennels, L. et al. (2022). Comprehensive evidence implies a higher social cost of CO2. Nature 610:687-692.</t>
        </is>
      </c>
      <c r="J233" s="2" t="inlineStr">
        <is>
          <t>10.1038/s41586-022-05224-9</t>
        </is>
      </c>
      <c r="K233" s="8" t="inlineStr">
        <is>
          <t>https://doi.org/10.1038/s41586-022-05224-9</t>
        </is>
      </c>
      <c r="L233" s="2" t="n">
        <v>200</v>
      </c>
      <c r="M233" s="2" t="inlineStr">
        <is>
          <t>Abstract</t>
        </is>
      </c>
      <c r="N233" s="2" t="inlineStr">
        <is>
          <t>abstract only</t>
        </is>
      </c>
      <c r="O233" s="2" t="n">
        <v>185</v>
      </c>
      <c r="P233" s="2" t="inlineStr">
        <is>
          <t>mean</t>
        </is>
      </c>
      <c r="Q233" s="2" t="n">
        <v>44</v>
      </c>
      <c r="R233" s="2" t="n">
        <v>413</v>
      </c>
      <c r="S233" s="2" t="inlineStr">
        <is>
          <t>5-95%</t>
        </is>
      </c>
      <c r="T233" s="2" t="inlineStr">
        <is>
          <t>GIVE model, probabilistic</t>
        </is>
      </c>
      <c r="U233" s="2" t="inlineStr">
        <is>
          <t>$185/tCO2 mean (5-95%: $44-$413), 2% near-term discount rate, 2020$.</t>
        </is>
      </c>
      <c r="V233" s="6" t="inlineStr">
        <is>
          <t>no comparable value</t>
        </is>
      </c>
      <c r="W233" s="2" t="inlineStr">
        <is>
          <t>n/a</t>
        </is>
      </c>
      <c r="X233" s="2" t="inlineStr">
        <is>
          <t>high</t>
        </is>
      </c>
      <c r="Y233" s="2" t="inlineStr"/>
    </row>
    <row r="234">
      <c r="A234" s="4" t="inlineStr">
        <is>
          <t>D_benefits</t>
        </is>
      </c>
      <c r="B234" s="2" t="inlineStr">
        <is>
          <t>5c. Benefit - Local - Reef</t>
        </is>
      </c>
      <c r="C234" s="2" t="inlineStr">
        <is>
          <t>D28</t>
        </is>
      </c>
      <c r="D234" s="2" t="inlineStr">
        <is>
          <t>Discount rate (workbook applies none to reef value)</t>
        </is>
      </c>
      <c r="E234" s="2" t="inlineStr">
        <is>
          <t>none</t>
        </is>
      </c>
      <c r="F234" s="2" t="inlineStr">
        <is>
          <t>%</t>
        </is>
      </c>
      <c r="G234" s="2" t="inlineStr">
        <is>
          <t>A$95B already blends present + future value; no further discounting.</t>
        </is>
      </c>
      <c r="H234" s="2" t="inlineStr">
        <is>
          <t>Deloitte17</t>
        </is>
      </c>
      <c r="I234" s="2" t="inlineStr">
        <is>
          <t>Deloitte Access Economics (2017). At what price? The economic, social and icon value of the Great Barrier Reef. Great Barrier Reef Foundation.</t>
        </is>
      </c>
      <c r="J234" s="2" t="inlineStr"/>
      <c r="K234" s="8" t="inlineStr">
        <is>
          <t>https://www.deloitte.com/content/dam/assets-zone1/au/en/docs/services/economics/deloitte-au-economics-great-barrier-reef-230617.pdf</t>
        </is>
      </c>
      <c r="L234" s="2" t="n">
        <v>200</v>
      </c>
      <c r="M234" s="2" t="inlineStr">
        <is>
          <t>p.39 (printed)</t>
        </is>
      </c>
      <c r="N234" s="2" t="inlineStr">
        <is>
          <t>full text</t>
        </is>
      </c>
      <c r="O234" s="2" t="n">
        <v>3.7</v>
      </c>
      <c r="P234" s="2" t="inlineStr">
        <is>
          <t>point</t>
        </is>
      </c>
      <c r="Q234" s="2" t="n"/>
      <c r="R234" s="2" t="n"/>
      <c r="S234" s="2" t="inlineStr">
        <is>
          <t>range stated</t>
        </is>
      </c>
      <c r="T234" s="2" t="inlineStr">
        <is>
          <t>Social discount rate used for 33-yr NPV</t>
        </is>
      </c>
      <c r="U234" s="2" t="inlineStr">
        <is>
          <t>Deloitte 2017 discounts at 3.7%; EPA 2023 SC-GHG uses 1.5-2.5% near-term rates.</t>
        </is>
      </c>
      <c r="V234" s="6" t="inlineStr">
        <is>
          <t>no comparable value</t>
        </is>
      </c>
      <c r="W234" s="2" t="inlineStr">
        <is>
          <t>n/a</t>
        </is>
      </c>
      <c r="X234" s="2" t="inlineStr">
        <is>
          <t>medium</t>
        </is>
      </c>
      <c r="Y234" s="2" t="inlineStr">
        <is>
          <t>Not discounting a stock that is already an NPV is consistent; the problem is treating 20% of the stock as a per-event loss (see B32).</t>
        </is>
      </c>
    </row>
    <row r="235">
      <c r="A235" s="4" t="inlineStr">
        <is>
          <t>E_claims_refs</t>
        </is>
      </c>
      <c r="B235" s="2" t="inlineStr">
        <is>
          <t>Overview</t>
        </is>
      </c>
      <c r="C235" s="2" t="inlineStr">
        <is>
          <t>A10 (also README 'How the workbook is organized', tab 1 row)</t>
        </is>
      </c>
      <c r="D235" s="2" t="inlineStr">
        <is>
          <t>CLAIM: CCN product = 30-1000 nm particles ('Harrison 2025 convention')</t>
        </is>
      </c>
      <c r="E235" s="2" t="inlineStr">
        <is>
          <t>30-1000 nm dry diameter</t>
        </is>
      </c>
      <c r="F235" s="2" t="inlineStr">
        <is>
          <t>nm</t>
        </is>
      </c>
      <c r="G235" s="2" t="inlineStr">
        <is>
          <t>Harrison 2025 (doi:10.1039/d5ea00073d)</t>
        </is>
      </c>
      <c r="H235" s="2" t="inlineStr">
        <is>
          <t>Harrison 2025</t>
        </is>
      </c>
      <c r="I235" s="2" t="inlineStr">
        <is>
          <t>Harrison, Medcraft &amp; Harrison (2025) Environ. Sci.: Atmos. 5(10):1071-1080</t>
        </is>
      </c>
      <c r="J235" s="2" t="inlineStr">
        <is>
          <t>10.1039/d5ea00073d</t>
        </is>
      </c>
      <c r="K235" s="8" t="inlineStr">
        <is>
          <t>https://doi.org/10.1039/d5ea00073d</t>
        </is>
      </c>
      <c r="L235" s="2" t="n">
        <v>403</v>
      </c>
      <c r="M235" s="2" t="inlineStr">
        <is>
          <t>not located</t>
        </is>
      </c>
      <c r="N235" s="2" t="inlineStr">
        <is>
          <t>paywalled, from secondary</t>
        </is>
      </c>
      <c r="O235" s="2" t="n"/>
      <c r="P235" s="2" t="inlineStr"/>
      <c r="Q235" s="2" t="n"/>
      <c r="R235" s="2" t="n"/>
      <c r="S235" s="2" t="inlineStr"/>
      <c r="T235" s="2" t="inlineStr"/>
      <c r="U235" s="2" t="inlineStr"/>
      <c r="V235" s="6" t="inlineStr">
        <is>
          <t>no comparable value</t>
        </is>
      </c>
      <c r="W235" s="2" t="inlineStr">
        <is>
          <t>neutral</t>
        </is>
      </c>
      <c r="X235" s="2" t="inlineStr">
        <is>
          <t>low</t>
        </is>
      </c>
      <c r="Y235" s="2" t="inlineStr">
        <is>
          <t>Could NOT verify. RSC page returns 403 to scripts (OpenAlex says diamond OA, pdf url also 403); Crossref/OpenAlex abstract is one sentence with no numbers. Did not find the 30-1000 nm window or the ~71% window fraction in any retrievable text. Tried: doi.org, pubs.rsc.org articlepdf, Crossref abstract, OpenAlex abstract, Unpaywall.</t>
        </is>
      </c>
    </row>
    <row r="236">
      <c r="A236" s="4" t="inlineStr">
        <is>
          <t>E_claims_refs</t>
        </is>
      </c>
      <c r="B236" s="2" t="inlineStr">
        <is>
          <t>Overview</t>
        </is>
      </c>
      <c r="C236" s="2" t="inlineStr">
        <is>
          <t>A10</t>
        </is>
      </c>
      <c r="D236" s="2" t="inlineStr">
        <is>
          <t>CLAIM: CCN product = 30-1000 nm particles ('Harrison 2025 convention')</t>
        </is>
      </c>
      <c r="E236" s="2" t="inlineStr">
        <is>
          <t>30-1000 nm</t>
        </is>
      </c>
      <c r="F236" s="2" t="inlineStr">
        <is>
          <t>nm</t>
        </is>
      </c>
      <c r="G236" s="2" t="inlineStr">
        <is>
          <t>Harrison 2025</t>
        </is>
      </c>
      <c r="H236" s="2" t="inlineStr">
        <is>
          <t>RRAP CS-06 2025</t>
        </is>
      </c>
      <c r="I236" s="2" t="inlineStr">
        <is>
          <t>Harrison D.P. et al. (2025) RRAP Cloud and Sky Brightening Development (CS-06) Final Report, June 2025, 56 pp</t>
        </is>
      </c>
      <c r="J236" s="2" t="inlineStr"/>
      <c r="K236" s="8" t="inlineStr">
        <is>
          <t>https://gbrrestoration.org/wp-content/uploads/2026/06/RRAP-CS-06_FINAL-REPORT-2025.pdf</t>
        </is>
      </c>
      <c r="L236" s="2" t="n">
        <v>200</v>
      </c>
      <c r="M236" s="2" t="inlineStr">
        <is>
          <t>Fig. 5 caption, p.12 (TOC line 'Green shading indicates a MCB target range of 30-800 nm dry diameter'); p.24 table: 2020 trial 'mode dry aerosol diameter around 40 nm'</t>
        </is>
      </c>
      <c r="N236" s="2" t="inlineStr">
        <is>
          <t>full text</t>
        </is>
      </c>
      <c r="O236" s="2" t="n">
        <v>800</v>
      </c>
      <c r="P236" s="2" t="inlineStr">
        <is>
          <t>point</t>
        </is>
      </c>
      <c r="Q236" s="2" t="n">
        <v>30</v>
      </c>
      <c r="R236" s="2" t="n">
        <v>800</v>
      </c>
      <c r="S236" s="2" t="inlineStr">
        <is>
          <t>range stated</t>
        </is>
      </c>
      <c r="T236" s="2" t="inlineStr">
        <is>
          <t>1 report (same research group as Harrison 2025)</t>
        </is>
      </c>
      <c r="U236" s="2" t="inlineStr">
        <is>
          <t>Upper edge of the same group's own target window is 800 nm, not 1000. Count mode ~40 nm.</t>
        </is>
      </c>
      <c r="V236" s="5" t="inlineStr">
        <is>
          <t>above range</t>
        </is>
      </c>
      <c r="W236" s="2" t="inlineStr">
        <is>
          <t>yes</t>
        </is>
      </c>
      <c r="X236" s="2" t="inlineStr">
        <is>
          <t>high</t>
        </is>
      </c>
      <c r="Y236" s="2" t="inlineStr">
        <is>
          <t>Workbook cell D9 on tab 1 already acknowledges the 30-800 nm figure. Upper bound only changes counts by a small amount (tail), so low impact. Source of the mismatch is the group's own documents, not the workbook.</t>
        </is>
      </c>
    </row>
    <row r="237">
      <c r="A237" s="4" t="inlineStr">
        <is>
          <t>E_claims_refs</t>
        </is>
      </c>
      <c r="B237" s="2" t="inlineStr">
        <is>
          <t>Overview</t>
        </is>
      </c>
      <c r="C237" s="2" t="inlineStr">
        <is>
          <t>A10</t>
        </is>
      </c>
      <c r="D237" s="2" t="inlineStr">
        <is>
          <t>CLAIM: CCN product = 30-1000 nm particles ('Harrison 2025 convention')</t>
        </is>
      </c>
      <c r="E237" s="2" t="inlineStr">
        <is>
          <t>30-1000 nm (lower edge 30 nm counted as CCN)</t>
        </is>
      </c>
      <c r="F237" s="2" t="inlineStr">
        <is>
          <t>nm</t>
        </is>
      </c>
      <c r="G237" s="2" t="inlineStr">
        <is>
          <t>Harrison 2025</t>
        </is>
      </c>
      <c r="H237" s="2" t="inlineStr">
        <is>
          <t>Hirasawa 2026 preprint</t>
        </is>
      </c>
      <c r="I237" s="2" t="inlineStr">
        <is>
          <t>Hirasawa et al. (2026) On the Range of Marine Cloud Brightening Radiative Forcing across Earth System Models. EGUsphere-2026-5460 (discussion started 21 Sep 2026)</t>
        </is>
      </c>
      <c r="J237" s="2" t="inlineStr">
        <is>
          <t>10.5194/egusphere-2026-5460</t>
        </is>
      </c>
      <c r="K237" s="8" t="inlineStr">
        <is>
          <t>https://doi.org/10.5194/egusphere-2026-5460</t>
        </is>
      </c>
      <c r="L237" s="2" t="n">
        <v>200</v>
      </c>
      <c r="M237" s="2" t="inlineStr">
        <is>
          <t>Sec 2.2 text near line 'S = 0.1% corresponds to a critical radius of ~56 nm' (p.~9); Table 1</t>
        </is>
      </c>
      <c r="N237" s="2" t="inlineStr">
        <is>
          <t>full text</t>
        </is>
      </c>
      <c r="O237" s="2" t="n">
        <v>112</v>
      </c>
      <c r="P237" s="2" t="inlineStr">
        <is>
          <t>point</t>
        </is>
      </c>
      <c r="Q237" s="2" t="n">
        <v>112</v>
      </c>
      <c r="R237" s="2" t="n">
        <v>112</v>
      </c>
      <c r="S237" s="2" t="inlineStr">
        <is>
          <t>range stated</t>
        </is>
      </c>
      <c r="T237" s="2" t="inlineStr">
        <is>
          <t>1 model-comparison paper, S=0.1%</t>
        </is>
      </c>
      <c r="U237" s="2" t="inlineStr">
        <is>
          <t>Critical radius ~56 nm at S=0.1% = ~112 nm diameter (derived x2). Model CCN fractions of emitted iSSA at S=0.1%: 0.131-0.805 across 9 configs.</t>
        </is>
      </c>
      <c r="V237" s="5" t="inlineStr">
        <is>
          <t>below range</t>
        </is>
      </c>
      <c r="W237" s="2" t="inlineStr">
        <is>
          <t>yes</t>
        </is>
      </c>
      <c r="X237" s="2" t="inlineStr">
        <is>
          <t>medium</t>
        </is>
      </c>
      <c r="Y237" s="2" t="inlineStr">
        <is>
          <t>Counting everything 30-1000 nm as CCN is a lower cutoff than activation diameters in the literature at typical marine supersaturations. Workbook D9 says 'No separate activation cut (would double-count)' but also separately says ERL found 50 nm activates at 0.5% SS and 73 nm at 0.2% SS (unverified, ERL full text not retrieved). If ~40 nm is the count mode, a large share of counted particles may sit below the activation diameter. Not adjusted by plume survival either (survival is a transport loss, not an activation cut). Flag for the physics group.</t>
        </is>
      </c>
    </row>
    <row r="238">
      <c r="A238" s="4" t="inlineStr">
        <is>
          <t>E_claims_refs</t>
        </is>
      </c>
      <c r="B238" s="2" t="inlineStr">
        <is>
          <t>Overview</t>
        </is>
      </c>
      <c r="C238" s="2" t="inlineStr">
        <is>
          <t>A10</t>
        </is>
      </c>
      <c r="D238" s="2" t="inlineStr">
        <is>
          <t>CLAIM: CCN product = 30-1000 nm particles ('Harrison 2025 convention')</t>
        </is>
      </c>
      <c r="E238" s="2" t="inlineStr">
        <is>
          <t>30-1000 nm</t>
        </is>
      </c>
      <c r="F238" s="2" t="inlineStr">
        <is>
          <t>nm</t>
        </is>
      </c>
      <c r="G238" s="2" t="inlineStr"/>
      <c r="H238" s="2" t="inlineStr">
        <is>
          <t>Hernandez-Jaramillo 2025a (Front. Mar. Sci.)</t>
        </is>
      </c>
      <c r="I238" s="2" t="inlineStr">
        <is>
          <t>Hernandez-Jaramillo, Kelaher &amp; Harrison (2025) Front. Mar. Sci. 12:1450175</t>
        </is>
      </c>
      <c r="J238" s="2" t="inlineStr">
        <is>
          <t>10.3389/fmars.2025.1450175</t>
        </is>
      </c>
      <c r="K238" s="8" t="inlineStr">
        <is>
          <t>https://doi.org/10.3389/fmars.2025.1450175</t>
        </is>
      </c>
      <c r="L238" s="2" t="n">
        <v>200</v>
      </c>
      <c r="M238" s="2" t="inlineStr">
        <is>
          <t>Intro/Sec 1 (lines ~92, 277, 296-314): 'particles with a mean diameter of 30-60 nm are most...'; 'salt particles within 30-100 nm median dry diameter'; 'optimal dry size range of 30-60 nm proposed by Wood (2021)'</t>
        </is>
      </c>
      <c r="N238" s="2" t="inlineStr">
        <is>
          <t>full text</t>
        </is>
      </c>
      <c r="O238" s="2" t="n">
        <v>45</v>
      </c>
      <c r="P238" s="2" t="inlineStr">
        <is>
          <t>point</t>
        </is>
      </c>
      <c r="Q238" s="2" t="n">
        <v>30</v>
      </c>
      <c r="R238" s="2" t="n">
        <v>100</v>
      </c>
      <c r="S238" s="2" t="inlineStr">
        <is>
          <t>range stated</t>
        </is>
      </c>
      <c r="T238" s="2" t="inlineStr">
        <is>
          <t>review of several studies (Wood 2021, others)</t>
        </is>
      </c>
      <c r="U238" s="2" t="inlineStr">
        <is>
          <t>Optimal MCB seed size reported as 30-60 nm (Wood 2021) or 30-100 nm median in other studies; this is a recommended median size, not a counting window.</t>
        </is>
      </c>
      <c r="V238" s="6" t="inlineStr">
        <is>
          <t>no comparable value</t>
        </is>
      </c>
      <c r="W238" s="2" t="inlineStr">
        <is>
          <t>neutral</t>
        </is>
      </c>
      <c r="X238" s="2" t="inlineStr">
        <is>
          <t>medium</t>
        </is>
      </c>
      <c r="Y238" s="2" t="inlineStr">
        <is>
          <t>Context: workbook tab 6a restates model tonnages at 'our 150 nm' (A3), larger than the 30-100 nm optimum cited in this review. Different quantity (design diameter vs counting window) so not directly comparable. The 45 is midpoint of 30-60 for display only.</t>
        </is>
      </c>
    </row>
    <row r="239">
      <c r="A239" s="4" t="inlineStr">
        <is>
          <t>E_claims_refs</t>
        </is>
      </c>
      <c r="B239" s="2" t="inlineStr">
        <is>
          <t>Overview</t>
        </is>
      </c>
      <c r="C239" s="2" t="inlineStr">
        <is>
          <t>A6; README intro ('The foundation is the numbers from Daniel Harrison's prototype on the Great Barrier Reef')</t>
        </is>
      </c>
      <c r="D239" s="2" t="inlineStr">
        <is>
          <t>CLAIM: foundation = 'exact numbers' from Harrison prototype (per-nozzle droplet output)</t>
        </is>
      </c>
      <c r="E239" s="2" t="inlineStr">
        <is>
          <t>~1.73e12 droplets/s per nozzle (tab 1 D8 note, as cited from Harrison 2025); 814 nozzles x 1.73e12 x ~0.71 window = ~1e15 CCN/s</t>
        </is>
      </c>
      <c r="F239" s="2" t="inlineStr">
        <is>
          <t>droplets/s/nozzle</t>
        </is>
      </c>
      <c r="G239" s="2" t="inlineStr">
        <is>
          <t>Harrison 2025</t>
        </is>
      </c>
      <c r="H239" s="2" t="inlineStr">
        <is>
          <t>Harrison 2025</t>
        </is>
      </c>
      <c r="I239" s="2" t="inlineStr">
        <is>
          <t>Harrison, Medcraft &amp; Harrison (2025) Environ. Sci.: Atmos. 5(10):1071-1080</t>
        </is>
      </c>
      <c r="J239" s="2" t="inlineStr">
        <is>
          <t>10.1039/d5ea00073d</t>
        </is>
      </c>
      <c r="K239" s="8" t="inlineStr">
        <is>
          <t>https://doi.org/10.1039/d5ea00073d</t>
        </is>
      </c>
      <c r="L239" s="2" t="n">
        <v>403</v>
      </c>
      <c r="M239" s="2" t="inlineStr">
        <is>
          <t>not located</t>
        </is>
      </c>
      <c r="N239" s="2" t="inlineStr">
        <is>
          <t>paywalled, from secondary</t>
        </is>
      </c>
      <c r="O239" s="2" t="n"/>
      <c r="P239" s="2" t="inlineStr"/>
      <c r="Q239" s="2" t="n"/>
      <c r="R239" s="2" t="n"/>
      <c r="S239" s="2" t="inlineStr"/>
      <c r="T239" s="2" t="inlineStr"/>
      <c r="U239" s="2" t="inlineStr"/>
      <c r="V239" s="6" t="inlineStr">
        <is>
          <t>no comparable value</t>
        </is>
      </c>
      <c r="W239" s="2" t="inlineStr">
        <is>
          <t>neutral</t>
        </is>
      </c>
      <c r="X239" s="2" t="inlineStr">
        <is>
          <t>low</t>
        </is>
      </c>
      <c r="Y239" s="2" t="inlineStr">
        <is>
          <t>Source number not independently verified (paper blocked). Cross-checks below are from the same group's other documents.</t>
        </is>
      </c>
    </row>
    <row r="240">
      <c r="A240" s="4" t="inlineStr">
        <is>
          <t>E_claims_refs</t>
        </is>
      </c>
      <c r="B240" s="2" t="inlineStr">
        <is>
          <t>Overview</t>
        </is>
      </c>
      <c r="C240" s="2" t="inlineStr">
        <is>
          <t>A6</t>
        </is>
      </c>
      <c r="D240" s="2" t="inlineStr">
        <is>
          <t>CLAIM: foundation = 'exact numbers' from Harrison prototype (per-nozzle droplet output)</t>
        </is>
      </c>
      <c r="E240" s="2" t="inlineStr">
        <is>
          <t>1.73e12 per nozzle</t>
        </is>
      </c>
      <c r="F240" s="2" t="inlineStr">
        <is>
          <t>droplets/s/nozzle</t>
        </is>
      </c>
      <c r="G240" s="2" t="inlineStr">
        <is>
          <t>Harrison 2025</t>
        </is>
      </c>
      <c r="H240" s="2" t="inlineStr">
        <is>
          <t>RRAP CS-06 2025</t>
        </is>
      </c>
      <c r="I240" s="2" t="inlineStr">
        <is>
          <t>Harrison D.P. et al. (2025) RRAP Cloud and Sky Brightening Development (CS-06) Final Report, June 2025, 56 pp</t>
        </is>
      </c>
      <c r="J240" s="2" t="inlineStr"/>
      <c r="K240" s="8" t="inlineStr">
        <is>
          <t>https://gbrrestoration.org/wp-content/uploads/2026/06/RRAP-CS-06_FINAL-REPORT-2025.pdf</t>
        </is>
      </c>
      <c r="L240" s="2" t="n">
        <v>200</v>
      </c>
      <c r="M240" s="2" t="inlineStr">
        <is>
          <t>p.24 table: '2.7 x 10^14 droplets per second' from '100 nozzle fan driven array' (2020 sea trial)</t>
        </is>
      </c>
      <c r="N240" s="2" t="inlineStr">
        <is>
          <t>full text</t>
        </is>
      </c>
      <c r="O240" s="2" t="n">
        <v>2700000000000</v>
      </c>
      <c r="P240" s="2" t="inlineStr">
        <is>
          <t>point</t>
        </is>
      </c>
      <c r="Q240" s="2" t="n"/>
      <c r="R240" s="2" t="n"/>
      <c r="S240" s="2" t="inlineStr">
        <is>
          <t>range stated</t>
        </is>
      </c>
      <c r="T240" s="2" t="inlineStr">
        <is>
          <t>1 field trial, 100 nozzles</t>
        </is>
      </c>
      <c r="U240" s="2" t="inlineStr">
        <is>
          <t>2.7e14/100 = 2.7e12 per nozzle (derived arithmetic). Trial used a fan-driven array, estimated not measured per nozzle.</t>
        </is>
      </c>
      <c r="V240" s="7" t="inlineStr">
        <is>
          <t>within</t>
        </is>
      </c>
      <c r="W240" s="2" t="inlineStr">
        <is>
          <t>neutral</t>
        </is>
      </c>
      <c r="X240" s="2" t="inlineStr">
        <is>
          <t>medium</t>
        </is>
      </c>
      <c r="Y240" s="2" t="inlineStr">
        <is>
          <t>Derived. Same order as 1.73e12 (1.6x higher).</t>
        </is>
      </c>
    </row>
    <row r="241">
      <c r="A241" s="4" t="inlineStr">
        <is>
          <t>E_claims_refs</t>
        </is>
      </c>
      <c r="B241" s="2" t="inlineStr">
        <is>
          <t>Overview</t>
        </is>
      </c>
      <c r="C241" s="2" t="inlineStr">
        <is>
          <t>A6</t>
        </is>
      </c>
      <c r="D241" s="2" t="inlineStr">
        <is>
          <t>CLAIM: foundation = 'exact numbers' from Harrison prototype (per-nozzle droplet output)</t>
        </is>
      </c>
      <c r="E241" s="2" t="inlineStr">
        <is>
          <t>1.73e12 per nozzle; 1e15/s total</t>
        </is>
      </c>
      <c r="F241" s="2" t="inlineStr">
        <is>
          <t>particles/s</t>
        </is>
      </c>
      <c r="G241" s="2" t="inlineStr">
        <is>
          <t>Harrison 2025; ERL 2025</t>
        </is>
      </c>
      <c r="H241" s="2" t="inlineStr">
        <is>
          <t>Hernandez-Jaramillo 2025 (ERL)</t>
        </is>
      </c>
      <c r="I241" s="2" t="inlineStr">
        <is>
          <t>Hernandez-Jaramillo et al. (2025) Environ. Res. Lett. 20(5):054065</t>
        </is>
      </c>
      <c r="J241" s="2" t="inlineStr">
        <is>
          <t>10.1088/1748-9326/adccd7</t>
        </is>
      </c>
      <c r="K241" s="8" t="inlineStr">
        <is>
          <t>https://doi.org/10.1088/1748-9326/adccd7</t>
        </is>
      </c>
      <c r="L241" s="2" t="n">
        <v>200</v>
      </c>
      <c r="M241" s="2" t="inlineStr">
        <is>
          <t>Abstract: 'estimated surface level aerosol production rate of 4 x 10^14 s-1'; workbook quotes p.2 '320 effervescent nozzles ... 68 ml/s' (not verified, full text blocked)</t>
        </is>
      </c>
      <c r="N241" s="2" t="inlineStr">
        <is>
          <t>abstract only</t>
        </is>
      </c>
      <c r="O241" s="2" t="n">
        <v>400000000000000</v>
      </c>
      <c r="P241" s="2" t="inlineStr">
        <is>
          <t>point</t>
        </is>
      </c>
      <c r="Q241" s="2" t="n"/>
      <c r="R241" s="2" t="n"/>
      <c r="S241" s="2" t="inlineStr">
        <is>
          <t>range stated</t>
        </is>
      </c>
      <c r="T241" s="2" t="inlineStr">
        <is>
          <t>1 field trial (2 aircraft sampling strategies)</t>
        </is>
      </c>
      <c r="U241" s="2" t="inlineStr">
        <is>
          <t>If 320 nozzles (workbook-quoted, unverified) then 4e14/320 = 1.25e12 per nozzle (derived).</t>
        </is>
      </c>
      <c r="V241" s="7" t="inlineStr">
        <is>
          <t>within</t>
        </is>
      </c>
      <c r="W241" s="2" t="inlineStr">
        <is>
          <t>neutral</t>
        </is>
      </c>
      <c r="X241" s="2" t="inlineStr">
        <is>
          <t>medium</t>
        </is>
      </c>
      <c r="Y241" s="2" t="inlineStr">
        <is>
          <t>Real field production was 4e14/s, i.e. 2.5x below the ~1e15/s the workbook tab 1 designs a vessel around. Tab 1 sizes to 1e15/s with 814 nozzles. Abstract also: plume detected just below cloud base at 700-900 m, peak ~1e3 cm-3.</t>
        </is>
      </c>
    </row>
    <row r="242">
      <c r="A242" s="4" t="inlineStr">
        <is>
          <t>E_claims_refs</t>
        </is>
      </c>
      <c r="B242" s="2" t="inlineStr">
        <is>
          <t>Overview</t>
        </is>
      </c>
      <c r="C242" s="2" t="inlineStr">
        <is>
          <t>A6</t>
        </is>
      </c>
      <c r="D242" s="2" t="inlineStr">
        <is>
          <t>CLAIM: foundation = 'exact numbers' from Harrison prototype (power, energy per particle)</t>
        </is>
      </c>
      <c r="E242" s="2" t="inlineStr">
        <is>
          <t>512 W/nozzle; scale check 320 kW for 1e15/s</t>
        </is>
      </c>
      <c r="F242" s="2" t="inlineStr">
        <is>
          <t>kW per 1e15 particles/s</t>
        </is>
      </c>
      <c r="G242" s="2" t="inlineStr">
        <is>
          <t>Harrison 2025; CS-06 p.1</t>
        </is>
      </c>
      <c r="H242" s="2" t="inlineStr">
        <is>
          <t>RRAP CS-06 2025</t>
        </is>
      </c>
      <c r="I242" s="2" t="inlineStr">
        <is>
          <t>Harrison D.P. et al. (2025) RRAP Cloud and Sky Brightening Development (CS-06) Final Report, June 2025, 56 pp</t>
        </is>
      </c>
      <c r="J242" s="2" t="inlineStr"/>
      <c r="K242" s="8" t="inlineStr">
        <is>
          <t>https://gbrrestoration.org/wp-content/uploads/2026/06/RRAP-CS-06_FINAL-REPORT-2025.pdf</t>
        </is>
      </c>
      <c r="L242" s="2" t="n">
        <v>200</v>
      </c>
      <c r="M242" s="2" t="inlineStr">
        <is>
          <t>Executive summary, line: 'The current prototype produces ~10^15 s-1 sea salt aerosols using 320 kilowatts (kW) of energy'</t>
        </is>
      </c>
      <c r="N242" s="2" t="inlineStr">
        <is>
          <t>full text</t>
        </is>
      </c>
      <c r="O242" s="2" t="n">
        <v>320</v>
      </c>
      <c r="P242" s="2" t="inlineStr">
        <is>
          <t>point</t>
        </is>
      </c>
      <c r="Q242" s="2" t="n"/>
      <c r="R242" s="2" t="n"/>
      <c r="S242" s="2" t="inlineStr">
        <is>
          <t>range stated</t>
        </is>
      </c>
      <c r="T242" s="2" t="inlineStr">
        <is>
          <t>1 report statement</t>
        </is>
      </c>
      <c r="U242" s="2" t="inlineStr">
        <is>
          <t>Workbook tab 1 uses 417 kW for 814 nozzles x 512 W (Harrison 2025 per F14) vs 320 kW in CS-06. 417/320 = 1.30.</t>
        </is>
      </c>
      <c r="V242" s="5" t="inlineStr">
        <is>
          <t>above range</t>
        </is>
      </c>
      <c r="W242" s="2" t="inlineStr">
        <is>
          <t>no</t>
        </is>
      </c>
      <c r="X242" s="2" t="inlineStr">
        <is>
          <t>medium</t>
        </is>
      </c>
      <c r="Y242" s="2" t="inlineStr">
        <is>
          <t>Workbook energy is ~30% higher than CS-06's stated prototype figure, so it errs against MCB on energy cost. 0.32 W per 1e9 particles/s check reproduces (320000 W / 1e15 x 1e9 = 0.32).</t>
        </is>
      </c>
    </row>
    <row r="243">
      <c r="A243" s="4" t="inlineStr">
        <is>
          <t>E_claims_refs</t>
        </is>
      </c>
      <c r="B243" s="2" t="inlineStr">
        <is>
          <t>Overview</t>
        </is>
      </c>
      <c r="C243" s="2" t="inlineStr">
        <is>
          <t>A6; README 'Every paper the inputs were pulled from' (References row)</t>
        </is>
      </c>
      <c r="D243" s="2" t="inlineStr">
        <is>
          <t>CLAIM: References tab contains 'all the papers that we pulled data from'</t>
        </is>
      </c>
      <c r="E243" s="2" t="inlineStr">
        <is>
          <t>References tab = 14 cited items + 2 supporting + 3 non-academic</t>
        </is>
      </c>
      <c r="F243" s="2" t="inlineStr"/>
      <c r="G243" s="2" t="inlineStr"/>
      <c r="H243" s="2" t="inlineStr">
        <is>
          <t>Workbook cell scan (dump.txt)</t>
        </is>
      </c>
      <c r="I243" s="2" t="inlineStr">
        <is>
          <t>grep of all note cells in workbook for sources named but absent from References tab</t>
        </is>
      </c>
      <c r="J243" s="2" t="inlineStr"/>
      <c r="K243" s="2" t="inlineStr"/>
      <c r="L243" s="2" t="n"/>
      <c r="M243" s="2" t="inlineStr">
        <is>
          <t>see notes</t>
        </is>
      </c>
      <c r="N243" s="2" t="inlineStr">
        <is>
          <t>full text</t>
        </is>
      </c>
      <c r="O243" s="2" t="n"/>
      <c r="P243" s="2" t="inlineStr"/>
      <c r="Q243" s="2" t="n"/>
      <c r="R243" s="2" t="n"/>
      <c r="S243" s="2" t="inlineStr"/>
      <c r="T243" s="2" t="inlineStr"/>
      <c r="U243" s="2" t="inlineStr"/>
      <c r="V243" s="6" t="inlineStr">
        <is>
          <t>no comparable value</t>
        </is>
      </c>
      <c r="W243" s="2" t="inlineStr">
        <is>
          <t>neutral</t>
        </is>
      </c>
      <c r="X243" s="2" t="inlineStr">
        <is>
          <t>high</t>
        </is>
      </c>
      <c r="Y243" s="2" t="inlineStr">
        <is>
          <t>CONTRADICTED. Sources feeding numbers but NOT in the References tab: RRAP CS-07 Fogging report (nozzle $10-$1000, $50/nozzle MeeFog; tab 2 E40/F40, 3a F54), Deloitte Access Economics 2025 'At What Cost?' (A$95B reef value; 5c D27/D31), Harding/Keith/Vecchi/Yang 2024 PNAS (5d B35, benefit:risk 13x), Nordhaus 2017 NBER w22933 (6a B43), Kahn 2021, Bilal &amp; Kanzig 2024 (6a B45), Kotz 2024 (retracted, mentioned), Ghosh et al. 2025 GMD (6a G13), Alphaliner Apr 2026 / Jul 2024 and MDS Transmodal via UNCTAD RMT 2025 (6c B52-B54), Adland PSV (tab 2 E25), Transport Canada BWTS 2015 (tab 2 E42), used Ariel compressor listing (tab 2 E41), Riviera/Clarksons PSV price (tab 2 E44), 'HVAC export cable $0.8-1.5M/km' (3c A2, no source), 13.7 heatwave days/yr (5d D9/G9, citation is blank '()'), UT 755L spec sheet. Several of these drive headline tabs (6b/6c damage functions, 5c reef value, 6c fleet size). Overview also says 'academic sources' but the tab lists a thesis, grey-literature reports, two preprints, a proposal, and websites.</t>
        </is>
      </c>
    </row>
    <row r="244">
      <c r="A244" s="4" t="inlineStr">
        <is>
          <t>E_claims_refs</t>
        </is>
      </c>
      <c r="B244" s="2" t="inlineStr">
        <is>
          <t>Overview</t>
        </is>
      </c>
      <c r="C244" s="2" t="inlineStr">
        <is>
          <t>A6</t>
        </is>
      </c>
      <c r="D244" s="2" t="inlineStr">
        <is>
          <t>CLAIM: gaps 'means we make assumptions, which are not academically sourced'</t>
        </is>
      </c>
      <c r="E244" s="2" t="inlineStr">
        <is>
          <t>(admission)</t>
        </is>
      </c>
      <c r="F244" s="2" t="inlineStr"/>
      <c r="G244" s="2" t="inlineStr"/>
      <c r="H244" s="2" t="inlineStr">
        <is>
          <t>n/a</t>
        </is>
      </c>
      <c r="I244" s="2" t="inlineStr"/>
      <c r="J244" s="2" t="inlineStr"/>
      <c r="K244" s="2" t="inlineStr"/>
      <c r="L244" s="2" t="n"/>
      <c r="M244" s="2" t="inlineStr"/>
      <c r="N244" s="2" t="inlineStr"/>
      <c r="O244" s="2" t="n"/>
      <c r="P244" s="2" t="inlineStr"/>
      <c r="Q244" s="2" t="n"/>
      <c r="R244" s="2" t="n"/>
      <c r="S244" s="2" t="inlineStr"/>
      <c r="T244" s="2" t="inlineStr"/>
      <c r="U244" s="2" t="inlineStr"/>
      <c r="V244" s="2" t="inlineStr">
        <is>
          <t>definitional</t>
        </is>
      </c>
      <c r="W244" s="2" t="inlineStr">
        <is>
          <t>n/a</t>
        </is>
      </c>
      <c r="X244" s="2" t="inlineStr">
        <is>
          <t>high</t>
        </is>
      </c>
      <c r="Y244" s="2" t="inlineStr">
        <is>
          <t>Self-description of limitations; not a factual claim about the world. Consistent with workbook cells labelled 'Assumption' (e.g. tab 2 D56 vessel day rate, G8 on 5d).</t>
        </is>
      </c>
    </row>
    <row r="245">
      <c r="A245" s="4" t="inlineStr">
        <is>
          <t>E_claims_refs</t>
        </is>
      </c>
      <c r="B245" s="2" t="inlineStr">
        <is>
          <t>Overview</t>
        </is>
      </c>
      <c r="C245" s="2" t="inlineStr">
        <is>
          <t>A23 (also README Out of scope)</t>
        </is>
      </c>
      <c r="D245" s="2" t="inlineStr">
        <is>
          <t>CLAIM: scenario of cooling the Great Barrier Reef by 1 C</t>
        </is>
      </c>
      <c r="E245" s="2" t="inlineStr">
        <is>
          <t>1 C reef cooling</t>
        </is>
      </c>
      <c r="F245" s="2" t="inlineStr">
        <is>
          <t>C</t>
        </is>
      </c>
      <c r="G245" s="2" t="inlineStr"/>
      <c r="H245" s="2" t="inlineStr">
        <is>
          <t>Harrison 2019 (RRAP T14)</t>
        </is>
      </c>
      <c r="I245" s="2" t="inlineStr">
        <is>
          <t>Harrison DP et al. (2019) RRAP: Environmental Modelling of Large Scale Solar Radiation Management, Oct 2019, 83 pp</t>
        </is>
      </c>
      <c r="J245" s="2" t="inlineStr"/>
      <c r="K245" s="8" t="inlineStr">
        <is>
          <t>https://gbrrestoration.org/wp-content/uploads/2020/09/T14-Environmental-Modelling-of-Large-Scale-SRM_v3.03-3.pdf</t>
        </is>
      </c>
      <c r="L245" s="2" t="n">
        <v>200</v>
      </c>
      <c r="M245" s="2" t="inlineStr">
        <is>
          <t>Exec summary: 'linear over the range 0 to -35 W m-2, with a cooling of around 0.225 C per 10 W m-2 reduction' (mid-shelf near Cairns); '~6.8% solar reduction -&gt; ~50% (2015/16) and ~65% (2016/17) bleaching-stress reduction, 14 reefs'</t>
        </is>
      </c>
      <c r="N245" s="2" t="inlineStr">
        <is>
          <t>full text</t>
        </is>
      </c>
      <c r="O245" s="2" t="n">
        <v>0.225</v>
      </c>
      <c r="P245" s="2" t="inlineStr">
        <is>
          <t>point</t>
        </is>
      </c>
      <c r="Q245" s="2" t="n">
        <v>0</v>
      </c>
      <c r="R245" s="2" t="n">
        <v>0.7875</v>
      </c>
      <c r="S245" s="2" t="inlineStr">
        <is>
          <t>range stated</t>
        </is>
      </c>
      <c r="T245" s="2" t="inlineStr">
        <is>
          <t>one location (Cairns mid-shelf) for linearity; 14 reefs for bleaching stress</t>
        </is>
      </c>
      <c r="U245" s="2" t="inlineStr">
        <is>
          <t>Linear range tops out at 35 W/m2 =&gt; 0.225*3.5 = 0.79 C max within validated range (derived). 1.0 C would need 44 W/m2 (derived 10/0.225), outside the linear range stated.</t>
        </is>
      </c>
      <c r="V245" s="5" t="inlineStr">
        <is>
          <t>above range</t>
        </is>
      </c>
      <c r="W245" s="2" t="inlineStr">
        <is>
          <t>yes</t>
        </is>
      </c>
      <c r="X245" s="2" t="inlineStr">
        <is>
          <t>medium</t>
        </is>
      </c>
      <c r="Y245" s="2" t="inlineStr">
        <is>
          <t>Only matters if 1 C is used as a modelled target. Overview presents it as an example of what is out of scope, so low impact, but the report supports ~0.2-0.8 C at forcing 10-35 W/m2.</t>
        </is>
      </c>
    </row>
    <row r="246">
      <c r="A246" s="4" t="inlineStr">
        <is>
          <t>E_claims_refs</t>
        </is>
      </c>
      <c r="B246" s="2" t="inlineStr">
        <is>
          <t>Overview</t>
        </is>
      </c>
      <c r="C246" s="2" t="inlineStr">
        <is>
          <t>A18; README tab 6a row</t>
        </is>
      </c>
      <c r="D246" s="2" t="inlineStr">
        <is>
          <t>CLAIM: 6a converts tonnes into global cooling 'via published Earth-system models' (model spread)</t>
        </is>
      </c>
      <c r="E246" s="2" t="inlineStr">
        <is>
          <t>CESM2 12.9, CESM2-Ghosh 7.21, E3SMv2 75.4, UKESM1 95.7 Tg/yr for -2 W/m2 (tab 6a G13 note and rows)</t>
        </is>
      </c>
      <c r="F246" s="2" t="inlineStr">
        <is>
          <t>Tg/yr per -2 W/m2</t>
        </is>
      </c>
      <c r="G246" s="2" t="inlineStr">
        <is>
          <t>Hirasawa 2026 preprint Table 2</t>
        </is>
      </c>
      <c r="H246" s="2" t="inlineStr">
        <is>
          <t>Hirasawa 2026 preprint</t>
        </is>
      </c>
      <c r="I246" s="2" t="inlineStr">
        <is>
          <t>Hirasawa et al. (2026) On the Range of Marine Cloud Brightening Radiative Forcing across Earth System Models. EGUsphere-2026-5460 (discussion started 21 Sep 2026)</t>
        </is>
      </c>
      <c r="J246" s="2" t="inlineStr">
        <is>
          <t>10.5194/egusphere-2026-5460</t>
        </is>
      </c>
      <c r="K246" s="8" t="inlineStr">
        <is>
          <t>https://doi.org/10.5194/egusphere-2026-5460</t>
        </is>
      </c>
      <c r="L246" s="2" t="n">
        <v>200</v>
      </c>
      <c r="M246" s="2" t="inlineStr">
        <is>
          <t>Table 2, 'Mass flux for ERFtot = -2 W m-2' column (and text: 'ranging from 7.21 (CESM2-Ghosh) to 95.7 Tg/yr (UKESM1)')</t>
        </is>
      </c>
      <c r="N246" s="2" t="inlineStr">
        <is>
          <t>full text</t>
        </is>
      </c>
      <c r="O246" s="2" t="n">
        <v>44.2</v>
      </c>
      <c r="P246" s="2" t="inlineStr">
        <is>
          <t>median</t>
        </is>
      </c>
      <c r="Q246" s="2" t="n">
        <v>7.21</v>
      </c>
      <c r="R246" s="2" t="n">
        <v>95.7</v>
      </c>
      <c r="S246" s="2" t="inlineStr">
        <is>
          <t>min-max across studies</t>
        </is>
      </c>
      <c r="T246" s="2" t="inlineStr">
        <is>
          <t>9 configurations excluding GFDL-AM4 (457.1, called erroneously weak ERFaci); mean of the 9 = 46.6 (derived)</t>
        </is>
      </c>
      <c r="U246" s="2" t="inlineStr">
        <is>
          <t>Right-skewed; values: 7.21, 7.62, 12.9, 30.4, 44.2, 59.95, 75.4, 85.73, 95.7. Workbook uses 4 of 10 configs and omits CanAM5-PAM (30.4, 7.62 with adjustments), NorESM2 (85.73), E3SMv2-Ghosh (44.2), UKESM1-Ghosh (59.95).</t>
        </is>
      </c>
      <c r="V246" s="7" t="inlineStr">
        <is>
          <t>within</t>
        </is>
      </c>
      <c r="W246" s="2" t="inlineStr">
        <is>
          <t>neutral</t>
        </is>
      </c>
      <c r="X246" s="2" t="inlineStr">
        <is>
          <t>high</t>
        </is>
      </c>
      <c r="Y246" s="2" t="inlineStr">
        <is>
          <t>Workbook values match Table 2 exactly. Caution: tab 6a cooling for CESM2-Ghosh is built by scaling the J.Climate CESM2 midlatitude cooling by (12.9/7.21)=1.79, a ratio from a different experiment (global ERFtot fit in the preprint). Workbook admits 'scaled, not a simulated run'.</t>
        </is>
      </c>
    </row>
    <row r="247">
      <c r="A247" s="4" t="inlineStr">
        <is>
          <t>E_claims_refs</t>
        </is>
      </c>
      <c r="B247" s="2" t="inlineStr">
        <is>
          <t>Overview</t>
        </is>
      </c>
      <c r="C247" s="2" t="inlineStr">
        <is>
          <t>A18; README tab 6a row</t>
        </is>
      </c>
      <c r="D247" s="2" t="inlineStr">
        <is>
          <t>CLAIM: published ESM emission sizes (CESM2/E3SMv2 90 nm, UKESM1 172 nm)</t>
        </is>
      </c>
      <c r="E247" s="2" t="inlineStr">
        <is>
          <t>90 nm; 172 nm</t>
        </is>
      </c>
      <c r="F247" s="2" t="inlineStr">
        <is>
          <t>nm</t>
        </is>
      </c>
      <c r="G247" s="2" t="inlineStr">
        <is>
          <t>Hirasawa 2026 J. Climate (6a A3)</t>
        </is>
      </c>
      <c r="H247" s="2" t="inlineStr">
        <is>
          <t>Hirasawa 2026 preprint</t>
        </is>
      </c>
      <c r="I247" s="2" t="inlineStr">
        <is>
          <t>Hirasawa et al. (2026) On the Range of Marine Cloud Brightening Radiative Forcing across Earth System Models. EGUsphere-2026-5460 (discussion started 21 Sep 2026)</t>
        </is>
      </c>
      <c r="J247" s="2" t="inlineStr">
        <is>
          <t>10.5194/egusphere-2026-5460</t>
        </is>
      </c>
      <c r="K247" s="8" t="inlineStr">
        <is>
          <t>https://doi.org/10.5194/egusphere-2026-5460</t>
        </is>
      </c>
      <c r="L247" s="2" t="n">
        <v>200</v>
      </c>
      <c r="M247" s="2" t="inlineStr">
        <is>
          <t>Table 1, 'iSSA volume radius' CESM2/E3SMv2 47.1 nm, UKESM1 85.9 nm; CCN fraction at S=0.1% 0.157/0.131/0.805</t>
        </is>
      </c>
      <c r="N247" s="2" t="inlineStr">
        <is>
          <t>full text</t>
        </is>
      </c>
      <c r="O247" s="2" t="n">
        <v>94.2</v>
      </c>
      <c r="P247" s="2" t="inlineStr">
        <is>
          <t>point</t>
        </is>
      </c>
      <c r="Q247" s="2" t="n">
        <v>94.2</v>
      </c>
      <c r="R247" s="2" t="n">
        <v>171.8</v>
      </c>
      <c r="S247" s="2" t="inlineStr">
        <is>
          <t>range stated</t>
        </is>
      </c>
      <c r="T247" s="2" t="inlineStr">
        <is>
          <t>3 models</t>
        </is>
      </c>
      <c r="U247" s="2" t="inlineStr">
        <is>
          <t>Diameters are 2x tabulated volume radii (derived): CESM2/E3SMv2 94.2 nm, UKESM1 171.8 nm.</t>
        </is>
      </c>
      <c r="V247" s="7" t="inlineStr">
        <is>
          <t>within</t>
        </is>
      </c>
      <c r="W247" s="2" t="inlineStr">
        <is>
          <t>neutral</t>
        </is>
      </c>
      <c r="X247" s="2" t="inlineStr">
        <is>
          <t>high</t>
        </is>
      </c>
      <c r="Y247" s="2" t="inlineStr">
        <is>
          <t>Values come from the preprint Table 1, but 6a A3 attributes them to 'J. Climate'. JCLI full text blocked (403); the JCLI abstract does not give sizes. CESM2 90 vs 94.2 is a rounding of -4.5%, which feeds a cubic (d^3) scaling in tab 6a, i.e. ~13% effect on tonnage if the true value is 94.2 (derived: (94.2/90)^3=1.15).</t>
        </is>
      </c>
    </row>
    <row r="248">
      <c r="A248" s="4" t="inlineStr">
        <is>
          <t>E_claims_refs</t>
        </is>
      </c>
      <c r="B248" s="2" t="inlineStr">
        <is>
          <t>2. Cost Inputs</t>
        </is>
      </c>
      <c r="C248" s="2" t="inlineStr">
        <is>
          <t>E40; F40</t>
        </is>
      </c>
      <c r="D248" s="2" t="inlineStr">
        <is>
          <t>REFERENCE AUDIT (cited in notes, NOT in References tab)</t>
        </is>
      </c>
      <c r="E248" s="2" t="inlineStr">
        <is>
          <t>nozzle $10-$1000 each; MeeFog $50/nozzle</t>
        </is>
      </c>
      <c r="F248" s="2" t="inlineStr"/>
      <c r="G248" s="2" t="inlineStr">
        <is>
          <t>RRAP CS-07 Fogging Development Final Report 2025</t>
        </is>
      </c>
      <c r="H248" s="2" t="inlineStr">
        <is>
          <t>RRAP CS-07 Fogging Development Final Report 2025</t>
        </is>
      </c>
      <c r="I248" s="2" t="inlineStr">
        <is>
          <t>RRAP CS-07 Fogging Development Final Report 2025</t>
        </is>
      </c>
      <c r="J248" s="2" t="inlineStr"/>
      <c r="K248" s="8" t="inlineStr">
        <is>
          <t>https://gbrrestoration.org/wp-content/uploads/2026/06/RRAP-CS-07_FINAL-REPORT-2025.pdf</t>
        </is>
      </c>
      <c r="L248" s="2" t="n">
        <v>200</v>
      </c>
      <c r="M248" s="2" t="inlineStr"/>
      <c r="N248" s="2" t="inlineStr">
        <is>
          <t>abstract only</t>
        </is>
      </c>
      <c r="O248" s="2" t="n"/>
      <c r="P248" s="2" t="inlineStr"/>
      <c r="Q248" s="2" t="n"/>
      <c r="R248" s="2" t="n"/>
      <c r="S248" s="2" t="inlineStr"/>
      <c r="T248" s="2" t="inlineStr"/>
      <c r="U248" s="2" t="inlineStr"/>
      <c r="V248" s="6" t="inlineStr">
        <is>
          <t>no comparable value</t>
        </is>
      </c>
      <c r="W248" s="2" t="inlineStr">
        <is>
          <t>n/a</t>
        </is>
      </c>
      <c r="X248" s="2" t="inlineStr">
        <is>
          <t>medium</t>
        </is>
      </c>
      <c r="Y248" s="2" t="inlineStr">
        <is>
          <t>Not in References tab though it sets the nozzle cost bracket on 3a F54 and tab 2. The workbook gives no URL. The URL shown follows the CS-01/CS-06 pattern and returns 200 (pdf); title page reads 'Fogging Development (CS-07) Final Report June 2025' (Harrison, Ristovski, Butcherine et al.). Both quotes VERIFIED in text (copy from another worker): 'range from ~$10 to ~$1000 each' and 'manifold usually costs about US$50 per nozzle'. Grey literature, not peer reviewed.</t>
        </is>
      </c>
    </row>
    <row r="249">
      <c r="A249" s="4" t="inlineStr">
        <is>
          <t>E_claims_refs</t>
        </is>
      </c>
      <c r="B249" s="2" t="inlineStr">
        <is>
          <t>5c. Benefit - Local - Reef</t>
        </is>
      </c>
      <c r="C249" s="2" t="inlineStr">
        <is>
          <t>D27; D31; A31</t>
        </is>
      </c>
      <c r="D249" s="2" t="inlineStr">
        <is>
          <t>REFERENCE AUDIT (cited in notes, NOT in References tab)</t>
        </is>
      </c>
      <c r="E249" s="2" t="inlineStr">
        <is>
          <t>GBR valued A$95B (x0.7 USD/AUD)</t>
        </is>
      </c>
      <c r="F249" s="2" t="inlineStr"/>
      <c r="G249" s="2" t="inlineStr">
        <is>
          <t>Deloitte Access Economics 2025 'At What Cost?'</t>
        </is>
      </c>
      <c r="H249" s="2" t="inlineStr">
        <is>
          <t>Deloitte Access Economics 2025 'At What Cost?'</t>
        </is>
      </c>
      <c r="I249" s="2" t="inlineStr">
        <is>
          <t>Deloitte Access Economics 2025 'At What Cost?'</t>
        </is>
      </c>
      <c r="J249" s="2" t="inlineStr"/>
      <c r="K249" s="2" t="inlineStr"/>
      <c r="L249" s="2" t="n"/>
      <c r="M249" s="2" t="inlineStr"/>
      <c r="N249" s="2" t="inlineStr">
        <is>
          <t>abstract only</t>
        </is>
      </c>
      <c r="O249" s="2" t="n"/>
      <c r="P249" s="2" t="inlineStr"/>
      <c r="Q249" s="2" t="n"/>
      <c r="R249" s="2" t="n"/>
      <c r="S249" s="2" t="inlineStr"/>
      <c r="T249" s="2" t="inlineStr"/>
      <c r="U249" s="2" t="inlineStr"/>
      <c r="V249" s="6" t="inlineStr">
        <is>
          <t>no comparable value</t>
        </is>
      </c>
      <c r="W249" s="2" t="inlineStr">
        <is>
          <t>n/a</t>
        </is>
      </c>
      <c r="X249" s="2" t="inlineStr">
        <is>
          <t>low</t>
        </is>
      </c>
      <c r="Y249" s="2" t="inlineStr">
        <is>
          <t>Not in References tab; no URL in the workbook. Not fetched in this audit (outside group E scope); drives the reef benefit headline on 5c. Needs a citation with URL.</t>
        </is>
      </c>
    </row>
    <row r="250">
      <c r="A250" s="4" t="inlineStr">
        <is>
          <t>E_claims_refs</t>
        </is>
      </c>
      <c r="B250" s="2" t="inlineStr">
        <is>
          <t>5d. Benefit - Local - City</t>
        </is>
      </c>
      <c r="C250" s="2" t="inlineStr">
        <is>
          <t>B35; D35; G35</t>
        </is>
      </c>
      <c r="D250" s="2" t="inlineStr">
        <is>
          <t>REFERENCE AUDIT (cited in notes, NOT in References tab)</t>
        </is>
      </c>
      <c r="E250" s="2" t="inlineStr">
        <is>
          <t>benefit:risk 13x</t>
        </is>
      </c>
      <c r="F250" s="2" t="inlineStr"/>
      <c r="G250" s="2" t="inlineStr">
        <is>
          <t>Harding, Keith, Vecchi &amp; Yang 2024 PNAS</t>
        </is>
      </c>
      <c r="H250" s="2" t="inlineStr">
        <is>
          <t>Harding, Keith, Vecchi &amp; Yang 2024 PNAS</t>
        </is>
      </c>
      <c r="I250" s="2" t="inlineStr">
        <is>
          <t>Harding, Keith, Vecchi &amp; Yang 2024 PNAS</t>
        </is>
      </c>
      <c r="J250" s="2" t="inlineStr">
        <is>
          <t>10.1073/pnas.2401801121</t>
        </is>
      </c>
      <c r="K250" s="8" t="inlineStr">
        <is>
          <t>https://doi.org/10.1073/pnas.2401801121</t>
        </is>
      </c>
      <c r="L250" s="2" t="n">
        <v>403</v>
      </c>
      <c r="M250" s="2" t="inlineStr"/>
      <c r="N250" s="2" t="inlineStr">
        <is>
          <t>abstract only</t>
        </is>
      </c>
      <c r="O250" s="2" t="n"/>
      <c r="P250" s="2" t="inlineStr"/>
      <c r="Q250" s="2" t="n"/>
      <c r="R250" s="2" t="n"/>
      <c r="S250" s="2" t="inlineStr"/>
      <c r="T250" s="2" t="inlineStr"/>
      <c r="U250" s="2" t="inlineStr"/>
      <c r="V250" s="7" t="inlineStr">
        <is>
          <t>within</t>
        </is>
      </c>
      <c r="W250" s="2" t="inlineStr">
        <is>
          <t>yes</t>
        </is>
      </c>
      <c r="X250" s="2" t="inlineStr">
        <is>
          <t>high</t>
        </is>
      </c>
      <c r="Y250" s="2" t="inlineStr">
        <is>
          <t>Crossref match: 'Impact of solar geoengineering on temperature-attributable mortality', PNAS 2024, doi 10.1073/pnas.2401801121 (Harding, Vecchi, Yang, Keith). Abstract VERIFIED: 'benefits outweigh these risks by 13 times for our central estimates', but with 61% probability that benefits outweigh risks and 90% CI on net effect (-11, 23) deaths per 100,000 per C-yr, i.e. the interval spans zero. The workbook presents a bare '13x'. Concerns stratospheric sulfate injection, not MCB. Not in References tab and DOI missing from workbook.</t>
        </is>
      </c>
    </row>
    <row r="251">
      <c r="A251" s="4" t="inlineStr">
        <is>
          <t>E_claims_refs</t>
        </is>
      </c>
      <c r="B251" s="2" t="inlineStr">
        <is>
          <t>6a. Cooling Model - Global</t>
        </is>
      </c>
      <c r="C251" s="2" t="inlineStr">
        <is>
          <t>B43; G43</t>
        </is>
      </c>
      <c r="D251" s="2" t="inlineStr">
        <is>
          <t>REFERENCE AUDIT (cited in notes, NOT in References tab)</t>
        </is>
      </c>
      <c r="E251" s="2" t="inlineStr">
        <is>
          <t>0.227% GDP per C^2 -&gt; 3.6% at 4 C; low damage 0.6%/C</t>
        </is>
      </c>
      <c r="F251" s="2" t="inlineStr"/>
      <c r="G251" s="2" t="inlineStr">
        <is>
          <t>Nordhaus 2017 NBER w22933 (DICE-2016R)</t>
        </is>
      </c>
      <c r="H251" s="2" t="inlineStr">
        <is>
          <t>Nordhaus 2017 NBER w22933 (DICE-2016R)</t>
        </is>
      </c>
      <c r="I251" s="2" t="inlineStr">
        <is>
          <t>Nordhaus 2017 NBER w22933 (DICE-2016R)</t>
        </is>
      </c>
      <c r="J251" s="2" t="inlineStr">
        <is>
          <t>10.3386/w22933</t>
        </is>
      </c>
      <c r="K251" s="8" t="inlineStr">
        <is>
          <t>https://www.nber.org/papers/w22933</t>
        </is>
      </c>
      <c r="L251" s="2" t="n">
        <v>200</v>
      </c>
      <c r="M251" s="2" t="inlineStr"/>
      <c r="N251" s="2" t="inlineStr">
        <is>
          <t>full text</t>
        </is>
      </c>
      <c r="O251" s="2" t="n"/>
      <c r="P251" s="2" t="inlineStr"/>
      <c r="Q251" s="2" t="n"/>
      <c r="R251" s="2" t="n"/>
      <c r="S251" s="2" t="inlineStr"/>
      <c r="T251" s="2" t="inlineStr"/>
      <c r="U251" s="2" t="inlineStr"/>
      <c r="V251" s="7" t="inlineStr">
        <is>
          <t>within</t>
        </is>
      </c>
      <c r="W251" s="2" t="inlineStr">
        <is>
          <t>neutral</t>
        </is>
      </c>
      <c r="X251" s="2" t="inlineStr">
        <is>
          <t>high</t>
        </is>
      </c>
      <c r="Y251" s="2" t="inlineStr">
        <is>
          <t>Full text read. VERIFIED: 'a parameter of 0.227% loss in global income per C squared ... 2.0% of income at 3 C, and 7.9% at 6 C'. 0.227*16 = 3.63% at 4 C (derived) matches. The workbook's 'low' of 0.6 %/C is not derived in the cell: DICE gives 0.227 %/C at 1 C and 0.45 %/C average at 2 C, 0.9 %/C average at 4 C; 0.6 corresponds to ~2.6 C (derived). Paper cited by NBER number; title is 'Projections and Uncertainties About Climate Change in an Era of Minimal Climate Policies'. Not in References tab.</t>
        </is>
      </c>
    </row>
    <row r="252">
      <c r="A252" s="4" t="inlineStr">
        <is>
          <t>E_claims_refs</t>
        </is>
      </c>
      <c r="B252" s="2" t="inlineStr">
        <is>
          <t>6a. Cooling Model - Global</t>
        </is>
      </c>
      <c r="C252" s="2" t="inlineStr">
        <is>
          <t>B45; G45; A22/A45</t>
        </is>
      </c>
      <c r="D252" s="2" t="inlineStr">
        <is>
          <t>REFERENCE AUDIT (cited in notes, NOT in References tab)</t>
        </is>
      </c>
      <c r="E252" s="2" t="inlineStr">
        <is>
          <t>12% GDP per C (high damage)</t>
        </is>
      </c>
      <c r="F252" s="2" t="inlineStr"/>
      <c r="G252" s="2" t="inlineStr">
        <is>
          <t>Bilal &amp; Kanzig 2024 NBER w32450</t>
        </is>
      </c>
      <c r="H252" s="2" t="inlineStr">
        <is>
          <t>Bilal &amp; Kanzig 2024 NBER w32450</t>
        </is>
      </c>
      <c r="I252" s="2" t="inlineStr">
        <is>
          <t>Bilal &amp; Kanzig 2024 NBER w32450</t>
        </is>
      </c>
      <c r="J252" s="2" t="inlineStr">
        <is>
          <t>10.3386/w32450</t>
        </is>
      </c>
      <c r="K252" s="8" t="inlineStr">
        <is>
          <t>https://doi.org/10.3386/w32450</t>
        </is>
      </c>
      <c r="L252" s="2" t="n">
        <v>200</v>
      </c>
      <c r="M252" s="2" t="inlineStr"/>
      <c r="N252" s="2" t="inlineStr">
        <is>
          <t>abstract only</t>
        </is>
      </c>
      <c r="O252" s="2" t="n"/>
      <c r="P252" s="2" t="inlineStr"/>
      <c r="Q252" s="2" t="n"/>
      <c r="R252" s="2" t="n"/>
      <c r="S252" s="2" t="inlineStr"/>
      <c r="T252" s="2" t="inlineStr"/>
      <c r="U252" s="2" t="inlineStr"/>
      <c r="V252" s="5" t="inlineStr">
        <is>
          <t>below range</t>
        </is>
      </c>
      <c r="W252" s="2" t="inlineStr">
        <is>
          <t>no</t>
        </is>
      </c>
      <c r="X252" s="2" t="inlineStr">
        <is>
          <t>medium</t>
        </is>
      </c>
      <c r="Y252" s="2" t="inlineStr">
        <is>
          <t>Exists (Crossref/NBER). NBER ABSTRACT states 'that 1 C warming reduces world GDP by over 20% in the long run'; the workbook's '12% GDP per degC' is described as the 'peak' in G44 and is NOT in the abstract (unverified in text). Also now published: Quarterly Journal of Economics 2026 (doi 10.1093/qje/qjag011), so the workbook cites a working paper for a peer-reviewed article. Not in References tab. Using 12% instead of &gt;20% is conservative (against MCB).</t>
        </is>
      </c>
    </row>
    <row r="253">
      <c r="A253" s="4" t="inlineStr">
        <is>
          <t>E_claims_refs</t>
        </is>
      </c>
      <c r="B253" s="2" t="inlineStr">
        <is>
          <t>6a. Cooling Model - Global</t>
        </is>
      </c>
      <c r="C253" s="2" t="inlineStr">
        <is>
          <t>A23 (6b); A32 (6c); G44</t>
        </is>
      </c>
      <c r="D253" s="2" t="inlineStr">
        <is>
          <t>REFERENCE AUDIT (cited in notes, NOT in References tab)</t>
        </is>
      </c>
      <c r="E253" s="2" t="inlineStr">
        <is>
          <t>(replaced by Burke 2015)</t>
        </is>
      </c>
      <c r="F253" s="2" t="inlineStr"/>
      <c r="G253" s="2" t="inlineStr">
        <is>
          <t>Kotz et al. 2024 (Nature) - noted as retracted</t>
        </is>
      </c>
      <c r="H253" s="2" t="inlineStr">
        <is>
          <t>Kotz et al. 2024 (Nature) - noted as retracted</t>
        </is>
      </c>
      <c r="I253" s="2" t="inlineStr">
        <is>
          <t>Kotz et al. 2024 (Nature) - noted as retracted</t>
        </is>
      </c>
      <c r="J253" s="2" t="inlineStr">
        <is>
          <t>10.1038/s41586-025-09726-0</t>
        </is>
      </c>
      <c r="K253" s="8" t="inlineStr">
        <is>
          <t>https://doi.org/10.1038/s41586-025-09726-0</t>
        </is>
      </c>
      <c r="L253" s="2" t="n">
        <v>200</v>
      </c>
      <c r="M253" s="2" t="inlineStr"/>
      <c r="N253" s="2" t="inlineStr">
        <is>
          <t>abstract only</t>
        </is>
      </c>
      <c r="O253" s="2" t="n"/>
      <c r="P253" s="2" t="inlineStr"/>
      <c r="Q253" s="2" t="n"/>
      <c r="R253" s="2" t="n"/>
      <c r="S253" s="2" t="inlineStr"/>
      <c r="T253" s="2" t="inlineStr"/>
      <c r="U253" s="2" t="inlineStr"/>
      <c r="V253" s="2" t="inlineStr">
        <is>
          <t>definitional</t>
        </is>
      </c>
      <c r="W253" s="2" t="inlineStr">
        <is>
          <t>n/a</t>
        </is>
      </c>
      <c r="X253" s="2" t="inlineStr">
        <is>
          <t>high</t>
        </is>
      </c>
      <c r="Y253" s="2" t="inlineStr">
        <is>
          <t>Retraction claim VERIFIED via Crossref: Kotz et al. 'The economic commitment of climate change' (doi 10.1038/s41586-024-07219-0) carries 'RETRACTED ARTICLE' and Retraction Note dated 3 Dec 2025 (doi 10.1038/s41586-025-09726-0). Workbook statement 'retracted Dec 2025' is correct.</t>
        </is>
      </c>
    </row>
    <row r="254">
      <c r="A254" s="4" t="inlineStr">
        <is>
          <t>E_claims_refs</t>
        </is>
      </c>
      <c r="B254" s="2" t="inlineStr">
        <is>
          <t>6a. Cooling Model - Global</t>
        </is>
      </c>
      <c r="C254" s="2" t="inlineStr">
        <is>
          <t>G44</t>
        </is>
      </c>
      <c r="D254" s="2" t="inlineStr">
        <is>
          <t>REFERENCE AUDIT (cited in notes, NOT in References tab)</t>
        </is>
      </c>
      <c r="E254" s="2" t="inlineStr">
        <is>
          <t>~2.5% GDP per C</t>
        </is>
      </c>
      <c r="F254" s="2" t="inlineStr"/>
      <c r="G254" s="2" t="inlineStr">
        <is>
          <t>Kahn et al. 2021</t>
        </is>
      </c>
      <c r="H254" s="2" t="inlineStr">
        <is>
          <t>Kahn et al. 2021</t>
        </is>
      </c>
      <c r="I254" s="2" t="inlineStr">
        <is>
          <t>Kahn et al. 2021</t>
        </is>
      </c>
      <c r="J254" s="2" t="inlineStr">
        <is>
          <t>10.3386/w26167</t>
        </is>
      </c>
      <c r="K254" s="8" t="inlineStr">
        <is>
          <t>https://doi.org/10.3386/w26167</t>
        </is>
      </c>
      <c r="L254" s="2" t="n">
        <v>200</v>
      </c>
      <c r="M254" s="2" t="inlineStr"/>
      <c r="N254" s="2" t="inlineStr">
        <is>
          <t>abstract only</t>
        </is>
      </c>
      <c r="O254" s="2" t="n"/>
      <c r="P254" s="2" t="inlineStr"/>
      <c r="Q254" s="2" t="n"/>
      <c r="R254" s="2" t="n"/>
      <c r="S254" s="2" t="inlineStr"/>
      <c r="T254" s="2" t="inlineStr"/>
      <c r="U254" s="2" t="inlineStr"/>
      <c r="V254" s="6" t="inlineStr">
        <is>
          <t>no comparable value</t>
        </is>
      </c>
      <c r="W254" s="2" t="inlineStr">
        <is>
          <t>n/a</t>
        </is>
      </c>
      <c r="X254" s="2" t="inlineStr">
        <is>
          <t>low</t>
        </is>
      </c>
      <c r="Y254" s="2" t="inlineStr">
        <is>
          <t>Paper exists (Kahn, Mohaddes, Ng, Pesaran, Raissi, Yang). 'Long-Term Macroeconomic Effects of Climate Change: A Cross-Country Analysis' (NBER w26167 2019; Energy Economics 2021). The '~2.5%' figure was not checked. Not in References tab.</t>
        </is>
      </c>
    </row>
    <row r="255">
      <c r="A255" s="4" t="inlineStr">
        <is>
          <t>E_claims_refs</t>
        </is>
      </c>
      <c r="B255" s="2" t="inlineStr">
        <is>
          <t>6a. Cooling Model - Global</t>
        </is>
      </c>
      <c r="C255" s="2" t="inlineStr">
        <is>
          <t>G13</t>
        </is>
      </c>
      <c r="D255" s="2" t="inlineStr">
        <is>
          <t>REFERENCE AUDIT (cited in notes, NOT in References tab)</t>
        </is>
      </c>
      <c r="E255" s="2" t="inlineStr">
        <is>
          <t>CESM2-Ghosh activation scheme</t>
        </is>
      </c>
      <c r="F255" s="2" t="inlineStr"/>
      <c r="G255" s="2" t="inlineStr">
        <is>
          <t>Ghosh et al. 2025 (GMD)</t>
        </is>
      </c>
      <c r="H255" s="2" t="inlineStr">
        <is>
          <t>Ghosh et al. 2025 (GMD)</t>
        </is>
      </c>
      <c r="I255" s="2" t="inlineStr">
        <is>
          <t>Ghosh et al. 2025 (GMD)</t>
        </is>
      </c>
      <c r="J255" s="2" t="inlineStr">
        <is>
          <t>10.5194/gmd-18-4899-2025</t>
        </is>
      </c>
      <c r="K255" s="8" t="inlineStr">
        <is>
          <t>https://doi.org/10.5194/gmd-18-4899-2025</t>
        </is>
      </c>
      <c r="L255" s="2" t="n">
        <v>200</v>
      </c>
      <c r="M255" s="2" t="inlineStr"/>
      <c r="N255" s="2" t="inlineStr">
        <is>
          <t>abstract only</t>
        </is>
      </c>
      <c r="O255" s="2" t="n"/>
      <c r="P255" s="2" t="inlineStr"/>
      <c r="Q255" s="2" t="n"/>
      <c r="R255" s="2" t="n"/>
      <c r="S255" s="2" t="inlineStr"/>
      <c r="T255" s="2" t="inlineStr"/>
      <c r="U255" s="2" t="inlineStr"/>
      <c r="V255" s="6" t="inlineStr">
        <is>
          <t>no comparable value</t>
        </is>
      </c>
      <c r="W255" s="2" t="inlineStr">
        <is>
          <t>n/a</t>
        </is>
      </c>
      <c r="X255" s="2" t="inlineStr">
        <is>
          <t>medium</t>
        </is>
      </c>
      <c r="Y255" s="2" t="inlineStr">
        <is>
          <t>Full reference found in the Hirasawa preprint bibliography: Ghosh, Evans, Grosvenor, Kang, Mahajan, Xu, Zhang, Gordon (2025) 'Assessing modifications to the Abdul-Razzak and Ghan aerosol activation parameterization (version ARG2000) ... UK Met Office Unified Model (UM version 13.0)', Geosci. Model Dev. 18, 4899-4913. Note it was developed for the UM, and the CESM2-Ghosh run is Hirasawa's adaptation of the parameters. DOI as printed by Hirasawa; not fetched here. Not in References tab.</t>
        </is>
      </c>
    </row>
    <row r="256">
      <c r="A256" s="4" t="inlineStr">
        <is>
          <t>E_claims_refs</t>
        </is>
      </c>
      <c r="B256" s="2" t="inlineStr">
        <is>
          <t>6c. Benefit - Global Piggyback</t>
        </is>
      </c>
      <c r="C256" s="2" t="inlineStr">
        <is>
          <t>B52:D54; A53</t>
        </is>
      </c>
      <c r="D256" s="2" t="inlineStr">
        <is>
          <t>REFERENCE AUDIT (cited in notes, NOT in References tab)</t>
        </is>
      </c>
      <c r="E256" s="2" t="inlineStr">
        <is>
          <t>6,706 ships; 6,033; 954 of 6,206 under 1,000 TEU; 85% &gt;=1,000 TEU; eligible = ROUND(6706*0.85)=5,700</t>
        </is>
      </c>
      <c r="F256" s="2" t="inlineStr"/>
      <c r="G256" s="2" t="inlineStr">
        <is>
          <t>Alphaliner Apr 2026 / Jul 2024; MDS Transmodal Apr 2025 via UNCTAD RMT 2025</t>
        </is>
      </c>
      <c r="H256" s="2" t="inlineStr">
        <is>
          <t>Alphaliner Apr 2026 / Jul 2024; MDS Transmodal Apr 2025 via UNCTAD RMT 2025</t>
        </is>
      </c>
      <c r="I256" s="2" t="inlineStr">
        <is>
          <t>Alphaliner Apr 2026 / Jul 2024; MDS Transmodal Apr 2025 via UNCTAD RMT 2025</t>
        </is>
      </c>
      <c r="J256" s="2" t="inlineStr"/>
      <c r="K256" s="2" t="inlineStr"/>
      <c r="L256" s="2" t="n"/>
      <c r="M256" s="2" t="inlineStr"/>
      <c r="N256" s="2" t="inlineStr">
        <is>
          <t>abstract only</t>
        </is>
      </c>
      <c r="O256" s="2" t="n"/>
      <c r="P256" s="2" t="inlineStr"/>
      <c r="Q256" s="2" t="n"/>
      <c r="R256" s="2" t="n"/>
      <c r="S256" s="2" t="inlineStr"/>
      <c r="T256" s="2" t="inlineStr"/>
      <c r="U256" s="2" t="inlineStr"/>
      <c r="V256" s="6" t="inlineStr">
        <is>
          <t>no comparable value</t>
        </is>
      </c>
      <c r="W256" s="2" t="inlineStr">
        <is>
          <t>neutral</t>
        </is>
      </c>
      <c r="X256" s="2" t="inlineStr">
        <is>
          <t>low</t>
        </is>
      </c>
      <c r="Y256" s="2" t="inlineStr">
        <is>
          <t>Subscription fleet data, no URLs given, not retrievable. Arithmetic checked: 6706*0.85 = 5,700.1 (derived). Internal consistency: 954/6206 = 15.4% under 1000 TEU =&gt; 84.6% &gt;= 1000 TEU, rounds to 85% (derived). Fleet counts differ 11% between Alphaliner (6,706) and MDS/UNCTAD (6,033): a source spread the workbook shows but does not use. Group B should source the eligible fleet.</t>
        </is>
      </c>
    </row>
    <row r="257">
      <c r="A257" s="4" t="inlineStr">
        <is>
          <t>E_claims_refs</t>
        </is>
      </c>
      <c r="B257" s="2" t="inlineStr">
        <is>
          <t>2. Cost Inputs</t>
        </is>
      </c>
      <c r="C257" s="2" t="inlineStr">
        <is>
          <t>E42; F42</t>
        </is>
      </c>
      <c r="D257" s="2" t="inlineStr">
        <is>
          <t>REFERENCE AUDIT (cited in notes, NOT in References tab)</t>
        </is>
      </c>
      <c r="E257" s="2" t="inlineStr">
        <is>
          <t>ballast water treatment &gt;=$640k at ~1,000x throughput</t>
        </is>
      </c>
      <c r="F257" s="2" t="inlineStr"/>
      <c r="G257" s="2" t="inlineStr">
        <is>
          <t>Transport Canada 'Transactions on BWTS' 2015</t>
        </is>
      </c>
      <c r="H257" s="2" t="inlineStr">
        <is>
          <t>Transport Canada 'Transactions on BWTS' 2015</t>
        </is>
      </c>
      <c r="I257" s="2" t="inlineStr">
        <is>
          <t>Transport Canada 'Transactions on BWTS' 2015</t>
        </is>
      </c>
      <c r="J257" s="2" t="inlineStr"/>
      <c r="K257" s="8" t="inlineStr">
        <is>
          <t>https://www.tc.canada.ca/sites/default/files/migrated/transactions_for_bwts_on_the_great_lakes___transport_canada.pdf</t>
        </is>
      </c>
      <c r="L257" s="2" t="n">
        <v>200</v>
      </c>
      <c r="M257" s="2" t="inlineStr"/>
      <c r="N257" s="2" t="inlineStr">
        <is>
          <t>abstract only</t>
        </is>
      </c>
      <c r="O257" s="2" t="n"/>
      <c r="P257" s="2" t="inlineStr"/>
      <c r="Q257" s="2" t="n"/>
      <c r="R257" s="2" t="n"/>
      <c r="S257" s="2" t="inlineStr"/>
      <c r="T257" s="2" t="inlineStr"/>
      <c r="U257" s="2" t="inlineStr"/>
      <c r="V257" s="6" t="inlineStr">
        <is>
          <t>no comparable value</t>
        </is>
      </c>
      <c r="W257" s="2" t="inlineStr">
        <is>
          <t>n/a</t>
        </is>
      </c>
      <c r="X257" s="2" t="inlineStr">
        <is>
          <t>low</t>
        </is>
      </c>
      <c r="Y257" s="2" t="inlineStr">
        <is>
          <t>URL resolves (200, pdf). Contents not read in this audit. Used only as a comparator for a $25k assumption, with the workbook itself labelling the $25k an 'Assumption'. Not in References tab.</t>
        </is>
      </c>
    </row>
    <row r="258">
      <c r="A258" s="4" t="inlineStr">
        <is>
          <t>E_claims_refs</t>
        </is>
      </c>
      <c r="B258" s="2" t="inlineStr">
        <is>
          <t>5d. Benefit - Local - City</t>
        </is>
      </c>
      <c r="C258" s="2" t="inlineStr">
        <is>
          <t>B9; D9; G9</t>
        </is>
      </c>
      <c r="D258" s="2" t="inlineStr">
        <is>
          <t>REFERENCE AUDIT (cited in notes, NOT in References tab)</t>
        </is>
      </c>
      <c r="E258" s="2" t="inlineStr">
        <is>
          <t>14 days/yr extreme-heat days</t>
        </is>
      </c>
      <c r="F258" s="2" t="inlineStr"/>
      <c r="G258" s="2" t="inlineStr">
        <is>
          <t>'~13.7 heatwave days/yr global average in 2010s'</t>
        </is>
      </c>
      <c r="H258" s="2" t="inlineStr">
        <is>
          <t>'~13.7 heatwave days/yr global average in 2010s'</t>
        </is>
      </c>
      <c r="I258" s="2" t="inlineStr">
        <is>
          <t>'~13.7 heatwave days/yr global average in 2010s'</t>
        </is>
      </c>
      <c r="J258" s="2" t="inlineStr"/>
      <c r="K258" s="2" t="inlineStr"/>
      <c r="L258" s="2" t="n"/>
      <c r="M258" s="2" t="inlineStr"/>
      <c r="N258" s="2" t="inlineStr">
        <is>
          <t>abstract only</t>
        </is>
      </c>
      <c r="O258" s="2" t="n"/>
      <c r="P258" s="2" t="inlineStr"/>
      <c r="Q258" s="2" t="n"/>
      <c r="R258" s="2" t="n"/>
      <c r="S258" s="2" t="inlineStr"/>
      <c r="T258" s="2" t="inlineStr"/>
      <c r="U258" s="2" t="inlineStr"/>
      <c r="V258" s="6" t="inlineStr">
        <is>
          <t>no comparable value</t>
        </is>
      </c>
      <c r="W258" s="2" t="inlineStr">
        <is>
          <t>n/a</t>
        </is>
      </c>
      <c r="X258" s="2" t="inlineStr">
        <is>
          <t>high</t>
        </is>
      </c>
      <c r="Y258" s="2" t="inlineStr">
        <is>
          <t>NO SOURCE: G9 citation is an empty parenthesis '()'. Value not traceable to any named paper. Needs a citation.</t>
        </is>
      </c>
    </row>
    <row r="259">
      <c r="A259" s="4" t="inlineStr">
        <is>
          <t>E_claims_refs</t>
        </is>
      </c>
      <c r="B259" s="2" t="inlineStr">
        <is>
          <t>3c. Outputs - Fixed Platform</t>
        </is>
      </c>
      <c r="C259" s="2" t="inlineStr">
        <is>
          <t>A2</t>
        </is>
      </c>
      <c r="D259" s="2" t="inlineStr">
        <is>
          <t>REFERENCE AUDIT (cited in notes, NOT in References tab)</t>
        </is>
      </c>
      <c r="E259" s="2" t="inlineStr">
        <is>
          <t>subsea export cable cost</t>
        </is>
      </c>
      <c r="F259" s="2" t="inlineStr"/>
      <c r="G259" s="2" t="inlineStr">
        <is>
          <t>'$0.8-1.5M/km HVAC export, install +30-60%, 2025-26 market data'</t>
        </is>
      </c>
      <c r="H259" s="2" t="inlineStr">
        <is>
          <t>'$0.8-1.5M/km HVAC export, install +30-60%, 2025-26 market data'</t>
        </is>
      </c>
      <c r="I259" s="2" t="inlineStr">
        <is>
          <t>'$0.8-1.5M/km HVAC export, install +30-60%, 2025-26 market data'</t>
        </is>
      </c>
      <c r="J259" s="2" t="inlineStr"/>
      <c r="K259" s="2" t="inlineStr"/>
      <c r="L259" s="2" t="n"/>
      <c r="M259" s="2" t="inlineStr"/>
      <c r="N259" s="2" t="inlineStr">
        <is>
          <t>abstract only</t>
        </is>
      </c>
      <c r="O259" s="2" t="n"/>
      <c r="P259" s="2" t="inlineStr"/>
      <c r="Q259" s="2" t="n"/>
      <c r="R259" s="2" t="n"/>
      <c r="S259" s="2" t="inlineStr"/>
      <c r="T259" s="2" t="inlineStr"/>
      <c r="U259" s="2" t="inlineStr"/>
      <c r="V259" s="6" t="inlineStr">
        <is>
          <t>no comparable value</t>
        </is>
      </c>
      <c r="W259" s="2" t="inlineStr">
        <is>
          <t>n/a</t>
        </is>
      </c>
      <c r="X259" s="2" t="inlineStr">
        <is>
          <t>high</t>
        </is>
      </c>
      <c r="Y259" s="2" t="inlineStr">
        <is>
          <t>NO SOURCE named or linked. Not priced in model (text says cable to shore is NOT priced), so it only qualifies a result.</t>
        </is>
      </c>
    </row>
  </sheetData>
  <autoFilter ref="A1:Y25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30" r:id="rId24"/>
    <hyperlink xmlns:r="http://schemas.openxmlformats.org/officeDocument/2006/relationships" ref="K31" r:id="rId25"/>
    <hyperlink xmlns:r="http://schemas.openxmlformats.org/officeDocument/2006/relationships" ref="K33" r:id="rId26"/>
    <hyperlink xmlns:r="http://schemas.openxmlformats.org/officeDocument/2006/relationships" ref="K34" r:id="rId27"/>
    <hyperlink xmlns:r="http://schemas.openxmlformats.org/officeDocument/2006/relationships" ref="K35" r:id="rId28"/>
    <hyperlink xmlns:r="http://schemas.openxmlformats.org/officeDocument/2006/relationships" ref="K36" r:id="rId29"/>
    <hyperlink xmlns:r="http://schemas.openxmlformats.org/officeDocument/2006/relationships" ref="K38" r:id="rId30"/>
    <hyperlink xmlns:r="http://schemas.openxmlformats.org/officeDocument/2006/relationships" ref="K41" r:id="rId31"/>
    <hyperlink xmlns:r="http://schemas.openxmlformats.org/officeDocument/2006/relationships" ref="K42" r:id="rId32"/>
    <hyperlink xmlns:r="http://schemas.openxmlformats.org/officeDocument/2006/relationships" ref="K43" r:id="rId33"/>
    <hyperlink xmlns:r="http://schemas.openxmlformats.org/officeDocument/2006/relationships" ref="K44" r:id="rId34"/>
    <hyperlink xmlns:r="http://schemas.openxmlformats.org/officeDocument/2006/relationships" ref="K45" r:id="rId35"/>
    <hyperlink xmlns:r="http://schemas.openxmlformats.org/officeDocument/2006/relationships" ref="K46" r:id="rId36"/>
    <hyperlink xmlns:r="http://schemas.openxmlformats.org/officeDocument/2006/relationships" ref="K47" r:id="rId37"/>
    <hyperlink xmlns:r="http://schemas.openxmlformats.org/officeDocument/2006/relationships" ref="K48" r:id="rId38"/>
    <hyperlink xmlns:r="http://schemas.openxmlformats.org/officeDocument/2006/relationships" ref="K49" r:id="rId39"/>
    <hyperlink xmlns:r="http://schemas.openxmlformats.org/officeDocument/2006/relationships" ref="K60" r:id="rId40"/>
    <hyperlink xmlns:r="http://schemas.openxmlformats.org/officeDocument/2006/relationships" ref="K65" r:id="rId41"/>
    <hyperlink xmlns:r="http://schemas.openxmlformats.org/officeDocument/2006/relationships" ref="K66" r:id="rId42"/>
    <hyperlink xmlns:r="http://schemas.openxmlformats.org/officeDocument/2006/relationships" ref="K67" r:id="rId43"/>
    <hyperlink xmlns:r="http://schemas.openxmlformats.org/officeDocument/2006/relationships" ref="K68" r:id="rId44"/>
    <hyperlink xmlns:r="http://schemas.openxmlformats.org/officeDocument/2006/relationships" ref="K69" r:id="rId45"/>
    <hyperlink xmlns:r="http://schemas.openxmlformats.org/officeDocument/2006/relationships" ref="K70" r:id="rId46"/>
    <hyperlink xmlns:r="http://schemas.openxmlformats.org/officeDocument/2006/relationships" ref="K71" r:id="rId47"/>
    <hyperlink xmlns:r="http://schemas.openxmlformats.org/officeDocument/2006/relationships" ref="K72" r:id="rId48"/>
    <hyperlink xmlns:r="http://schemas.openxmlformats.org/officeDocument/2006/relationships" ref="K73" r:id="rId49"/>
    <hyperlink xmlns:r="http://schemas.openxmlformats.org/officeDocument/2006/relationships" ref="K74" r:id="rId50"/>
    <hyperlink xmlns:r="http://schemas.openxmlformats.org/officeDocument/2006/relationships" ref="K75" r:id="rId51"/>
    <hyperlink xmlns:r="http://schemas.openxmlformats.org/officeDocument/2006/relationships" ref="K76" r:id="rId52"/>
    <hyperlink xmlns:r="http://schemas.openxmlformats.org/officeDocument/2006/relationships" ref="K77" r:id="rId53"/>
    <hyperlink xmlns:r="http://schemas.openxmlformats.org/officeDocument/2006/relationships" ref="K78" r:id="rId54"/>
    <hyperlink xmlns:r="http://schemas.openxmlformats.org/officeDocument/2006/relationships" ref="K79" r:id="rId55"/>
    <hyperlink xmlns:r="http://schemas.openxmlformats.org/officeDocument/2006/relationships" ref="K80" r:id="rId56"/>
    <hyperlink xmlns:r="http://schemas.openxmlformats.org/officeDocument/2006/relationships" ref="K81" r:id="rId57"/>
    <hyperlink xmlns:r="http://schemas.openxmlformats.org/officeDocument/2006/relationships" ref="K82" r:id="rId58"/>
    <hyperlink xmlns:r="http://schemas.openxmlformats.org/officeDocument/2006/relationships" ref="K83" r:id="rId59"/>
    <hyperlink xmlns:r="http://schemas.openxmlformats.org/officeDocument/2006/relationships" ref="K84" r:id="rId60"/>
    <hyperlink xmlns:r="http://schemas.openxmlformats.org/officeDocument/2006/relationships" ref="K85" r:id="rId61"/>
    <hyperlink xmlns:r="http://schemas.openxmlformats.org/officeDocument/2006/relationships" ref="K86" r:id="rId62"/>
    <hyperlink xmlns:r="http://schemas.openxmlformats.org/officeDocument/2006/relationships" ref="K87" r:id="rId63"/>
    <hyperlink xmlns:r="http://schemas.openxmlformats.org/officeDocument/2006/relationships" ref="K88" r:id="rId64"/>
    <hyperlink xmlns:r="http://schemas.openxmlformats.org/officeDocument/2006/relationships" ref="K89" r:id="rId65"/>
    <hyperlink xmlns:r="http://schemas.openxmlformats.org/officeDocument/2006/relationships" ref="K90" r:id="rId66"/>
    <hyperlink xmlns:r="http://schemas.openxmlformats.org/officeDocument/2006/relationships" ref="K91" r:id="rId67"/>
    <hyperlink xmlns:r="http://schemas.openxmlformats.org/officeDocument/2006/relationships" ref="K92" r:id="rId68"/>
    <hyperlink xmlns:r="http://schemas.openxmlformats.org/officeDocument/2006/relationships" ref="K93" r:id="rId69"/>
    <hyperlink xmlns:r="http://schemas.openxmlformats.org/officeDocument/2006/relationships" ref="K94" r:id="rId70"/>
    <hyperlink xmlns:r="http://schemas.openxmlformats.org/officeDocument/2006/relationships" ref="K95" r:id="rId71"/>
    <hyperlink xmlns:r="http://schemas.openxmlformats.org/officeDocument/2006/relationships" ref="K96" r:id="rId72"/>
    <hyperlink xmlns:r="http://schemas.openxmlformats.org/officeDocument/2006/relationships" ref="K97" r:id="rId73"/>
    <hyperlink xmlns:r="http://schemas.openxmlformats.org/officeDocument/2006/relationships" ref="K98" r:id="rId74"/>
    <hyperlink xmlns:r="http://schemas.openxmlformats.org/officeDocument/2006/relationships" ref="K99" r:id="rId75"/>
    <hyperlink xmlns:r="http://schemas.openxmlformats.org/officeDocument/2006/relationships" ref="K101" r:id="rId76"/>
    <hyperlink xmlns:r="http://schemas.openxmlformats.org/officeDocument/2006/relationships" ref="K102" r:id="rId77"/>
    <hyperlink xmlns:r="http://schemas.openxmlformats.org/officeDocument/2006/relationships" ref="K103" r:id="rId78"/>
    <hyperlink xmlns:r="http://schemas.openxmlformats.org/officeDocument/2006/relationships" ref="K104" r:id="rId79"/>
    <hyperlink xmlns:r="http://schemas.openxmlformats.org/officeDocument/2006/relationships" ref="K105" r:id="rId80"/>
    <hyperlink xmlns:r="http://schemas.openxmlformats.org/officeDocument/2006/relationships" ref="K106" r:id="rId81"/>
    <hyperlink xmlns:r="http://schemas.openxmlformats.org/officeDocument/2006/relationships" ref="K107" r:id="rId82"/>
    <hyperlink xmlns:r="http://schemas.openxmlformats.org/officeDocument/2006/relationships" ref="K108" r:id="rId83"/>
    <hyperlink xmlns:r="http://schemas.openxmlformats.org/officeDocument/2006/relationships" ref="K109" r:id="rId84"/>
    <hyperlink xmlns:r="http://schemas.openxmlformats.org/officeDocument/2006/relationships" ref="K110" r:id="rId85"/>
    <hyperlink xmlns:r="http://schemas.openxmlformats.org/officeDocument/2006/relationships" ref="K111" r:id="rId86"/>
    <hyperlink xmlns:r="http://schemas.openxmlformats.org/officeDocument/2006/relationships" ref="K112" r:id="rId87"/>
    <hyperlink xmlns:r="http://schemas.openxmlformats.org/officeDocument/2006/relationships" ref="K113" r:id="rId88"/>
    <hyperlink xmlns:r="http://schemas.openxmlformats.org/officeDocument/2006/relationships" ref="K114" r:id="rId89"/>
    <hyperlink xmlns:r="http://schemas.openxmlformats.org/officeDocument/2006/relationships" ref="K115" r:id="rId90"/>
    <hyperlink xmlns:r="http://schemas.openxmlformats.org/officeDocument/2006/relationships" ref="K116" r:id="rId91"/>
    <hyperlink xmlns:r="http://schemas.openxmlformats.org/officeDocument/2006/relationships" ref="K117" r:id="rId92"/>
    <hyperlink xmlns:r="http://schemas.openxmlformats.org/officeDocument/2006/relationships" ref="K118" r:id="rId93"/>
    <hyperlink xmlns:r="http://schemas.openxmlformats.org/officeDocument/2006/relationships" ref="K119" r:id="rId94"/>
    <hyperlink xmlns:r="http://schemas.openxmlformats.org/officeDocument/2006/relationships" ref="K120" r:id="rId95"/>
    <hyperlink xmlns:r="http://schemas.openxmlformats.org/officeDocument/2006/relationships" ref="K121" r:id="rId96"/>
    <hyperlink xmlns:r="http://schemas.openxmlformats.org/officeDocument/2006/relationships" ref="K122" r:id="rId97"/>
    <hyperlink xmlns:r="http://schemas.openxmlformats.org/officeDocument/2006/relationships" ref="K123" r:id="rId98"/>
    <hyperlink xmlns:r="http://schemas.openxmlformats.org/officeDocument/2006/relationships" ref="K124" r:id="rId99"/>
    <hyperlink xmlns:r="http://schemas.openxmlformats.org/officeDocument/2006/relationships" ref="K125" r:id="rId100"/>
    <hyperlink xmlns:r="http://schemas.openxmlformats.org/officeDocument/2006/relationships" ref="K126" r:id="rId101"/>
    <hyperlink xmlns:r="http://schemas.openxmlformats.org/officeDocument/2006/relationships" ref="K127" r:id="rId102"/>
    <hyperlink xmlns:r="http://schemas.openxmlformats.org/officeDocument/2006/relationships" ref="K128" r:id="rId103"/>
    <hyperlink xmlns:r="http://schemas.openxmlformats.org/officeDocument/2006/relationships" ref="K129" r:id="rId104"/>
    <hyperlink xmlns:r="http://schemas.openxmlformats.org/officeDocument/2006/relationships" ref="K130" r:id="rId105"/>
    <hyperlink xmlns:r="http://schemas.openxmlformats.org/officeDocument/2006/relationships" ref="K131" r:id="rId106"/>
    <hyperlink xmlns:r="http://schemas.openxmlformats.org/officeDocument/2006/relationships" ref="K132" r:id="rId107"/>
    <hyperlink xmlns:r="http://schemas.openxmlformats.org/officeDocument/2006/relationships" ref="K133" r:id="rId108"/>
    <hyperlink xmlns:r="http://schemas.openxmlformats.org/officeDocument/2006/relationships" ref="K134" r:id="rId109"/>
    <hyperlink xmlns:r="http://schemas.openxmlformats.org/officeDocument/2006/relationships" ref="K135" r:id="rId110"/>
    <hyperlink xmlns:r="http://schemas.openxmlformats.org/officeDocument/2006/relationships" ref="K136" r:id="rId111"/>
    <hyperlink xmlns:r="http://schemas.openxmlformats.org/officeDocument/2006/relationships" ref="K137" r:id="rId112"/>
    <hyperlink xmlns:r="http://schemas.openxmlformats.org/officeDocument/2006/relationships" ref="K138" r:id="rId113"/>
    <hyperlink xmlns:r="http://schemas.openxmlformats.org/officeDocument/2006/relationships" ref="K139" r:id="rId114"/>
    <hyperlink xmlns:r="http://schemas.openxmlformats.org/officeDocument/2006/relationships" ref="K140" r:id="rId115"/>
    <hyperlink xmlns:r="http://schemas.openxmlformats.org/officeDocument/2006/relationships" ref="K141" r:id="rId116"/>
    <hyperlink xmlns:r="http://schemas.openxmlformats.org/officeDocument/2006/relationships" ref="K142" r:id="rId117"/>
    <hyperlink xmlns:r="http://schemas.openxmlformats.org/officeDocument/2006/relationships" ref="K143" r:id="rId118"/>
    <hyperlink xmlns:r="http://schemas.openxmlformats.org/officeDocument/2006/relationships" ref="K144" r:id="rId119"/>
    <hyperlink xmlns:r="http://schemas.openxmlformats.org/officeDocument/2006/relationships" ref="K145" r:id="rId120"/>
    <hyperlink xmlns:r="http://schemas.openxmlformats.org/officeDocument/2006/relationships" ref="K146" r:id="rId121"/>
    <hyperlink xmlns:r="http://schemas.openxmlformats.org/officeDocument/2006/relationships" ref="K147" r:id="rId122"/>
    <hyperlink xmlns:r="http://schemas.openxmlformats.org/officeDocument/2006/relationships" ref="K148" r:id="rId123"/>
    <hyperlink xmlns:r="http://schemas.openxmlformats.org/officeDocument/2006/relationships" ref="K149" r:id="rId124"/>
    <hyperlink xmlns:r="http://schemas.openxmlformats.org/officeDocument/2006/relationships" ref="K150" r:id="rId125"/>
    <hyperlink xmlns:r="http://schemas.openxmlformats.org/officeDocument/2006/relationships" ref="K151" r:id="rId126"/>
    <hyperlink xmlns:r="http://schemas.openxmlformats.org/officeDocument/2006/relationships" ref="K152" r:id="rId127"/>
    <hyperlink xmlns:r="http://schemas.openxmlformats.org/officeDocument/2006/relationships" ref="K153" r:id="rId128"/>
    <hyperlink xmlns:r="http://schemas.openxmlformats.org/officeDocument/2006/relationships" ref="K154" r:id="rId129"/>
    <hyperlink xmlns:r="http://schemas.openxmlformats.org/officeDocument/2006/relationships" ref="K155" r:id="rId130"/>
    <hyperlink xmlns:r="http://schemas.openxmlformats.org/officeDocument/2006/relationships" ref="K156" r:id="rId131"/>
    <hyperlink xmlns:r="http://schemas.openxmlformats.org/officeDocument/2006/relationships" ref="K157" r:id="rId132"/>
    <hyperlink xmlns:r="http://schemas.openxmlformats.org/officeDocument/2006/relationships" ref="K158" r:id="rId133"/>
    <hyperlink xmlns:r="http://schemas.openxmlformats.org/officeDocument/2006/relationships" ref="K159" r:id="rId134"/>
    <hyperlink xmlns:r="http://schemas.openxmlformats.org/officeDocument/2006/relationships" ref="K160" r:id="rId135"/>
    <hyperlink xmlns:r="http://schemas.openxmlformats.org/officeDocument/2006/relationships" ref="K161" r:id="rId136"/>
    <hyperlink xmlns:r="http://schemas.openxmlformats.org/officeDocument/2006/relationships" ref="K162" r:id="rId137"/>
    <hyperlink xmlns:r="http://schemas.openxmlformats.org/officeDocument/2006/relationships" ref="K163" r:id="rId138"/>
    <hyperlink xmlns:r="http://schemas.openxmlformats.org/officeDocument/2006/relationships" ref="K164" r:id="rId139"/>
    <hyperlink xmlns:r="http://schemas.openxmlformats.org/officeDocument/2006/relationships" ref="K165" r:id="rId140"/>
    <hyperlink xmlns:r="http://schemas.openxmlformats.org/officeDocument/2006/relationships" ref="K166" r:id="rId141"/>
    <hyperlink xmlns:r="http://schemas.openxmlformats.org/officeDocument/2006/relationships" ref="K167" r:id="rId142"/>
    <hyperlink xmlns:r="http://schemas.openxmlformats.org/officeDocument/2006/relationships" ref="K168" r:id="rId143"/>
    <hyperlink xmlns:r="http://schemas.openxmlformats.org/officeDocument/2006/relationships" ref="K169" r:id="rId144"/>
    <hyperlink xmlns:r="http://schemas.openxmlformats.org/officeDocument/2006/relationships" ref="K171" r:id="rId145"/>
    <hyperlink xmlns:r="http://schemas.openxmlformats.org/officeDocument/2006/relationships" ref="K172" r:id="rId146"/>
    <hyperlink xmlns:r="http://schemas.openxmlformats.org/officeDocument/2006/relationships" ref="K173" r:id="rId147"/>
    <hyperlink xmlns:r="http://schemas.openxmlformats.org/officeDocument/2006/relationships" ref="K174" r:id="rId148"/>
    <hyperlink xmlns:r="http://schemas.openxmlformats.org/officeDocument/2006/relationships" ref="K175" r:id="rId149"/>
    <hyperlink xmlns:r="http://schemas.openxmlformats.org/officeDocument/2006/relationships" ref="K176" r:id="rId150"/>
    <hyperlink xmlns:r="http://schemas.openxmlformats.org/officeDocument/2006/relationships" ref="K177" r:id="rId151"/>
    <hyperlink xmlns:r="http://schemas.openxmlformats.org/officeDocument/2006/relationships" ref="K178" r:id="rId152"/>
    <hyperlink xmlns:r="http://schemas.openxmlformats.org/officeDocument/2006/relationships" ref="K179" r:id="rId153"/>
    <hyperlink xmlns:r="http://schemas.openxmlformats.org/officeDocument/2006/relationships" ref="K180" r:id="rId154"/>
    <hyperlink xmlns:r="http://schemas.openxmlformats.org/officeDocument/2006/relationships" ref="K181" r:id="rId155"/>
    <hyperlink xmlns:r="http://schemas.openxmlformats.org/officeDocument/2006/relationships" ref="K182" r:id="rId156"/>
    <hyperlink xmlns:r="http://schemas.openxmlformats.org/officeDocument/2006/relationships" ref="K183" r:id="rId157"/>
    <hyperlink xmlns:r="http://schemas.openxmlformats.org/officeDocument/2006/relationships" ref="K184" r:id="rId158"/>
    <hyperlink xmlns:r="http://schemas.openxmlformats.org/officeDocument/2006/relationships" ref="K185" r:id="rId159"/>
    <hyperlink xmlns:r="http://schemas.openxmlformats.org/officeDocument/2006/relationships" ref="K186" r:id="rId160"/>
    <hyperlink xmlns:r="http://schemas.openxmlformats.org/officeDocument/2006/relationships" ref="K187" r:id="rId161"/>
    <hyperlink xmlns:r="http://schemas.openxmlformats.org/officeDocument/2006/relationships" ref="K188" r:id="rId162"/>
    <hyperlink xmlns:r="http://schemas.openxmlformats.org/officeDocument/2006/relationships" ref="K189" r:id="rId163"/>
    <hyperlink xmlns:r="http://schemas.openxmlformats.org/officeDocument/2006/relationships" ref="K190" r:id="rId164"/>
    <hyperlink xmlns:r="http://schemas.openxmlformats.org/officeDocument/2006/relationships" ref="K191" r:id="rId165"/>
    <hyperlink xmlns:r="http://schemas.openxmlformats.org/officeDocument/2006/relationships" ref="K192" r:id="rId166"/>
    <hyperlink xmlns:r="http://schemas.openxmlformats.org/officeDocument/2006/relationships" ref="K193" r:id="rId167"/>
    <hyperlink xmlns:r="http://schemas.openxmlformats.org/officeDocument/2006/relationships" ref="K194" r:id="rId168"/>
    <hyperlink xmlns:r="http://schemas.openxmlformats.org/officeDocument/2006/relationships" ref="K195" r:id="rId169"/>
    <hyperlink xmlns:r="http://schemas.openxmlformats.org/officeDocument/2006/relationships" ref="K196" r:id="rId170"/>
    <hyperlink xmlns:r="http://schemas.openxmlformats.org/officeDocument/2006/relationships" ref="K197" r:id="rId171"/>
    <hyperlink xmlns:r="http://schemas.openxmlformats.org/officeDocument/2006/relationships" ref="K198" r:id="rId172"/>
    <hyperlink xmlns:r="http://schemas.openxmlformats.org/officeDocument/2006/relationships" ref="K199" r:id="rId173"/>
    <hyperlink xmlns:r="http://schemas.openxmlformats.org/officeDocument/2006/relationships" ref="K200" r:id="rId174"/>
    <hyperlink xmlns:r="http://schemas.openxmlformats.org/officeDocument/2006/relationships" ref="K205" r:id="rId175"/>
    <hyperlink xmlns:r="http://schemas.openxmlformats.org/officeDocument/2006/relationships" ref="K206" r:id="rId176"/>
    <hyperlink xmlns:r="http://schemas.openxmlformats.org/officeDocument/2006/relationships" ref="K208" r:id="rId177"/>
    <hyperlink xmlns:r="http://schemas.openxmlformats.org/officeDocument/2006/relationships" ref="K209" r:id="rId178"/>
    <hyperlink xmlns:r="http://schemas.openxmlformats.org/officeDocument/2006/relationships" ref="K210" r:id="rId179"/>
    <hyperlink xmlns:r="http://schemas.openxmlformats.org/officeDocument/2006/relationships" ref="K211" r:id="rId180"/>
    <hyperlink xmlns:r="http://schemas.openxmlformats.org/officeDocument/2006/relationships" ref="K212" r:id="rId181"/>
    <hyperlink xmlns:r="http://schemas.openxmlformats.org/officeDocument/2006/relationships" ref="K213" r:id="rId182"/>
    <hyperlink xmlns:r="http://schemas.openxmlformats.org/officeDocument/2006/relationships" ref="K214" r:id="rId183"/>
    <hyperlink xmlns:r="http://schemas.openxmlformats.org/officeDocument/2006/relationships" ref="K215" r:id="rId184"/>
    <hyperlink xmlns:r="http://schemas.openxmlformats.org/officeDocument/2006/relationships" ref="K216" r:id="rId185"/>
    <hyperlink xmlns:r="http://schemas.openxmlformats.org/officeDocument/2006/relationships" ref="K218" r:id="rId186"/>
    <hyperlink xmlns:r="http://schemas.openxmlformats.org/officeDocument/2006/relationships" ref="K219" r:id="rId187"/>
    <hyperlink xmlns:r="http://schemas.openxmlformats.org/officeDocument/2006/relationships" ref="K220" r:id="rId188"/>
    <hyperlink xmlns:r="http://schemas.openxmlformats.org/officeDocument/2006/relationships" ref="K222" r:id="rId189"/>
    <hyperlink xmlns:r="http://schemas.openxmlformats.org/officeDocument/2006/relationships" ref="K223" r:id="rId190"/>
    <hyperlink xmlns:r="http://schemas.openxmlformats.org/officeDocument/2006/relationships" ref="K224" r:id="rId191"/>
    <hyperlink xmlns:r="http://schemas.openxmlformats.org/officeDocument/2006/relationships" ref="K225" r:id="rId192"/>
    <hyperlink xmlns:r="http://schemas.openxmlformats.org/officeDocument/2006/relationships" ref="K226" r:id="rId193"/>
    <hyperlink xmlns:r="http://schemas.openxmlformats.org/officeDocument/2006/relationships" ref="K227" r:id="rId194"/>
    <hyperlink xmlns:r="http://schemas.openxmlformats.org/officeDocument/2006/relationships" ref="K228" r:id="rId195"/>
    <hyperlink xmlns:r="http://schemas.openxmlformats.org/officeDocument/2006/relationships" ref="K229" r:id="rId196"/>
    <hyperlink xmlns:r="http://schemas.openxmlformats.org/officeDocument/2006/relationships" ref="K230" r:id="rId197"/>
    <hyperlink xmlns:r="http://schemas.openxmlformats.org/officeDocument/2006/relationships" ref="K231" r:id="rId198"/>
    <hyperlink xmlns:r="http://schemas.openxmlformats.org/officeDocument/2006/relationships" ref="K232" r:id="rId199"/>
    <hyperlink xmlns:r="http://schemas.openxmlformats.org/officeDocument/2006/relationships" ref="K233" r:id="rId200"/>
    <hyperlink xmlns:r="http://schemas.openxmlformats.org/officeDocument/2006/relationships" ref="K234" r:id="rId201"/>
    <hyperlink xmlns:r="http://schemas.openxmlformats.org/officeDocument/2006/relationships" ref="K235" r:id="rId202"/>
    <hyperlink xmlns:r="http://schemas.openxmlformats.org/officeDocument/2006/relationships" ref="K236" r:id="rId203"/>
    <hyperlink xmlns:r="http://schemas.openxmlformats.org/officeDocument/2006/relationships" ref="K237" r:id="rId204"/>
    <hyperlink xmlns:r="http://schemas.openxmlformats.org/officeDocument/2006/relationships" ref="K238" r:id="rId205"/>
    <hyperlink xmlns:r="http://schemas.openxmlformats.org/officeDocument/2006/relationships" ref="K239" r:id="rId206"/>
    <hyperlink xmlns:r="http://schemas.openxmlformats.org/officeDocument/2006/relationships" ref="K240" r:id="rId207"/>
    <hyperlink xmlns:r="http://schemas.openxmlformats.org/officeDocument/2006/relationships" ref="K241" r:id="rId208"/>
    <hyperlink xmlns:r="http://schemas.openxmlformats.org/officeDocument/2006/relationships" ref="K242" r:id="rId209"/>
    <hyperlink xmlns:r="http://schemas.openxmlformats.org/officeDocument/2006/relationships" ref="K245" r:id="rId210"/>
    <hyperlink xmlns:r="http://schemas.openxmlformats.org/officeDocument/2006/relationships" ref="K246" r:id="rId211"/>
    <hyperlink xmlns:r="http://schemas.openxmlformats.org/officeDocument/2006/relationships" ref="K247" r:id="rId212"/>
    <hyperlink xmlns:r="http://schemas.openxmlformats.org/officeDocument/2006/relationships" ref="K248" r:id="rId213"/>
    <hyperlink xmlns:r="http://schemas.openxmlformats.org/officeDocument/2006/relationships" ref="K250" r:id="rId214"/>
    <hyperlink xmlns:r="http://schemas.openxmlformats.org/officeDocument/2006/relationships" ref="K251" r:id="rId215"/>
    <hyperlink xmlns:r="http://schemas.openxmlformats.org/officeDocument/2006/relationships" ref="K252" r:id="rId216"/>
    <hyperlink xmlns:r="http://schemas.openxmlformats.org/officeDocument/2006/relationships" ref="K253" r:id="rId217"/>
    <hyperlink xmlns:r="http://schemas.openxmlformats.org/officeDocument/2006/relationships" ref="K254" r:id="rId218"/>
    <hyperlink xmlns:r="http://schemas.openxmlformats.org/officeDocument/2006/relationships" ref="K255" r:id="rId219"/>
    <hyperlink xmlns:r="http://schemas.openxmlformats.org/officeDocument/2006/relationships" ref="K257" r:id="rId2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6" customWidth="1" min="4" max="4"/>
    <col width="16" customWidth="1" min="5" max="5"/>
    <col width="16" customWidth="1" min="6" max="6"/>
    <col width="28" customWidth="1" min="7" max="7"/>
    <col width="20" customWidth="1" min="8" max="8"/>
    <col width="50" customWidth="1" min="9" max="9"/>
    <col width="16" customWidth="1" min="10" max="10"/>
    <col width="40" customWidth="1" min="11" max="11"/>
    <col width="16" customWidth="1" min="12" max="12"/>
    <col width="22"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30" customWidth="1" min="21" max="21"/>
    <col width="16" customWidth="1" min="22" max="22"/>
    <col width="16" customWidth="1" min="23" max="23"/>
    <col width="16" customWidth="1" min="24" max="24"/>
    <col width="50" customWidth="1" min="25" max="25"/>
  </cols>
  <sheetData>
    <row r="1">
      <c r="A1" s="3" t="inlineStr">
        <is>
          <t>group</t>
        </is>
      </c>
      <c r="B1" s="3" t="inlineStr">
        <is>
          <t>sheet</t>
        </is>
      </c>
      <c r="C1" s="3" t="inlineStr">
        <is>
          <t>cell</t>
        </is>
      </c>
      <c r="D1" s="3" t="inlineStr">
        <is>
          <t>parameter</t>
        </is>
      </c>
      <c r="E1" s="3" t="inlineStr">
        <is>
          <t>workbook_value</t>
        </is>
      </c>
      <c r="F1" s="3" t="inlineStr">
        <is>
          <t>unit</t>
        </is>
      </c>
      <c r="G1" s="3" t="inlineStr">
        <is>
          <t>workbook_cited_source</t>
        </is>
      </c>
      <c r="H1" s="3" t="inlineStr">
        <is>
          <t>source_short</t>
        </is>
      </c>
      <c r="I1" s="3" t="inlineStr">
        <is>
          <t>citation_full</t>
        </is>
      </c>
      <c r="J1" s="3" t="inlineStr">
        <is>
          <t>doi</t>
        </is>
      </c>
      <c r="K1" s="3" t="inlineStr">
        <is>
          <t>url</t>
        </is>
      </c>
      <c r="L1" s="3" t="inlineStr">
        <is>
          <t>url_status</t>
        </is>
      </c>
      <c r="M1" s="3" t="inlineStr">
        <is>
          <t>locator</t>
        </is>
      </c>
      <c r="N1" s="3" t="inlineStr">
        <is>
          <t>access</t>
        </is>
      </c>
      <c r="O1" s="3" t="inlineStr">
        <is>
          <t>lit_central</t>
        </is>
      </c>
      <c r="P1" s="3" t="inlineStr">
        <is>
          <t>lit_central_kind</t>
        </is>
      </c>
      <c r="Q1" s="3" t="inlineStr">
        <is>
          <t>lit_low</t>
        </is>
      </c>
      <c r="R1" s="3" t="inlineStr">
        <is>
          <t>lit_high</t>
        </is>
      </c>
      <c r="S1" s="3" t="inlineStr">
        <is>
          <t>spread_kind</t>
        </is>
      </c>
      <c r="T1" s="3" t="inlineStr">
        <is>
          <t>n_basis</t>
        </is>
      </c>
      <c r="U1" s="3" t="inlineStr">
        <is>
          <t>distribution_note</t>
        </is>
      </c>
      <c r="V1" s="3" t="inlineStr">
        <is>
          <t>workbook_vs_lit</t>
        </is>
      </c>
      <c r="W1" s="3" t="inlineStr">
        <is>
          <t>favours_mcb</t>
        </is>
      </c>
      <c r="X1" s="3" t="inlineStr">
        <is>
          <t>confidence</t>
        </is>
      </c>
      <c r="Y1" s="3" t="inlineStr">
        <is>
          <t>notes</t>
        </is>
      </c>
    </row>
    <row r="2">
      <c r="A2" s="4" t="inlineStr">
        <is>
          <t>E_claims_refs</t>
        </is>
      </c>
      <c r="B2" s="2" t="inlineStr">
        <is>
          <t>References</t>
        </is>
      </c>
      <c r="C2" s="2" t="inlineStr">
        <is>
          <t>A3:D3</t>
        </is>
      </c>
      <c r="D2" s="2" t="inlineStr">
        <is>
          <t>REFERENCE AUDIT</t>
        </is>
      </c>
      <c r="E2" s="2" t="inlineStr">
        <is>
          <t>Harrison et al. 2025</t>
        </is>
      </c>
      <c r="F2" s="2" t="inlineStr"/>
      <c r="G2" s="2" t="inlineStr">
        <is>
          <t>Harrison, L. P., Medcraft, C., &amp; Harrison, D. P. (2025). Effervescent nozzle design to enable outdoor marine cloud brightening experimentation. Environ. Sci.: Atmos., 5(10), 1071-1080.</t>
        </is>
      </c>
      <c r="H2" s="2" t="inlineStr">
        <is>
          <t>Harrison et al. 2025</t>
        </is>
      </c>
      <c r="I2" s="2" t="inlineStr">
        <is>
          <t>Harrison, L. P., Medcraft, C., &amp; Harrison, D. P. (2025). Effervescent nozzle design to enable outdoor marine cloud brightening experimentation. Environ. Sci.: Atmos., 5(10), 1071-1080.</t>
        </is>
      </c>
      <c r="J2" s="2" t="inlineStr">
        <is>
          <t>10.1039/d5ea00073d</t>
        </is>
      </c>
      <c r="K2" s="8" t="inlineStr">
        <is>
          <t>https://doi.org/10.1039/d5ea00073d</t>
        </is>
      </c>
      <c r="L2" s="2" t="n">
        <v>403</v>
      </c>
      <c r="M2" s="2" t="inlineStr"/>
      <c r="N2" s="2" t="inlineStr">
        <is>
          <t>abstract only</t>
        </is>
      </c>
      <c r="O2" s="2" t="n"/>
      <c r="P2" s="2" t="inlineStr"/>
      <c r="Q2" s="2" t="n"/>
      <c r="R2" s="2" t="n"/>
      <c r="S2" s="2" t="inlineStr"/>
      <c r="T2" s="2" t="inlineStr"/>
      <c r="U2" s="2" t="inlineStr">
        <is>
          <t>PEER-REVIEWED journal article (Crossref type journal-article; OA diamond per OpenAlex)</t>
        </is>
      </c>
      <c r="V2" s="6" t="inlineStr">
        <is>
          <t>no comparable value</t>
        </is>
      </c>
      <c r="W2" s="2" t="inlineStr">
        <is>
          <t>n/a</t>
        </is>
      </c>
      <c r="X2" s="2" t="inlineStr">
        <is>
          <t>medium</t>
        </is>
      </c>
      <c r="Y2" s="2" t="inlineStr">
        <is>
          <t>Crossref 200: title, 3 authors, vol 5 iss 10 pp 1071-1080, 2025 all MATCH. DOI resolves to pubs.rsc.org (403 to scripts, bot block). Full text not retrievable, so 'Where used' (CCN window, particle size, power, energy per tonne, 1.73e12/s) is UNVERIFIED against the source; this is the single most-used reference (tabs 1,2,3). Abstract available is one sentence with no numbers. Cross-checks from CS-06 and ERL partly support order of magnitude (see claims rows). Recommend a human fetch the PDF in a browser.</t>
        </is>
      </c>
    </row>
    <row r="3">
      <c r="A3" s="4" t="inlineStr">
        <is>
          <t>E_claims_refs</t>
        </is>
      </c>
      <c r="B3" s="2" t="inlineStr">
        <is>
          <t>References</t>
        </is>
      </c>
      <c r="C3" s="2" t="inlineStr">
        <is>
          <t>A4:D4</t>
        </is>
      </c>
      <c r="D3" s="2" t="inlineStr">
        <is>
          <t>REFERENCE AUDIT</t>
        </is>
      </c>
      <c r="E3" s="2" t="inlineStr">
        <is>
          <t>Harrison et al. 2019 / T14</t>
        </is>
      </c>
      <c r="F3" s="2" t="inlineStr"/>
      <c r="G3" s="2" t="inlineStr">
        <is>
          <t>Harrison, D. P., Baird, M., Harrison, L., Utembe, S., Schofield, R., Escobar Correa, R., Mongin, M., &amp; Rizwi, F. (2019). Environmental Modelling of Large Scale Solar Radiation Management. RRAP T14 Final Report (83 pp).</t>
        </is>
      </c>
      <c r="H3" s="2" t="inlineStr">
        <is>
          <t>Harrison et al. 2019 / T14</t>
        </is>
      </c>
      <c r="I3" s="2" t="inlineStr">
        <is>
          <t>Harrison, D. P., Baird, M., Harrison, L., Utembe, S., Schofield, R., Escobar Correa, R., Mongin, M., &amp; Rizwi, F. (2019). Environmental Modelling of Large Scale Solar Radiation Management. RRAP T14 Final Report (83 pp).</t>
        </is>
      </c>
      <c r="J3" s="2" t="inlineStr"/>
      <c r="K3" s="8" t="inlineStr">
        <is>
          <t>https://gbrrestoration.org/wp-content/uploads/2020/09/T14-Environmental-Modelling-of-Large-Scale-SRM_v3.03-3.pdf</t>
        </is>
      </c>
      <c r="L3" s="2" t="n">
        <v>200</v>
      </c>
      <c r="M3" s="2" t="inlineStr">
        <is>
          <t>Exec summary (PDF lines ~308, ~340)</t>
        </is>
      </c>
      <c r="N3" s="2" t="inlineStr">
        <is>
          <t>full text</t>
        </is>
      </c>
      <c r="O3" s="2" t="n"/>
      <c r="P3" s="2" t="inlineStr"/>
      <c r="Q3" s="2" t="n"/>
      <c r="R3" s="2" t="n"/>
      <c r="S3" s="2" t="inlineStr"/>
      <c r="T3" s="2" t="inlineStr"/>
      <c r="U3" s="2" t="inlineStr">
        <is>
          <t>GREY LITERATURE: government-program report, not peer reviewed</t>
        </is>
      </c>
      <c r="V3" s="6" t="inlineStr">
        <is>
          <t>no comparable value</t>
        </is>
      </c>
      <c r="W3" s="2" t="inlineStr">
        <is>
          <t>n/a</t>
        </is>
      </c>
      <c r="X3" s="2" t="inlineStr">
        <is>
          <t>high</t>
        </is>
      </c>
      <c r="Y3" s="2" t="inlineStr">
        <is>
          <t>URL 200 (application/pdf). Title page: same 8 authors, 'October 2019', '(83pp)' MATCH. No DOI. Where used VERIFIED: '0.225 C per 10 W m-2' (linear 0 to -35 W m-2, mid-shelf near Cairns); '~50 percent in 2015/2016 and ~65 percent in 2016/2017' bleaching-stress reduction for ~6.8% shortwave reduction, 'small sample size of 14 reefs'; '1 December' summer accumulation window found in text. Not re-checked: 'Fig 15', p.39 and p.57 page numbers.</t>
        </is>
      </c>
    </row>
    <row r="4">
      <c r="A4" s="4" t="inlineStr">
        <is>
          <t>E_claims_refs</t>
        </is>
      </c>
      <c r="B4" s="2" t="inlineStr">
        <is>
          <t>References</t>
        </is>
      </c>
      <c r="C4" s="2" t="inlineStr">
        <is>
          <t>A5:D5</t>
        </is>
      </c>
      <c r="D4" s="2" t="inlineStr">
        <is>
          <t>REFERENCE AUDIT</t>
        </is>
      </c>
      <c r="E4" s="2" t="inlineStr">
        <is>
          <t>Zhao et al. 2026 (preprint)</t>
        </is>
      </c>
      <c r="F4" s="2" t="inlineStr"/>
      <c r="G4" s="2" t="inlineStr">
        <is>
          <t>Zhao, W., Huang, Y., Siems, S., &amp; Harrison, D. (2026). Sensitivity of Marine Cloud Brightening over the Great Barrier Reef to Spatial Variability in Aerosol Forcing... EGUsphere preprint, discussion started 23 March 2026.</t>
        </is>
      </c>
      <c r="H4" s="2" t="inlineStr">
        <is>
          <t>Zhao et al. 2026</t>
        </is>
      </c>
      <c r="I4" s="2" t="inlineStr">
        <is>
          <t>Zhao, W., Huang, Y., Siems, S., &amp; Harrison, D. (2026). Sensitivity of Marine Cloud Brightening over the Great Barrier Reef to Spatial Variability in Aerosol Forcing... EGUsphere preprint, discussion started 23 March 2026.</t>
        </is>
      </c>
      <c r="J4" s="2" t="inlineStr">
        <is>
          <t>10.5194/egusphere-2026-1251</t>
        </is>
      </c>
      <c r="K4" s="8" t="inlineStr">
        <is>
          <t>https://doi.org/10.5194/egusphere-2026-1251</t>
        </is>
      </c>
      <c r="L4" s="2" t="n">
        <v>200</v>
      </c>
      <c r="M4" s="2" t="inlineStr"/>
      <c r="N4" s="2" t="inlineStr">
        <is>
          <t>full text</t>
        </is>
      </c>
      <c r="O4" s="2" t="n"/>
      <c r="P4" s="2" t="inlineStr"/>
      <c r="Q4" s="2" t="n"/>
      <c r="R4" s="2" t="n"/>
      <c r="S4" s="2" t="inlineStr"/>
      <c r="T4" s="2" t="inlineStr"/>
      <c r="U4" s="2" t="inlineStr">
        <is>
          <t>PREPRINT (Crossref type posted-content), not peer reviewed; workbook labels it correctly</t>
        </is>
      </c>
      <c r="V4" s="6" t="inlineStr">
        <is>
          <t>no comparable value</t>
        </is>
      </c>
      <c r="W4" s="2" t="inlineStr">
        <is>
          <t>n/a</t>
        </is>
      </c>
      <c r="X4" s="2" t="inlineStr">
        <is>
          <t>high</t>
        </is>
      </c>
      <c r="Y4" s="2" t="inlineStr">
        <is>
          <t>Crossref: title, 4 authors, issued 2026-03-23 MATCH. PDF retrieved (25 pp). Where used VERIFIED: '75 source points', '20 km spacing', '1x10^16 particles per second' per point (EXP20). Text reports EXP20 albedo +6.2% and tau +25.9%; CTRL 0.48 -&gt; EXP20 0.51 (=+6.2%, consistent). Concern: the 'main cooling basis' of tab 5c-alt rests on an unreviewed preprint whose authors include D. Harrison (same group as the technology). Preprint may change.</t>
        </is>
      </c>
    </row>
    <row r="5">
      <c r="A5" s="4" t="inlineStr">
        <is>
          <t>E_claims_refs</t>
        </is>
      </c>
      <c r="B5" s="2" t="inlineStr">
        <is>
          <t>References</t>
        </is>
      </c>
      <c r="C5" s="2" t="inlineStr">
        <is>
          <t>A6:D6</t>
        </is>
      </c>
      <c r="D5" s="2" t="inlineStr">
        <is>
          <t>REFERENCE AUDIT</t>
        </is>
      </c>
      <c r="E5" s="2" t="inlineStr">
        <is>
          <t>Hernandez-Jaramillo et al. 2025 (ERL)</t>
        </is>
      </c>
      <c r="F5" s="2" t="inlineStr"/>
      <c r="G5" s="2" t="inlineStr">
        <is>
          <t>Hernandez-Jaramillo, D. C., Harrison, L., Gunner, G., McGrath, A., Junkermann, W., Lieff, W., Hacker, J., Rosenfeld, D., Kelaher, B., &amp; Harrison, D. P. (2025). First generation outdoor marine cloud brightening trial increases aerosol concentration at cloud base height. Environ. Res. Lett., 20(5), 054065.</t>
        </is>
      </c>
      <c r="H5" s="2" t="inlineStr">
        <is>
          <t>Hernandez-Jaramillo et al. 2025</t>
        </is>
      </c>
      <c r="I5" s="2" t="inlineStr">
        <is>
          <t>Hernandez-Jaramillo, D. C., Harrison, L., Gunner, G., McGrath, A., Junkermann, W., Lieff, W., Hacker, J., Rosenfeld, D., Kelaher, B., &amp; Harrison, D. P. (2025). First generation outdoor marine cloud brightening trial increases aerosol concentration at cloud base height. Environ. Res. Lett., 20(5), 054065.</t>
        </is>
      </c>
      <c r="J5" s="2" t="inlineStr">
        <is>
          <t>10.1088/1748-9326/adccd7</t>
        </is>
      </c>
      <c r="K5" s="8" t="inlineStr">
        <is>
          <t>https://doi.org/10.1088/1748-9326/adccd7</t>
        </is>
      </c>
      <c r="L5" s="2" t="n">
        <v>200</v>
      </c>
      <c r="M5" s="2" t="inlineStr"/>
      <c r="N5" s="2" t="inlineStr">
        <is>
          <t>abstract only</t>
        </is>
      </c>
      <c r="O5" s="2" t="n"/>
      <c r="P5" s="2" t="inlineStr"/>
      <c r="Q5" s="2" t="n"/>
      <c r="R5" s="2" t="n"/>
      <c r="S5" s="2" t="inlineStr"/>
      <c r="T5" s="2" t="inlineStr"/>
      <c r="U5" s="2" t="inlineStr">
        <is>
          <t>PEER-REVIEWED journal article (OA, CC BY 4.0)</t>
        </is>
      </c>
      <c r="V5" s="6" t="inlineStr">
        <is>
          <t>no comparable value</t>
        </is>
      </c>
      <c r="W5" s="2" t="inlineStr">
        <is>
          <t>n/a</t>
        </is>
      </c>
      <c r="X5" s="2" t="inlineStr">
        <is>
          <t>medium</t>
        </is>
      </c>
      <c r="Y5" s="2" t="inlineStr">
        <is>
          <t>Crossref: title, all 10 authors in the same order, vol 20 iss 5 art 054065, published 29 Apr 2025 MATCH. doi.org returns 200 but lands on an IOP bot-check (perfdrive) page; PDF not retrievable. ABSTRACT VERIFIED: plume detected 'just below cloud bases at 700-900 m', estimated production rate 4 x 10^14 s-1, peak ~1e3 cm-3 at cloud base. UNVERIFIED (full text): '320 nozzles / 68 mL/s', '50 nm at 0.5% SS, 73 nm at 0.2% SS', '~9 in 100 arrivals do not activate'.</t>
        </is>
      </c>
    </row>
    <row r="6">
      <c r="A6" s="4" t="inlineStr">
        <is>
          <t>E_claims_refs</t>
        </is>
      </c>
      <c r="B6" s="2" t="inlineStr">
        <is>
          <t>References</t>
        </is>
      </c>
      <c r="C6" s="2" t="inlineStr">
        <is>
          <t>A7:D7</t>
        </is>
      </c>
      <c r="D6" s="2" t="inlineStr">
        <is>
          <t>REFERENCE AUDIT</t>
        </is>
      </c>
      <c r="E6" s="2" t="inlineStr">
        <is>
          <t>Hernandez-Jaramillo et al. 2025a (plume review)</t>
        </is>
      </c>
      <c r="F6" s="2" t="inlineStr"/>
      <c r="G6" s="2" t="inlineStr">
        <is>
          <t>Hernandez-Jaramillo, D., Kelaher, B., &amp; Harrison, D. (2025). A review of plume dispersion and measurement techniques applicable to marine cloud brightening. Front. Mar. Sci., 12, 1450175.</t>
        </is>
      </c>
      <c r="H6" s="2" t="inlineStr">
        <is>
          <t>Hernandez-Jaramillo et al. 2025a</t>
        </is>
      </c>
      <c r="I6" s="2" t="inlineStr">
        <is>
          <t>Hernandez-Jaramillo, D., Kelaher, B., &amp; Harrison, D. (2025). A review of plume dispersion and measurement techniques applicable to marine cloud brightening. Front. Mar. Sci., 12, 1450175.</t>
        </is>
      </c>
      <c r="J6" s="2" t="inlineStr">
        <is>
          <t>10.3389/fmars.2025.1450175</t>
        </is>
      </c>
      <c r="K6" s="8" t="inlineStr">
        <is>
          <t>https://doi.org/10.3389/fmars.2025.1450175</t>
        </is>
      </c>
      <c r="L6" s="2" t="n">
        <v>200</v>
      </c>
      <c r="M6" s="2" t="inlineStr">
        <is>
          <t>intro, plume model section</t>
        </is>
      </c>
      <c r="N6" s="2" t="inlineStr">
        <is>
          <t>full text</t>
        </is>
      </c>
      <c r="O6" s="2" t="n"/>
      <c r="P6" s="2" t="inlineStr"/>
      <c r="Q6" s="2" t="n"/>
      <c r="R6" s="2" t="n"/>
      <c r="S6" s="2" t="inlineStr"/>
      <c r="T6" s="2" t="inlineStr"/>
      <c r="U6" s="2" t="inlineStr">
        <is>
          <t>PEER-REVIEWED review article (Frontiers, OA)</t>
        </is>
      </c>
      <c r="V6" s="6" t="inlineStr">
        <is>
          <t>no comparable value</t>
        </is>
      </c>
      <c r="W6" s="2" t="inlineStr">
        <is>
          <t>n/a</t>
        </is>
      </c>
      <c r="X6" s="2" t="inlineStr">
        <is>
          <t>high</t>
        </is>
      </c>
      <c r="Y6" s="2" t="inlineStr">
        <is>
          <t>Crossref + PDF: title, 3 authors, vol 12 art 1450175, 26 Feb 2025 MATCH. Label 'a' suffix is odd (no 2025b in the tab; the ERL paper is listed as plain 2025). WHERE USED MISMATCH: tab says '5a (survival factor, activation diameter)'. The review contains no numeric survival fraction or activation diameter; it says particle-survival-fraction expressions exist in other studies and effectiveness 'depends on what fraction ... are incorporated into clouds' (open gap, as workbook H5 itself states). It does cite optimal dry sizes of 30-60 nm and 30-100 nm. So the 0.1-0.5 survival range is a workbook assumption, not sourced here.</t>
        </is>
      </c>
    </row>
    <row r="7">
      <c r="A7" s="4" t="inlineStr">
        <is>
          <t>E_claims_refs</t>
        </is>
      </c>
      <c r="B7" s="2" t="inlineStr">
        <is>
          <t>References</t>
        </is>
      </c>
      <c r="C7" s="2" t="inlineStr">
        <is>
          <t>A8:D8</t>
        </is>
      </c>
      <c r="D7" s="2" t="inlineStr">
        <is>
          <t>REFERENCE AUDIT</t>
        </is>
      </c>
      <c r="E7" s="2" t="inlineStr">
        <is>
          <t>CS-01 2025 (RRAP report)</t>
        </is>
      </c>
      <c r="F7" s="2" t="inlineStr"/>
      <c r="G7" s="2" t="inlineStr">
        <is>
          <t>Harrison, D., Ristovski, Z., Ryan, R., Zhao, W., Sulo, J., Horchler, J., Huang, Y., Schofield, R., Deschaseaux, E., Harrison, L., Holloway, C., Braga, R., Rosenfeld, D., &amp; Siems, S. (2025). RRAP GBR Atmospheric Survey (CS-01) Final Report 2025 (33 pp).</t>
        </is>
      </c>
      <c r="H7" s="2" t="inlineStr">
        <is>
          <t>CS-01 2025</t>
        </is>
      </c>
      <c r="I7" s="2" t="inlineStr">
        <is>
          <t>Harrison, D., Ristovski, Z., Ryan, R., Zhao, W., Sulo, J., Horchler, J., Huang, Y., Schofield, R., Deschaseaux, E., Harrison, L., Holloway, C., Braga, R., Rosenfeld, D., &amp; Siems, S. (2025). RRAP GBR Atmospheric Survey (CS-01) Final Report 2025 (33 pp).</t>
        </is>
      </c>
      <c r="J7" s="2" t="inlineStr"/>
      <c r="K7" s="8" t="inlineStr">
        <is>
          <t>https://gbrrestoration.org/wp-content/uploads/2026/06/RRAP-CS-01_FINAL-REPORT-2025.pdf</t>
        </is>
      </c>
      <c r="L7" s="2" t="n">
        <v>200</v>
      </c>
      <c r="M7" s="2" t="inlineStr">
        <is>
          <t>p.11 (text line 410)</t>
        </is>
      </c>
      <c r="N7" s="2" t="inlineStr">
        <is>
          <t>full text</t>
        </is>
      </c>
      <c r="O7" s="2" t="n"/>
      <c r="P7" s="2" t="inlineStr"/>
      <c r="Q7" s="2" t="n"/>
      <c r="R7" s="2" t="n"/>
      <c r="S7" s="2" t="inlineStr"/>
      <c r="T7" s="2" t="inlineStr"/>
      <c r="U7" s="2" t="inlineStr">
        <is>
          <t>GREY LITERATURE: program final report, not peer reviewed</t>
        </is>
      </c>
      <c r="V7" s="6" t="inlineStr">
        <is>
          <t>no comparable value</t>
        </is>
      </c>
      <c r="W7" s="2" t="inlineStr">
        <is>
          <t>n/a</t>
        </is>
      </c>
      <c r="X7" s="2" t="inlineStr">
        <is>
          <t>high</t>
        </is>
      </c>
      <c r="Y7" s="2" t="inlineStr">
        <is>
          <t>URL 200 pdf, 33 pages MATCH, 14 authors in same order MATCH, 'Final Report June 2025'. Cover header reads 'RRAP-CS-03' above the CS-01 title (report-side inconsistency, not the workbook's). Where used VERIFIED: 'potentially susceptible to seeding effects during summer is 20% at the north and increases to 55% at the south'. Workbook takes 0.2 (the northern minimum) as cloud availability; range is 20-55%, so 0.2 is the low end (conservative, against MCB).</t>
        </is>
      </c>
    </row>
    <row r="8">
      <c r="A8" s="4" t="inlineStr">
        <is>
          <t>E_claims_refs</t>
        </is>
      </c>
      <c r="B8" s="2" t="inlineStr">
        <is>
          <t>References</t>
        </is>
      </c>
      <c r="C8" s="2" t="inlineStr">
        <is>
          <t>A9:D9</t>
        </is>
      </c>
      <c r="D8" s="2" t="inlineStr">
        <is>
          <t>REFERENCE AUDIT</t>
        </is>
      </c>
      <c r="E8" s="2" t="inlineStr">
        <is>
          <t>CS-06 2025 (RRAP report)</t>
        </is>
      </c>
      <c r="F8" s="2" t="inlineStr"/>
      <c r="G8" s="2" t="inlineStr">
        <is>
          <t>Harrison, D. P., Ristovski, Z., Rosenfeld, D., Holloway, C., Cleary, M., Kourmatzis, A., Harrison, L., Braga, R. C., Medcraft, C., Hernandez-Jaramillo, D. C., et al. (2025). RRAP Cloud and Sky Brightening Development (CS-06) Final Report 2025 (56 pp).</t>
        </is>
      </c>
      <c r="H8" s="2" t="inlineStr">
        <is>
          <t>CS-06 2025</t>
        </is>
      </c>
      <c r="I8" s="2" t="inlineStr">
        <is>
          <t>Harrison, D. P., Ristovski, Z., Rosenfeld, D., Holloway, C., Cleary, M., Kourmatzis, A., Harrison, L., Braga, R. C., Medcraft, C., Hernandez-Jaramillo, D. C., et al. (2025). RRAP Cloud and Sky Brightening Development (CS-06) Final Report 2025 (56 pp).</t>
        </is>
      </c>
      <c r="J8" s="2" t="inlineStr"/>
      <c r="K8" s="8" t="inlineStr">
        <is>
          <t>https://gbrrestoration.org/wp-content/uploads/2026/06/RRAP-CS-06_FINAL-REPORT-2025.pdf</t>
        </is>
      </c>
      <c r="L8" s="2" t="n">
        <v>200</v>
      </c>
      <c r="M8" s="2" t="inlineStr"/>
      <c r="N8" s="2" t="inlineStr">
        <is>
          <t>full text</t>
        </is>
      </c>
      <c r="O8" s="2" t="n"/>
      <c r="P8" s="2" t="inlineStr"/>
      <c r="Q8" s="2" t="n"/>
      <c r="R8" s="2" t="n"/>
      <c r="S8" s="2" t="inlineStr"/>
      <c r="T8" s="2" t="inlineStr"/>
      <c r="U8" s="2" t="inlineStr">
        <is>
          <t>GREY LITERATURE: program final report, not peer reviewed</t>
        </is>
      </c>
      <c r="V8" s="6" t="inlineStr">
        <is>
          <t>no comparable value</t>
        </is>
      </c>
      <c r="W8" s="2" t="inlineStr">
        <is>
          <t>n/a</t>
        </is>
      </c>
      <c r="X8" s="2" t="inlineStr">
        <is>
          <t>high</t>
        </is>
      </c>
      <c r="Y8" s="2" t="inlineStr">
        <is>
          <t>URL 200 pdf, 56 pages MATCH, title/year MATCH ('June 2025'; cited author order differs slightly: report lists Ristovski second and Rosenfeld third, matches). Where used VERIFIED: 30-800 nm target (Fig 5 caption), ~10^15 s-1 at 320 kW, 2.7e14 droplets/s from 100 nozzles with ~40 nm mode, plumes 800-900 m, background CCN 50-200 cm-3 with most common ~100 cm-3 (supersaturation 0.3-0.7%). Page numbers not each checked.</t>
        </is>
      </c>
    </row>
    <row r="9">
      <c r="A9" s="4" t="inlineStr">
        <is>
          <t>E_claims_refs</t>
        </is>
      </c>
      <c r="B9" s="2" t="inlineStr">
        <is>
          <t>References</t>
        </is>
      </c>
      <c r="C9" s="2" t="inlineStr">
        <is>
          <t>A10:D10</t>
        </is>
      </c>
      <c r="D9" s="2" t="inlineStr">
        <is>
          <t>REFERENCE AUDIT</t>
        </is>
      </c>
      <c r="E9" s="2" t="inlineStr">
        <is>
          <t>Latham et al. 2012</t>
        </is>
      </c>
      <c r="F9" s="2" t="inlineStr"/>
      <c r="G9" s="2" t="inlineStr">
        <is>
          <t>Latham, J., Bower, K., Choularton, T., Coe, H., Connolly, P., Cooper, G., Craft, T., Foster, J., Gadian, A., et al. (2012). Marine cloud brightening. Phil. Trans. R. Soc. A, 370, 4217-4262.</t>
        </is>
      </c>
      <c r="H9" s="2" t="inlineStr">
        <is>
          <t>Latham et al. 2012</t>
        </is>
      </c>
      <c r="I9" s="2" t="inlineStr">
        <is>
          <t>Latham, J., Bower, K., Choularton, T., Coe, H., Connolly, P., Cooper, G., Craft, T., Foster, J., Gadian, A., et al. (2012). Marine cloud brightening. Phil. Trans. R. Soc. A, 370, 4217-4262.</t>
        </is>
      </c>
      <c r="J9" s="2" t="inlineStr">
        <is>
          <t>10.1098/rsta.2012.0086</t>
        </is>
      </c>
      <c r="K9" s="8" t="inlineStr">
        <is>
          <t>https://doi.org/10.1098/rsta.2012.0086</t>
        </is>
      </c>
      <c r="L9" s="2" t="n">
        <v>403</v>
      </c>
      <c r="M9" s="2" t="inlineStr">
        <is>
          <t>p.4251</t>
        </is>
      </c>
      <c r="N9" s="2" t="inlineStr">
        <is>
          <t>full text</t>
        </is>
      </c>
      <c r="O9" s="2" t="n"/>
      <c r="P9" s="2" t="inlineStr"/>
      <c r="Q9" s="2" t="n"/>
      <c r="R9" s="2" t="n"/>
      <c r="S9" s="2" t="inlineStr"/>
      <c r="T9" s="2" t="inlineStr"/>
      <c r="U9" s="2" t="inlineStr">
        <is>
          <t>PEER-REVIEWED journal article</t>
        </is>
      </c>
      <c r="V9" s="6" t="inlineStr">
        <is>
          <t>no comparable value</t>
        </is>
      </c>
      <c r="W9" s="2" t="inlineStr">
        <is>
          <t>n/a</t>
        </is>
      </c>
      <c r="X9" s="2" t="inlineStr">
        <is>
          <t>high</t>
        </is>
      </c>
      <c r="Y9" s="2" t="inlineStr">
        <is>
          <t>Crossref: title, vol 370 iss 1974 pp 4217-4262, 13 Sep 2012, 25 authors (first 9 match) MATCH. doi.org 403 (publisher bot block); full text read from White Rose accepted manuscript. Where used VERIFIED in substance: 'a sprayer source rate of approximately from 10^15 to 10^16 particles per second [4,5]' to raise droplet conc. from 50-100 to 200-400 cm-3 (p.4251). That number is itself a secondary citation (refs 4,5) and a single-sprayer/regional figure; workbook phrase 'per sprayer' is a fair paraphrase. 2012 is old relative to the 2025 field data.</t>
        </is>
      </c>
    </row>
    <row r="10">
      <c r="A10" s="4" t="inlineStr">
        <is>
          <t>E_claims_refs</t>
        </is>
      </c>
      <c r="B10" s="2" t="inlineStr">
        <is>
          <t>References</t>
        </is>
      </c>
      <c r="C10" s="2" t="inlineStr">
        <is>
          <t>A11:D11</t>
        </is>
      </c>
      <c r="D10" s="2" t="inlineStr">
        <is>
          <t>REFERENCE AUDIT</t>
        </is>
      </c>
      <c r="E10" s="2" t="inlineStr">
        <is>
          <t>Hirasawa et al. 2026</t>
        </is>
      </c>
      <c r="F10" s="2" t="inlineStr"/>
      <c r="G10" s="2" t="inlineStr">
        <is>
          <t>Hirasawa, H., Henry, M., Mason, E., Rasch, P. J., Doherty, S. J., &amp; Wood, R. (2026). Forcing Susceptibility and Climate Sensitivity to Midlatitude Marine Cloud Brightening. J. Climate, 39(2), 769-784.</t>
        </is>
      </c>
      <c r="H10" s="2" t="inlineStr">
        <is>
          <t>Hirasawa et al. 2026</t>
        </is>
      </c>
      <c r="I10" s="2" t="inlineStr">
        <is>
          <t>Hirasawa, H., Henry, M., Mason, E., Rasch, P. J., Doherty, S. J., &amp; Wood, R. (2026). Forcing Susceptibility and Climate Sensitivity to Midlatitude Marine Cloud Brightening. J. Climate, 39(2), 769-784.</t>
        </is>
      </c>
      <c r="J10" s="2" t="inlineStr">
        <is>
          <t>10.1175/JCLI-D-25-0337.1</t>
        </is>
      </c>
      <c r="K10" s="8" t="inlineStr">
        <is>
          <t>https://doi.org/10.1175/JCLI-D-25-0337.1</t>
        </is>
      </c>
      <c r="L10" s="2" t="n">
        <v>403</v>
      </c>
      <c r="M10" s="2" t="inlineStr"/>
      <c r="N10" s="2" t="inlineStr">
        <is>
          <t>abstract only</t>
        </is>
      </c>
      <c r="O10" s="2" t="n"/>
      <c r="P10" s="2" t="inlineStr"/>
      <c r="Q10" s="2" t="n"/>
      <c r="R10" s="2" t="n"/>
      <c r="S10" s="2" t="inlineStr"/>
      <c r="T10" s="2" t="inlineStr"/>
      <c r="U10" s="2" t="inlineStr">
        <is>
          <t>PEER-REVIEWED journal article (AMS)</t>
        </is>
      </c>
      <c r="V10" s="6" t="inlineStr">
        <is>
          <t>no comparable value</t>
        </is>
      </c>
      <c r="W10" s="2" t="inlineStr">
        <is>
          <t>n/a</t>
        </is>
      </c>
      <c r="X10" s="2" t="inlineStr">
        <is>
          <t>medium</t>
        </is>
      </c>
      <c r="Y10" s="2" t="inlineStr">
        <is>
          <t>Crossref: title, vol 39 iss 2 pp 769-784, 15 Jan 2026 MATCH. AUTHOR LIST INCOMPLETE: Crossref has 8 authors (Hirasawa, Henry, Mason, Rasch, Doherty, Wood, Haywood, von Salzen); workbook lists 6 with '&amp;' and no 'et al.', omitting Haywood and von Salzen. doi.org 403 (AMS bot block). Abstract VERIFIED: three ESMs, 14 ocean regions, midlatitude emissions give stronger cloud forcing and greater cooling efficiency. Region efficiencies and per-model emission sizes in tab 6a (C7:E13) could NOT be checked against the full text. Emission sizes are actually in the preprint (row 14).</t>
        </is>
      </c>
    </row>
    <row r="11">
      <c r="A11" s="4" t="inlineStr">
        <is>
          <t>E_claims_refs</t>
        </is>
      </c>
      <c r="B11" s="2" t="inlineStr">
        <is>
          <t>References</t>
        </is>
      </c>
      <c r="C11" s="2" t="inlineStr">
        <is>
          <t>A12:D12</t>
        </is>
      </c>
      <c r="D11" s="2" t="inlineStr">
        <is>
          <t>REFERENCE AUDIT</t>
        </is>
      </c>
      <c r="E11" s="2" t="inlineStr">
        <is>
          <t>Estrada et al. 2017</t>
        </is>
      </c>
      <c r="F11" s="2" t="inlineStr"/>
      <c r="G11" s="2" t="inlineStr">
        <is>
          <t>Estrada, F., Botzen, W. J. W., &amp; Tol, R. S. J. (2017). A global economic assessment of city policies to reduce climate change impacts. Nat. Clim. Change, 7, 403-406.</t>
        </is>
      </c>
      <c r="H11" s="2" t="inlineStr">
        <is>
          <t>Estrada et al. 2017</t>
        </is>
      </c>
      <c r="I11" s="2" t="inlineStr">
        <is>
          <t>Estrada, F., Botzen, W. J. W., &amp; Tol, R. S. J. (2017). A global economic assessment of city policies to reduce climate change impacts. Nat. Clim. Change, 7, 403-406.</t>
        </is>
      </c>
      <c r="J11" s="2" t="inlineStr">
        <is>
          <t>10.1038/nclimate3301</t>
        </is>
      </c>
      <c r="K11" s="8" t="inlineStr">
        <is>
          <t>https://doi.org/10.1038/nclimate3301</t>
        </is>
      </c>
      <c r="L11" s="2" t="n">
        <v>200</v>
      </c>
      <c r="M11" s="2" t="inlineStr"/>
      <c r="N11" s="2" t="inlineStr">
        <is>
          <t>abstract only</t>
        </is>
      </c>
      <c r="O11" s="2" t="n"/>
      <c r="P11" s="2" t="inlineStr"/>
      <c r="Q11" s="2" t="n"/>
      <c r="R11" s="2" t="n"/>
      <c r="S11" s="2" t="inlineStr"/>
      <c r="T11" s="2" t="inlineStr"/>
      <c r="U11" s="2" t="inlineStr">
        <is>
          <t>PEER-REVIEWED journal article (paywalled)</t>
        </is>
      </c>
      <c r="V11" s="6" t="inlineStr">
        <is>
          <t>no comparable value</t>
        </is>
      </c>
      <c r="W11" s="2" t="inlineStr">
        <is>
          <t>n/a</t>
        </is>
      </c>
      <c r="X11" s="2" t="inlineStr">
        <is>
          <t>medium</t>
        </is>
      </c>
      <c r="Y11" s="2" t="inlineStr">
        <is>
          <t>Crossref: title, 3 authors, vol 7 iss 6 pp 403-406, 2017 MATCH. Page loads (200) behind paywall. Abstract confirms cost-benefit analysis of urban-heat-island mitigation options (green and cool roofs, cool pavements) for all main cities; '1,692 largest cities' confirmed in Fig 1 caption. The BCR figures quoted in 5d (US$6.00-15.24; 1.59-3.96) are in the paywalled body and were NOT verified. Plausibility: study measures city policies (roofs/pavements), not ocean cloud brightening; tab labels them 'net benefit per $1' whereas Estrada reports benefit-cost ratios (net = BCR-1).</t>
        </is>
      </c>
    </row>
    <row r="12">
      <c r="A12" s="4" t="inlineStr">
        <is>
          <t>E_claims_refs</t>
        </is>
      </c>
      <c r="B12" s="2" t="inlineStr">
        <is>
          <t>References</t>
        </is>
      </c>
      <c r="C12" s="2" t="inlineStr">
        <is>
          <t>A13:D13</t>
        </is>
      </c>
      <c r="D12" s="2" t="inlineStr">
        <is>
          <t>REFERENCE AUDIT</t>
        </is>
      </c>
      <c r="E12" s="2" t="inlineStr">
        <is>
          <t>Burke et al. 2015</t>
        </is>
      </c>
      <c r="F12" s="2" t="inlineStr"/>
      <c r="G12" s="2" t="inlineStr">
        <is>
          <t>Burke, M., Hsiang, S. M., &amp; Miguel, E. (2015). Global non-linear effect of temperature on economic production. Nature, 527, 235-239.</t>
        </is>
      </c>
      <c r="H12" s="2" t="inlineStr">
        <is>
          <t>Burke et al. 2015</t>
        </is>
      </c>
      <c r="I12" s="2" t="inlineStr">
        <is>
          <t>Burke, M., Hsiang, S. M., &amp; Miguel, E. (2015). Global non-linear effect of temperature on economic production. Nature, 527, 235-239.</t>
        </is>
      </c>
      <c r="J12" s="2" t="inlineStr">
        <is>
          <t>10.1038/nature15725</t>
        </is>
      </c>
      <c r="K12" s="8" t="inlineStr">
        <is>
          <t>https://doi.org/10.1038/nature15725</t>
        </is>
      </c>
      <c r="L12" s="2" t="n">
        <v>200</v>
      </c>
      <c r="M12" s="2" t="inlineStr"/>
      <c r="N12" s="2" t="inlineStr">
        <is>
          <t>abstract only</t>
        </is>
      </c>
      <c r="O12" s="2" t="n"/>
      <c r="P12" s="2" t="inlineStr"/>
      <c r="Q12" s="2" t="n"/>
      <c r="R12" s="2" t="n"/>
      <c r="S12" s="2" t="inlineStr"/>
      <c r="T12" s="2" t="inlineStr"/>
      <c r="U12" s="2" t="inlineStr">
        <is>
          <t>PEER-REVIEWED journal article (Nature)</t>
        </is>
      </c>
      <c r="V12" s="6" t="inlineStr">
        <is>
          <t>no comparable value</t>
        </is>
      </c>
      <c r="W12" s="2" t="inlineStr">
        <is>
          <t>n/a</t>
        </is>
      </c>
      <c r="X12" s="2" t="inlineStr">
        <is>
          <t>high</t>
        </is>
      </c>
      <c r="Y12" s="2" t="inlineStr">
        <is>
          <t>Crossref: title, 3 authors, vol 527 iss 7577 pp 235-239, 21 Oct 2015 MATCH. Abstract VERIFIED: 'reducing average global incomes roughly 23% by 2100' (if future adaptation mimics past), productivity peaks at 13 C. The workbook's '~3.7 C' and '~6%/degC' (6a G44) are not in the abstract: 6%/degC is workbook arithmetic (23/3.7=6.2, derived). Workbook central of 3.3%/degC is therefore ~half of the Burke-implied figure, which understates cooling benefit (against MCB). Burke estimates a growth-rate effect and is not natively a '% GDP per degC' number.</t>
        </is>
      </c>
    </row>
    <row r="13">
      <c r="A13" s="4" t="inlineStr">
        <is>
          <t>E_claims_refs</t>
        </is>
      </c>
      <c r="B13" s="2" t="inlineStr">
        <is>
          <t>References</t>
        </is>
      </c>
      <c r="C13" s="2" t="inlineStr">
        <is>
          <t>A14:D14</t>
        </is>
      </c>
      <c r="D13" s="2" t="inlineStr">
        <is>
          <t>REFERENCE AUDIT</t>
        </is>
      </c>
      <c r="E13" s="2" t="inlineStr">
        <is>
          <t>Hirasawa et al. 2026 (preprint)</t>
        </is>
      </c>
      <c r="F13" s="2" t="inlineStr"/>
      <c r="G13" s="2" t="inlineStr">
        <is>
          <t>Hirasawa, H., von Salzen, K., Henry, M., Smith, J., Bender, F. A.-M., Wang, C., Doherty, S., Wood, R., Rasch, P. J., and Haywood, J. (2026). On the Range of Marine Cloud Brightening Radiative Forcing across Earth System Models. EGUsphere preprint.</t>
        </is>
      </c>
      <c r="H13" s="2" t="inlineStr">
        <is>
          <t>Hirasawa et al. 2026</t>
        </is>
      </c>
      <c r="I13" s="2" t="inlineStr">
        <is>
          <t>Hirasawa, H., von Salzen, K., Henry, M., Smith, J., Bender, F. A.-M., Wang, C., Doherty, S., Wood, R., Rasch, P. J., and Haywood, J. (2026). On the Range of Marine Cloud Brightening Radiative Forcing across Earth System Models. EGUsphere preprint.</t>
        </is>
      </c>
      <c r="J13" s="2" t="inlineStr">
        <is>
          <t>10.5194/egusphere-2026-5460</t>
        </is>
      </c>
      <c r="K13" s="8" t="inlineStr">
        <is>
          <t>https://doi.org/10.5194/egusphere-2026-5460</t>
        </is>
      </c>
      <c r="L13" s="2" t="n">
        <v>200</v>
      </c>
      <c r="M13" s="2" t="inlineStr"/>
      <c r="N13" s="2" t="inlineStr">
        <is>
          <t>full text</t>
        </is>
      </c>
      <c r="O13" s="2" t="n"/>
      <c r="P13" s="2" t="inlineStr"/>
      <c r="Q13" s="2" t="n"/>
      <c r="R13" s="2" t="n"/>
      <c r="S13" s="2" t="inlineStr"/>
      <c r="T13" s="2" t="inlineStr"/>
      <c r="U13" s="2" t="inlineStr">
        <is>
          <t>PREPRINT (posted-content), discussion started 21 Sep 2026, not peer reviewed</t>
        </is>
      </c>
      <c r="V13" s="6" t="inlineStr">
        <is>
          <t>no comparable value</t>
        </is>
      </c>
      <c r="W13" s="2" t="inlineStr">
        <is>
          <t>n/a</t>
        </is>
      </c>
      <c r="X13" s="2" t="inlineStr">
        <is>
          <t>high</t>
        </is>
      </c>
      <c r="Y13" s="2" t="inlineStr">
        <is>
          <t>Crossref: title and all 10 authors in same order MATCH, year 2026 MATCH. Where used VERIFIED: Table 1 CCN fraction at S=0.1% CESM2 0.157, E3SMv2 0.131, UKESM1 0.805; Table 2 mass flux for -2 W/m2 CESM2 12.9, CESM2-Ghosh 7.21 Tg/yr. Note: the workbook is dated 10/12/2026, three weeks after posting; the preprint could be revised. Preprint covers 9-10 model configs; workbook uses 4.</t>
        </is>
      </c>
    </row>
    <row r="14">
      <c r="A14" s="4" t="inlineStr">
        <is>
          <t>E_claims_refs</t>
        </is>
      </c>
      <c r="B14" s="2" t="inlineStr">
        <is>
          <t>References</t>
        </is>
      </c>
      <c r="C14" s="2" t="inlineStr">
        <is>
          <t>A16:D16</t>
        </is>
      </c>
      <c r="D14" s="2" t="inlineStr">
        <is>
          <t>REFERENCE AUDIT</t>
        </is>
      </c>
      <c r="E14" s="2" t="inlineStr">
        <is>
          <t>ARIA proposal 2025</t>
        </is>
      </c>
      <c r="F14" s="2" t="inlineStr"/>
      <c r="G14" s="2" t="inlineStr">
        <is>
          <t>Harrison, D. P. et al. (2025). Marine Cloud Brightening in a complex world - moving beyond the Twomey effect. Proposal to ARIA: Exploring Climate Cooling Programme. Southern Cross University.</t>
        </is>
      </c>
      <c r="H14" s="2" t="inlineStr">
        <is>
          <t>ARIA proposal 2025</t>
        </is>
      </c>
      <c r="I14" s="2" t="inlineStr">
        <is>
          <t>Harrison, D. P. et al. (2025). Marine Cloud Brightening in a complex world - moving beyond the Twomey effect. Proposal to ARIA: Exploring Climate Cooling Programme. Southern Cross University.</t>
        </is>
      </c>
      <c r="J14" s="2" t="inlineStr">
        <is>
          <t>10.25918/misc.469</t>
        </is>
      </c>
      <c r="K14" s="8" t="inlineStr">
        <is>
          <t>https://doi.org/10.25918/misc.469</t>
        </is>
      </c>
      <c r="L14" s="2" t="n">
        <v>200</v>
      </c>
      <c r="M14" s="2" t="inlineStr"/>
      <c r="N14" s="2" t="inlineStr">
        <is>
          <t>abstract only</t>
        </is>
      </c>
      <c r="O14" s="2" t="n"/>
      <c r="P14" s="2" t="inlineStr"/>
      <c r="Q14" s="2" t="n"/>
      <c r="R14" s="2" t="n"/>
      <c r="S14" s="2" t="inlineStr"/>
      <c r="T14" s="2" t="inlineStr"/>
      <c r="U14" s="2" t="inlineStr">
        <is>
          <t>NOT PEER REVIEWED: funding proposal (DataCite resourceTypeGeneral 'Other')</t>
        </is>
      </c>
      <c r="V14" s="6" t="inlineStr">
        <is>
          <t>no comparable value</t>
        </is>
      </c>
      <c r="W14" s="2" t="inlineStr">
        <is>
          <t>n/a</t>
        </is>
      </c>
      <c r="X14" s="2" t="inlineStr">
        <is>
          <t>medium</t>
        </is>
      </c>
      <c r="Y14" s="2" t="inlineStr">
        <is>
          <t>DOI resolves (DataCite 200 and doi.org 200 to SCU Esploro page). Title MATCHES. AUTHORSHIP MISMATCH: DataCite creators are Woodhouse, Middleton, Fitzgerald, Hunt, Hoffmann, Ristovski, Miljevic, Harrison (Daniel Patrick), Lemckert. Harrison is 8th of 9, so 'Harrison, D. P. et al.' misattributes the lead. Page is JS-rendered and no file was fetched, so 'Where used' (640 nozzles, ~10^15/s) is UNVERIFIED. Also a proposal is a statement of intent, not a measurement; tab 1 lists it as corroboration.</t>
        </is>
      </c>
    </row>
    <row r="15">
      <c r="A15" s="4" t="inlineStr">
        <is>
          <t>E_claims_refs</t>
        </is>
      </c>
      <c r="B15" s="2" t="inlineStr">
        <is>
          <t>References</t>
        </is>
      </c>
      <c r="C15" s="2" t="inlineStr">
        <is>
          <t>A17:D17</t>
        </is>
      </c>
      <c r="D15" s="2" t="inlineStr">
        <is>
          <t>REFERENCE AUDIT</t>
        </is>
      </c>
      <c r="E15" s="2" t="inlineStr">
        <is>
          <t>PhD thesis 2024</t>
        </is>
      </c>
      <c r="F15" s="2" t="inlineStr"/>
      <c r="G15" s="2" t="inlineStr">
        <is>
          <t>Hernandez Jaramillo, D. C. (2024). Characterisation and dispersion of particle emissions for marine cloud brightening over the Great Barrier Reef. PhD thesis, Southern Cross University.</t>
        </is>
      </c>
      <c r="H15" s="2" t="inlineStr">
        <is>
          <t>PhD thesis 2024</t>
        </is>
      </c>
      <c r="I15" s="2" t="inlineStr">
        <is>
          <t>Hernandez Jaramillo, D. C. (2024). Characterisation and dispersion of particle emissions for marine cloud brightening over the Great Barrier Reef. PhD thesis, Southern Cross University.</t>
        </is>
      </c>
      <c r="J15" s="2" t="inlineStr">
        <is>
          <t>10.25918/thesis.426</t>
        </is>
      </c>
      <c r="K15" s="8" t="inlineStr">
        <is>
          <t>https://doi.org/10.25918/thesis.426</t>
        </is>
      </c>
      <c r="L15" s="2" t="n">
        <v>200</v>
      </c>
      <c r="M15" s="2" t="inlineStr"/>
      <c r="N15" s="2" t="inlineStr">
        <is>
          <t>abstract only</t>
        </is>
      </c>
      <c r="O15" s="2" t="n"/>
      <c r="P15" s="2" t="inlineStr"/>
      <c r="Q15" s="2" t="n"/>
      <c r="R15" s="2" t="n"/>
      <c r="S15" s="2" t="inlineStr"/>
      <c r="T15" s="2" t="inlineStr"/>
      <c r="U15" s="2" t="inlineStr">
        <is>
          <t>THESIS: examined, not journal peer review</t>
        </is>
      </c>
      <c r="V15" s="6" t="inlineStr">
        <is>
          <t>no comparable value</t>
        </is>
      </c>
      <c r="W15" s="2" t="inlineStr">
        <is>
          <t>n/a</t>
        </is>
      </c>
      <c r="X15" s="2" t="inlineStr">
        <is>
          <t>medium</t>
        </is>
      </c>
      <c r="Y15" s="2" t="inlineStr">
        <is>
          <t>DataCite: title MATCH, creator 'Hernandez Jaramillo, Diana C.', year 2024, type Dissertation. Landing page 200 (JS-rendered, text not retrieved). 'Where used' (sprayer generations, plume measurements) is plausible from the title but UNVERIFIED.</t>
        </is>
      </c>
    </row>
    <row r="16">
      <c r="A16" s="4" t="inlineStr">
        <is>
          <t>E_claims_refs</t>
        </is>
      </c>
      <c r="B16" s="2" t="inlineStr">
        <is>
          <t>References</t>
        </is>
      </c>
      <c r="C16" s="2" t="inlineStr">
        <is>
          <t>A19:D19</t>
        </is>
      </c>
      <c r="D16" s="2" t="inlineStr">
        <is>
          <t>REFERENCE AUDIT</t>
        </is>
      </c>
      <c r="E16" s="2" t="inlineStr">
        <is>
          <t>Nozzle price listing</t>
        </is>
      </c>
      <c r="F16" s="2" t="inlineStr"/>
      <c r="G16" s="2" t="inlineStr">
        <is>
          <t>Alibaba product listing for effervescent nozzle hardware.</t>
        </is>
      </c>
      <c r="H16" s="2" t="inlineStr">
        <is>
          <t>Nozzle price listing</t>
        </is>
      </c>
      <c r="I16" s="2" t="inlineStr">
        <is>
          <t>Alibaba product listing for effervescent nozzle hardware.</t>
        </is>
      </c>
      <c r="J16" s="2" t="inlineStr"/>
      <c r="K16" s="8" t="inlineStr">
        <is>
          <t>https://www.alibaba.com/product-detail/Two-fluid-Nozzle-Fuel-Burner-Gas_1601145712214.html</t>
        </is>
      </c>
      <c r="L16" s="2" t="n">
        <v>200</v>
      </c>
      <c r="M16" s="2" t="inlineStr"/>
      <c r="N16" s="2" t="inlineStr">
        <is>
          <t>abstract only</t>
        </is>
      </c>
      <c r="O16" s="2" t="n"/>
      <c r="P16" s="2" t="inlineStr"/>
      <c r="Q16" s="2" t="n"/>
      <c r="R16" s="2" t="n"/>
      <c r="S16" s="2" t="inlineStr"/>
      <c r="T16" s="2" t="inlineStr"/>
      <c r="U16" s="2" t="inlineStr">
        <is>
          <t>NOT A SOURCE: commercial web listing, not archived</t>
        </is>
      </c>
      <c r="V16" s="6" t="inlineStr">
        <is>
          <t>no comparable value</t>
        </is>
      </c>
      <c r="W16" s="2" t="inlineStr">
        <is>
          <t>n/a</t>
        </is>
      </c>
      <c r="X16" s="2" t="inlineStr">
        <is>
          <t>medium</t>
        </is>
      </c>
      <c r="Y16" s="2" t="inlineStr">
        <is>
          <t>Page loads (200, text/html) but price tables are JS/dynamic; no price captured. The listing is for a 'Two-fluid Nozzle Fuel Burner Gas' per its URL slug, i.e. a combustion burner nozzle, not an effervescent seawater atomiser for MCB, so suitability as a price proxy is weak. Workbook tab 2 E40 itself says no published price exists for the SCU/ARIEL nozzle and brackets with CS-07.</t>
        </is>
      </c>
    </row>
    <row r="17">
      <c r="A17" s="4" t="inlineStr">
        <is>
          <t>E_claims_refs</t>
        </is>
      </c>
      <c r="B17" s="2" t="inlineStr">
        <is>
          <t>References</t>
        </is>
      </c>
      <c r="C17" s="2" t="inlineStr">
        <is>
          <t>A20:D20</t>
        </is>
      </c>
      <c r="D17" s="2" t="inlineStr">
        <is>
          <t>REFERENCE AUDIT</t>
        </is>
      </c>
      <c r="E17" s="2" t="inlineStr">
        <is>
          <t>Vessel charter / ship sizing</t>
        </is>
      </c>
      <c r="F17" s="2" t="inlineStr"/>
      <c r="G17" s="2" t="inlineStr">
        <is>
          <t>Charter-market and vessel-spec websites used for ship sizing and charter rates.</t>
        </is>
      </c>
      <c r="H17" s="2" t="inlineStr">
        <is>
          <t>Vessel charter / ship sizing</t>
        </is>
      </c>
      <c r="I17" s="2" t="inlineStr">
        <is>
          <t>Charter-market and vessel-spec websites used for ship sizing and charter rates.</t>
        </is>
      </c>
      <c r="J17" s="2" t="inlineStr"/>
      <c r="K17" s="8" t="inlineStr">
        <is>
          <t>https://horizonoffshoreservices.com/wp-content/uploads/2024/07/HOS269.pdf ; https://www.rivieramm.com/news-content-hub/sticker-shock-price-of-psv-newbuildings-up-68-since-2016-79964</t>
        </is>
      </c>
      <c r="L17" s="2" t="n">
        <v>200</v>
      </c>
      <c r="M17" s="2" t="inlineStr"/>
      <c r="N17" s="2" t="inlineStr">
        <is>
          <t>full text</t>
        </is>
      </c>
      <c r="O17" s="2" t="n"/>
      <c r="P17" s="2" t="inlineStr"/>
      <c r="Q17" s="2" t="n"/>
      <c r="R17" s="2" t="n"/>
      <c r="S17" s="2" t="inlineStr"/>
      <c r="T17" s="2" t="inlineStr"/>
      <c r="U17" s="2" t="inlineStr">
        <is>
          <t>NOT PEER REVIEWED: vendor spec sheet and trade-press article</t>
        </is>
      </c>
      <c r="V17" s="6" t="inlineStr">
        <is>
          <t>no comparable value</t>
        </is>
      </c>
      <c r="W17" s="2" t="inlineStr">
        <is>
          <t>n/a</t>
        </is>
      </c>
      <c r="X17" s="2" t="inlineStr">
        <is>
          <t>medium</t>
        </is>
      </c>
      <c r="Y17" s="2" t="inlineStr">
        <is>
          <t>HOS269.pdf 200 (UT 755 L PSV spec sheet, retrieved). Riviera article returned 429 (rate limited) twice, not 404; content not read, so 'newbuild PSV price, Clarksons basis' is UNVERIFIED. The tab 2 F25 note additionally cites https://www.mdpi.com/2077-1312/13/4/686 as 'Adland PSV average ~9.3 t/day': Crossref says that MDPI paper (J. Mar. Sci. Eng. 13(4):686, Mar 2025) is 'Analysis of Fleet Management Policies for Offshore Platform Supply Vessels: The Brazilian Case' by Vianna, Ribas, Martins Ferreira Filho, Gribkovskaia. No 'Adland' author. MDPI page 403 to script. Attribution mismatch, and the link is not in the References tab.</t>
        </is>
      </c>
    </row>
    <row r="18">
      <c r="A18" s="4" t="inlineStr">
        <is>
          <t>E_claims_refs</t>
        </is>
      </c>
      <c r="B18" s="2" t="inlineStr">
        <is>
          <t>References</t>
        </is>
      </c>
      <c r="C18" s="2" t="inlineStr">
        <is>
          <t>A21:D21</t>
        </is>
      </c>
      <c r="D18" s="2" t="inlineStr">
        <is>
          <t>REFERENCE AUDIT</t>
        </is>
      </c>
      <c r="E18" s="2" t="inlineStr">
        <is>
          <t>World Bank Cool Cities primer</t>
        </is>
      </c>
      <c r="F18" s="2" t="inlineStr"/>
      <c r="G18" s="2" t="inlineStr">
        <is>
          <t>World Bank (2020). Cool Cities: Reducing Urban Heat. Primer / report.</t>
        </is>
      </c>
      <c r="H18" s="2" t="inlineStr">
        <is>
          <t>World Bank Cool Cities primer</t>
        </is>
      </c>
      <c r="I18" s="2" t="inlineStr">
        <is>
          <t>World Bank (2020). Cool Cities: Reducing Urban Heat. Primer / report.</t>
        </is>
      </c>
      <c r="J18" s="2" t="inlineStr">
        <is>
          <t>10.1596/34218</t>
        </is>
      </c>
      <c r="K18" s="8" t="inlineStr">
        <is>
          <t>https://openknowledge.worldbank.org/handle/10986/34218</t>
        </is>
      </c>
      <c r="L18" s="2" t="n">
        <v>200</v>
      </c>
      <c r="M18" s="2" t="inlineStr"/>
      <c r="N18" s="2" t="inlineStr">
        <is>
          <t>abstract only</t>
        </is>
      </c>
      <c r="O18" s="2" t="n"/>
      <c r="P18" s="2" t="inlineStr"/>
      <c r="Q18" s="2" t="n"/>
      <c r="R18" s="2" t="n"/>
      <c r="S18" s="2" t="inlineStr"/>
      <c r="T18" s="2" t="inlineStr"/>
      <c r="U18" s="2" t="inlineStr">
        <is>
          <t>GREY LITERATURE: institutional primer (ESMAP / World Bank)</t>
        </is>
      </c>
      <c r="V18" s="6" t="inlineStr">
        <is>
          <t>no comparable value</t>
        </is>
      </c>
      <c r="W18" s="2" t="inlineStr">
        <is>
          <t>n/a</t>
        </is>
      </c>
      <c r="X18" s="2" t="inlineStr">
        <is>
          <t>medium</t>
        </is>
      </c>
      <c r="Y18" s="2" t="inlineStr">
        <is>
          <t>Handle resolves 200. TITLE MISMATCH: actual title is 'Primer for Cool Cities: Reducing Excessive Urban Heat - With a Focus on Passive Measures' (Crossref: author Energy Sector Management Assistance Program, issued 21 Jul 2020, DOI 10.1596/34218). Year 2020 MATCHES, but the workbook title is a paraphrase, and the DOI is not listed. The primer is a secondary route to Estrada; the 5d BCR figures were not read in the primer.</t>
        </is>
      </c>
    </row>
  </sheetData>
  <autoFilter ref="A1:Y1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70" customWidth="1" min="2" max="2"/>
    <col width="16" customWidth="1" min="3" max="3"/>
    <col width="45" customWidth="1" min="4" max="4"/>
    <col width="16" customWidth="1" min="5" max="5"/>
    <col width="16" customWidth="1" min="6" max="6"/>
    <col width="16" customWidth="1" min="7" max="7"/>
    <col width="40" customWidth="1" min="8" max="8"/>
  </cols>
  <sheetData>
    <row r="1">
      <c r="A1" s="3" t="inlineStr">
        <is>
          <t>source_short</t>
        </is>
      </c>
      <c r="B1" s="3" t="inlineStr">
        <is>
          <t>citation_full</t>
        </is>
      </c>
      <c r="C1" s="3" t="inlineStr">
        <is>
          <t>doi</t>
        </is>
      </c>
      <c r="D1" s="3" t="inlineStr">
        <is>
          <t>url</t>
        </is>
      </c>
      <c r="E1" s="3" t="inlineStr">
        <is>
          <t>url_status</t>
        </is>
      </c>
      <c r="F1" s="3" t="inlineStr">
        <is>
          <t>recheck_2026_10_26</t>
        </is>
      </c>
      <c r="G1" s="3" t="inlineStr">
        <is>
          <t>access</t>
        </is>
      </c>
      <c r="H1" s="3" t="inlineStr">
        <is>
          <t>used_for</t>
        </is>
      </c>
    </row>
    <row r="2">
      <c r="A2" s="4" t="inlineStr">
        <is>
          <t>'$0.8-1.5M/km HVAC export, install +30-60%, 2025-26 market data'</t>
        </is>
      </c>
      <c r="B2" s="2" t="inlineStr">
        <is>
          <t>'$0.8-1.5M/km HVAC export, install +30-60%, 2025-26 market data'</t>
        </is>
      </c>
      <c r="C2" s="2" t="inlineStr"/>
      <c r="D2" s="2" t="inlineStr"/>
      <c r="E2" s="2" t="n"/>
      <c r="F2" s="2" t="inlineStr">
        <is>
          <t>not rechecked</t>
        </is>
      </c>
      <c r="G2" s="2" t="inlineStr">
        <is>
          <t>abstract only</t>
        </is>
      </c>
      <c r="H2" s="2" t="inlineStr">
        <is>
          <t>3c. Outputs - Fixed Platform!A2</t>
        </is>
      </c>
    </row>
    <row r="3">
      <c r="A3" s="4" t="inlineStr">
        <is>
          <t>'~13.7 heatwave days/yr global average in 2010s'</t>
        </is>
      </c>
      <c r="B3" s="2" t="inlineStr">
        <is>
          <t>'~13.7 heatwave days/yr global average in 2010s'</t>
        </is>
      </c>
      <c r="C3" s="2" t="inlineStr"/>
      <c r="D3" s="2" t="inlineStr"/>
      <c r="E3" s="2" t="n"/>
      <c r="F3" s="2" t="inlineStr">
        <is>
          <t>not rechecked</t>
        </is>
      </c>
      <c r="G3" s="2" t="inlineStr">
        <is>
          <t>abstract only</t>
        </is>
      </c>
      <c r="H3" s="2" t="inlineStr">
        <is>
          <t>5d. Benefit - Local - City!B9; D9; G9</t>
        </is>
      </c>
    </row>
    <row r="4">
      <c r="A4" s="4" t="inlineStr">
        <is>
          <t>AIMS25</t>
        </is>
      </c>
      <c r="B4" s="2" t="inlineStr">
        <is>
          <t>Australian Institute of Marine Science (2025). Annual Summary Report of Coral Reef Condition 2024/2025 (web summary; live aims.gov.au times out from this network, read via Wayback snapshot 2026-01-01).</t>
        </is>
      </c>
      <c r="C4" s="2" t="inlineStr"/>
      <c r="D4" s="8" t="inlineStr">
        <is>
          <t>https://web.archive.org/web/20260101034222/https://www.aims.gov.au/monitoring-great-barrier-reef/gbr-condition-summary-2024-25</t>
        </is>
      </c>
      <c r="E4" s="2" t="n">
        <v>200</v>
      </c>
      <c r="F4" s="2" t="inlineStr">
        <is>
          <t>200</t>
        </is>
      </c>
      <c r="G4" s="2" t="inlineStr">
        <is>
          <t>full text</t>
        </is>
      </c>
      <c r="H4" s="2" t="inlineStr">
        <is>
          <t>5c. Benefit - Local - Reef!B32</t>
        </is>
      </c>
    </row>
    <row r="5">
      <c r="A5" s="4" t="inlineStr">
        <is>
          <t>ARIA proposal 2025</t>
        </is>
      </c>
      <c r="B5" s="2" t="inlineStr">
        <is>
          <t>Harrison, D. P. et al. (2025). Marine Cloud Brightening in a complex world - moving beyond the Twomey effect. Proposal to ARIA: Exploring Climate Cooling Programme. Southern Cross University.</t>
        </is>
      </c>
      <c r="C5" s="2" t="inlineStr">
        <is>
          <t>10.25918/misc.469</t>
        </is>
      </c>
      <c r="D5" s="8" t="inlineStr">
        <is>
          <t>https://doi.org/10.25918/misc.469</t>
        </is>
      </c>
      <c r="E5" s="2" t="n">
        <v>200</v>
      </c>
      <c r="F5" s="2" t="inlineStr">
        <is>
          <t>200; 200</t>
        </is>
      </c>
      <c r="G5" s="2" t="inlineStr">
        <is>
          <t>abstract only</t>
        </is>
      </c>
      <c r="H5" s="2" t="inlineStr">
        <is>
          <t>References!A16:D16</t>
        </is>
      </c>
    </row>
    <row r="6">
      <c r="A6" s="4" t="inlineStr">
        <is>
          <t>Ahlm et al. 2017</t>
        </is>
      </c>
      <c r="B6" s="2" t="inlineStr">
        <is>
          <t>Ahlm, L., Jones, A., Stjern, C. W., Muri, H., Kravitz, B., Kristjansson, J. E. (2017). Marine cloud brightening - as effective without clouds. Atmos. Chem. Phys., 17, 13071-13087.</t>
        </is>
      </c>
      <c r="C6" s="2" t="inlineStr">
        <is>
          <t>10.5194/acp-17-13071-2017</t>
        </is>
      </c>
      <c r="D6" s="8" t="inlineStr">
        <is>
          <t>https://doi.org/10.5194/acp-17-13071-2017</t>
        </is>
      </c>
      <c r="E6" s="2" t="n">
        <v>200</v>
      </c>
      <c r="F6" s="2" t="inlineStr">
        <is>
          <t>200; 200</t>
        </is>
      </c>
      <c r="G6" s="2" t="inlineStr">
        <is>
          <t>full text</t>
        </is>
      </c>
      <c r="H6" s="2" t="inlineStr">
        <is>
          <t>6a. Cooling Model - Global!B25:B27</t>
        </is>
      </c>
    </row>
    <row r="7">
      <c r="A7" s="4" t="inlineStr">
        <is>
          <t>Alphaliner 2024 (Monthly Monitor Jul 2024)</t>
        </is>
      </c>
      <c r="B7" s="2" t="inlineStr">
        <is>
          <t>Alphaliner (2024). Monthly Monitor, July 2024, 'Cellular Fleet Breakdown - Existing Fleet' (public sample issue hosted by AXS Marine).</t>
        </is>
      </c>
      <c r="C7" s="2" t="inlineStr"/>
      <c r="D7" s="8" t="inlineStr">
        <is>
          <t>https://public.axsmarine.com/wp-content/uploads/2025/01/Alphaliner_Monthly_Monitor_Sample.pdf</t>
        </is>
      </c>
      <c r="E7" s="2" t="n">
        <v>200</v>
      </c>
      <c r="F7" s="2" t="inlineStr">
        <is>
          <t>200</t>
        </is>
      </c>
      <c r="G7" s="2" t="inlineStr">
        <is>
          <t>full text</t>
        </is>
      </c>
      <c r="H7" s="2" t="inlineStr">
        <is>
          <t>6c. Benefit - Global Piggyback!B54, 6c. Benefit - Global Piggyback!D54</t>
        </is>
      </c>
    </row>
    <row r="8">
      <c r="A8" s="4" t="inlineStr">
        <is>
          <t>Alphaliner 2026 (Global Fleet Snapshot, Mar 2026)</t>
        </is>
      </c>
      <c r="B8" s="2" t="inlineStr">
        <is>
          <t>Alphaliner Global Fleet Snapshot March 2026, as reported by Global Maritime Hub (2 Apr 2026), 'Container shipping hits new fleet and capacity milestones'.</t>
        </is>
      </c>
      <c r="C8" s="2" t="inlineStr"/>
      <c r="D8" s="8" t="inlineStr">
        <is>
          <t>https://globalmaritimehub.com/container-shipping-hits-new-fleet-and-capacity-milestones/</t>
        </is>
      </c>
      <c r="E8" s="2" t="n">
        <v>200</v>
      </c>
      <c r="F8" s="2" t="inlineStr">
        <is>
          <t>200</t>
        </is>
      </c>
      <c r="G8" s="2" t="inlineStr">
        <is>
          <t>paywalled, from secondary</t>
        </is>
      </c>
      <c r="H8" s="2" t="inlineStr">
        <is>
          <t>6c. Benefit - Global Piggyback!B52</t>
        </is>
      </c>
    </row>
    <row r="9">
      <c r="A9" s="4" t="inlineStr">
        <is>
          <t>Alphaliner Apr 2026 / Jul 2024; MDS Transmodal Apr 2025 via UNCTAD RMT 2025</t>
        </is>
      </c>
      <c r="B9" s="2" t="inlineStr">
        <is>
          <t>Alphaliner Apr 2026 / Jul 2024; MDS Transmodal Apr 2025 via UNCTAD RMT 2025</t>
        </is>
      </c>
      <c r="C9" s="2" t="inlineStr"/>
      <c r="D9" s="2" t="inlineStr"/>
      <c r="E9" s="2" t="n"/>
      <c r="F9" s="2" t="inlineStr">
        <is>
          <t>not rechecked</t>
        </is>
      </c>
      <c r="G9" s="2" t="inlineStr">
        <is>
          <t>abstract only</t>
        </is>
      </c>
      <c r="H9" s="2" t="inlineStr">
        <is>
          <t>6c. Benefit - Global Piggyback!B52:D54; A53</t>
        </is>
      </c>
    </row>
    <row r="10">
      <c r="A10" s="4" t="inlineStr">
        <is>
          <t>Alphaliner26</t>
        </is>
      </c>
      <c r="B10" s="2" t="inlineStr">
        <is>
          <t>Alphaliner Global Fleet Snapshot, March 2026, as reported by El Estrecho Digital (1 Apr 2026), 'The global fleet of container ships surpasses 6,700 vessels in operation for the first time'.</t>
        </is>
      </c>
      <c r="C10" s="2" t="inlineStr"/>
      <c r="D10" s="8" t="inlineStr">
        <is>
          <t>https://www.elestrechodigital.com/en/2026/04/01/the-global-fleet-of-container-ships-surpasses-6-700-vessels-in-operation-for-the-first-time</t>
        </is>
      </c>
      <c r="E10" s="2" t="n">
        <v>200</v>
      </c>
      <c r="F10" s="2" t="inlineStr">
        <is>
          <t>200</t>
        </is>
      </c>
      <c r="G10" s="2" t="inlineStr">
        <is>
          <t>paywalled, from secondary</t>
        </is>
      </c>
      <c r="H10" s="2" t="inlineStr">
        <is>
          <t>6c. Benefit - Global Piggyback!B52</t>
        </is>
      </c>
    </row>
    <row r="11">
      <c r="A11" s="4" t="inlineStr">
        <is>
          <t>BLS OOH Wind Turbine Technicians</t>
        </is>
      </c>
      <c r="B11" s="2" t="inlineStr">
        <is>
          <t>U.S. Bureau of Labor Statistics, Occupational Outlook Handbook: Wind Turbine Technicians (May 2024 wage data).</t>
        </is>
      </c>
      <c r="C11" s="2" t="inlineStr"/>
      <c r="D11" s="8" t="inlineStr">
        <is>
          <t>https://www.bls.gov/ooh/installation-maintenance-and-repair/wind-turbine-technicians.htm</t>
        </is>
      </c>
      <c r="E11" s="2" t="n">
        <v>403</v>
      </c>
      <c r="F11" s="2" t="inlineStr">
        <is>
          <t>403</t>
        </is>
      </c>
      <c r="G11" s="2" t="inlineStr">
        <is>
          <t>paywalled, from secondary</t>
        </is>
      </c>
      <c r="H11" s="2" t="inlineStr">
        <is>
          <t>3b. Outputs - Ship Piggyback!B7, 3c. Outputs - Fixed Platform!B7</t>
        </is>
      </c>
    </row>
    <row r="12">
      <c r="A12" s="4" t="inlineStr">
        <is>
          <t>BVG Associates 2023 (Guide to a Floating Offshore Wind Farm)</t>
        </is>
      </c>
      <c r="B12" s="2" t="inlineStr">
        <is>
          <t>BVG Associates (2023). Guide to a Floating Offshore Wind Farm. Published on behalf of ORE Catapult, The Crown Estate and Crown Estate Scotland, May 2023.</t>
        </is>
      </c>
      <c r="C12" s="2" t="inlineStr"/>
      <c r="D12" s="8" t="inlineStr">
        <is>
          <t>https://tethys.pnnl.gov/sites/default/files/publications/BVG_2023.pdf</t>
        </is>
      </c>
      <c r="E12" s="2" t="n">
        <v>200</v>
      </c>
      <c r="F12" s="2" t="inlineStr">
        <is>
          <t>200</t>
        </is>
      </c>
      <c r="G12" s="2" t="inlineStr">
        <is>
          <t>full text</t>
        </is>
      </c>
      <c r="H12" s="2" t="inlineStr">
        <is>
          <t>3c. Outputs - Fixed Platform!A2, 3c. Outputs - Fixed Platform!B5, 3c. Outputs - Fixed Platform!B9</t>
        </is>
      </c>
    </row>
    <row r="13">
      <c r="A13" s="4" t="inlineStr">
        <is>
          <t>Bellouin et al. 2020</t>
        </is>
      </c>
      <c r="B13" s="2" t="inlineStr">
        <is>
          <t>Bellouin, N., Quaas, J., Gryspeerdt, E., et al. (2020). Bounding Global Aerosol Radiative Forcing of Climate Change. Rev. Geophys., 58, e2019RG000660.</t>
        </is>
      </c>
      <c r="C13" s="2" t="inlineStr">
        <is>
          <t>10.1029/2019RG000660</t>
        </is>
      </c>
      <c r="D13" s="8" t="inlineStr">
        <is>
          <t>https://doi.org/10.1029/2019RG000660</t>
        </is>
      </c>
      <c r="E13" s="2" t="n">
        <v>403</v>
      </c>
      <c r="F13" s="2" t="inlineStr">
        <is>
          <t>403 (crossref 200); 403 (crossref 200)</t>
        </is>
      </c>
      <c r="G13" s="2" t="inlineStr">
        <is>
          <t>full text</t>
        </is>
      </c>
      <c r="H13" s="2" t="inlineStr">
        <is>
          <t>5a. Cooling Model - Local!B19</t>
        </is>
      </c>
    </row>
    <row r="14">
      <c r="A14" s="4" t="inlineStr">
        <is>
          <t>Bilal &amp; Kanzig 2024 (rev. 2026)</t>
        </is>
      </c>
      <c r="B14" s="2" t="inlineStr">
        <is>
          <t>Bilal, A., Kanzig, D. R. (2024, revised Jan 2026). The Macroeconomic Impact of Climate Change: Global vs. Local Temperature. NBER Working Paper 32450.</t>
        </is>
      </c>
      <c r="C14" s="2" t="inlineStr">
        <is>
          <t>10.3386/w32450</t>
        </is>
      </c>
      <c r="D14" s="8" t="inlineStr">
        <is>
          <t>https://doi.org/10.3386/w32450</t>
        </is>
      </c>
      <c r="E14" s="2" t="n">
        <v>200</v>
      </c>
      <c r="F14" s="2" t="inlineStr">
        <is>
          <t>200; 200</t>
        </is>
      </c>
      <c r="G14" s="2" t="inlineStr">
        <is>
          <t>full text</t>
        </is>
      </c>
      <c r="H14" s="2" t="inlineStr">
        <is>
          <t>6a. Cooling Model - Global!B45, 6a. Cooling Model - Global!B45; G45; A22/A45</t>
        </is>
      </c>
    </row>
    <row r="15">
      <c r="A15" s="4" t="inlineStr">
        <is>
          <t>Britoil BOS Precious spec sheet</t>
        </is>
      </c>
      <c r="B15" s="2" t="inlineStr">
        <is>
          <t>Britoil Offshore Services. BOS Precious Vessel Specification (73.6 m DPS-2 offshore support vessel, built 2010), performance table.</t>
        </is>
      </c>
      <c r="C15" s="2" t="inlineStr"/>
      <c r="D15" s="8" t="inlineStr">
        <is>
          <t>https://www.britoil.com.sg/hubfs/BOS%20Precious%20Vessel%20Specification.pdf?hsLang=en</t>
        </is>
      </c>
      <c r="E15" s="2" t="n">
        <v>200</v>
      </c>
      <c r="F15" s="2" t="inlineStr">
        <is>
          <t>200</t>
        </is>
      </c>
      <c r="G15" s="2" t="inlineStr">
        <is>
          <t>full text</t>
        </is>
      </c>
      <c r="H15" s="2" t="inlineStr">
        <is>
          <t>3d. Outputs - Stationary Vessel!B9</t>
        </is>
      </c>
    </row>
    <row r="16">
      <c r="A16" s="4" t="inlineStr">
        <is>
          <t>Burke et al. 2015</t>
        </is>
      </c>
      <c r="B16" s="2" t="inlineStr">
        <is>
          <t>Burke, M., Hsiang, S. M., Miguel, E. (2015). Global non-linear effect of temperature on economic production. Nature, 527, 235-239.</t>
        </is>
      </c>
      <c r="C16" s="2" t="inlineStr">
        <is>
          <t>10.1038/nature15725</t>
        </is>
      </c>
      <c r="D16" s="8" t="inlineStr">
        <is>
          <t>https://doi.org/10.1038/nature15725</t>
        </is>
      </c>
      <c r="E16" s="2" t="n">
        <v>200</v>
      </c>
      <c r="F16" s="2" t="inlineStr">
        <is>
          <t>200; 200</t>
        </is>
      </c>
      <c r="G16" s="2" t="inlineStr">
        <is>
          <t>abstract only</t>
        </is>
      </c>
      <c r="H16" s="2" t="inlineStr">
        <is>
          <t>6a. Cooling Model - Global!B44, References!A13:D13</t>
        </is>
      </c>
    </row>
    <row r="17">
      <c r="A17" s="4" t="inlineStr">
        <is>
          <t>CS-06 2025 (2020 sea trial)</t>
        </is>
      </c>
      <c r="B17" s="2" t="inlineStr">
        <is>
          <t>Harrison, D. P. et al. (2025). RRAP Cloud and Sky Brightening Development (CS-06) Final Report 2025. Reef Restoration and Adaptation Program.</t>
        </is>
      </c>
      <c r="C17" s="2" t="inlineStr"/>
      <c r="D17" s="8" t="inlineStr">
        <is>
          <t>https://gbrrestoration.org/wp-content/uploads/2026/06/RRAP-CS-06_FINAL-REPORT-2025.pdf</t>
        </is>
      </c>
      <c r="E17" s="2" t="n">
        <v>200</v>
      </c>
      <c r="F17" s="2" t="inlineStr">
        <is>
          <t>200</t>
        </is>
      </c>
      <c r="G17" s="2" t="inlineStr">
        <is>
          <t>full text</t>
        </is>
      </c>
      <c r="H17" s="2" t="inlineStr">
        <is>
          <t>1. Technology Description!B10, 1. Technology Description!B8, 1. Technology Description!H18, 1. Technology Description!H19, 2. Cost Inputs!B14, 5a. Cooling Model - Local!B12, 5a. Cooling Model - Local!B18, 5a. Cooling Model - Local!B6, 5a. Cooling Model - Local!B9, Overview!A10, Overview!A6, References!A9:D9</t>
        </is>
      </c>
    </row>
    <row r="18">
      <c r="A18" s="4" t="inlineStr">
        <is>
          <t>Christensen et al. 2022</t>
        </is>
      </c>
      <c r="B18" s="2" t="inlineStr">
        <is>
          <t>Christensen, M. W., Gettelman, A., Cermak, J., et al. (2022). Opportunistic experiments to constrain aerosol effective radiative forcing. Atmos. Chem. Phys., 22, 641-674.</t>
        </is>
      </c>
      <c r="C18" s="2" t="inlineStr">
        <is>
          <t>10.5194/acp-22-641-2022</t>
        </is>
      </c>
      <c r="D18" s="8" t="inlineStr">
        <is>
          <t>https://doi.org/10.5194/acp-22-641-2022</t>
        </is>
      </c>
      <c r="E18" s="2" t="n">
        <v>200</v>
      </c>
      <c r="F18" s="2" t="inlineStr">
        <is>
          <t>200; 200</t>
        </is>
      </c>
      <c r="G18" s="2" t="inlineStr">
        <is>
          <t>abstract only</t>
        </is>
      </c>
      <c r="H18" s="2" t="inlineStr">
        <is>
          <t>5a. Cooling Model - Local!B19</t>
        </is>
      </c>
    </row>
    <row r="19">
      <c r="A19" s="4" t="inlineStr">
        <is>
          <t>DOT_VSL</t>
        </is>
      </c>
      <c r="B19" s="2" t="inlineStr">
        <is>
          <t>US DOT, Departmental Guidance on Valuation of a Statistical Life in Economic Analysis (2024 update, $13.2M 2023$); value read via DHS/USCG May 2024 VSL memo as quoted in search results.</t>
        </is>
      </c>
      <c r="C19" s="2" t="inlineStr"/>
      <c r="D19" s="8" t="inlineStr">
        <is>
          <t>https://www.transportation.gov/office-policy/transportation-policy/revised-departmental-guidance-on-valuation-of-a-statistical-life-in-economic-analysis</t>
        </is>
      </c>
      <c r="E19" s="2" t="n">
        <v>403</v>
      </c>
      <c r="F19" s="2" t="inlineStr">
        <is>
          <t>403</t>
        </is>
      </c>
      <c r="G19" s="2" t="inlineStr">
        <is>
          <t>paywalled, from secondary</t>
        </is>
      </c>
      <c r="H19" s="2" t="inlineStr">
        <is>
          <t>5d. Benefit - Local - City!B27</t>
        </is>
      </c>
    </row>
    <row r="20">
      <c r="A20" s="4" t="inlineStr">
        <is>
          <t>Damodaran Jan 2026 (Shipbuilding &amp; Marine)</t>
        </is>
      </c>
      <c r="B20" s="2" t="inlineStr">
        <is>
          <t>Damodaran, A. Cost of Capital by Sector (US), data as of January 2026. NYU Stern.</t>
        </is>
      </c>
      <c r="C20" s="2" t="inlineStr"/>
      <c r="D20" s="8" t="inlineStr">
        <is>
          <t>https://pages.stern.nyu.edu/~adamodar/New_Home_Page/datafile/wacc.html</t>
        </is>
      </c>
      <c r="E20" s="2" t="n">
        <v>200</v>
      </c>
      <c r="F20" s="2" t="inlineStr">
        <is>
          <t>200</t>
        </is>
      </c>
      <c r="G20" s="2" t="inlineStr">
        <is>
          <t>full text</t>
        </is>
      </c>
      <c r="H20" s="2" t="inlineStr">
        <is>
          <t>2. Cost Inputs!B7</t>
        </is>
      </c>
    </row>
    <row r="21">
      <c r="A21" s="4" t="inlineStr">
        <is>
          <t>Deloitte Access Economics 2025 'At What Cost?'</t>
        </is>
      </c>
      <c r="B21" s="2" t="inlineStr">
        <is>
          <t>Deloitte Access Economics 2025 'At What Cost?'</t>
        </is>
      </c>
      <c r="C21" s="2" t="inlineStr"/>
      <c r="D21" s="2" t="inlineStr"/>
      <c r="E21" s="2" t="n"/>
      <c r="F21" s="2" t="inlineStr">
        <is>
          <t>not rechecked</t>
        </is>
      </c>
      <c r="G21" s="2" t="inlineStr">
        <is>
          <t>abstract only</t>
        </is>
      </c>
      <c r="H21" s="2" t="inlineStr">
        <is>
          <t>5c. Benefit - Local - Reef!D27; D31; A31</t>
        </is>
      </c>
    </row>
    <row r="22">
      <c r="A22" s="4" t="inlineStr">
        <is>
          <t>Deloitte17</t>
        </is>
      </c>
      <c r="B22" s="2" t="inlineStr">
        <is>
          <t>Deloitte Access Economics (2017). At what price? The economic, social and icon value of the Great Barrier Reef. Great Barrier Reef Foundation.</t>
        </is>
      </c>
      <c r="C22" s="2" t="inlineStr"/>
      <c r="D22" s="8" t="inlineStr">
        <is>
          <t>https://www.deloitte.com/content/dam/assets-zone1/au/en/docs/services/economics/deloitte-au-economics-great-barrier-reef-230617.pdf</t>
        </is>
      </c>
      <c r="E22" s="2" t="n">
        <v>200</v>
      </c>
      <c r="F22" s="2" t="inlineStr">
        <is>
          <t>200</t>
        </is>
      </c>
      <c r="G22" s="2" t="inlineStr">
        <is>
          <t>full text</t>
        </is>
      </c>
      <c r="H22" s="2" t="inlineStr">
        <is>
          <t>5c. Benefit - Local - Reef!B31, 5c. Benefit - Local - Reef!D28</t>
        </is>
      </c>
    </row>
    <row r="23">
      <c r="A23" s="4" t="inlineStr">
        <is>
          <t>Deloitte25</t>
        </is>
      </c>
      <c r="B23" s="2" t="inlineStr">
        <is>
          <t>Deloitte Access Economics (2025). At What Cost? Safeguarding the Great Barrier Reef's Role in Australia's Economy. Report for the Great Barrier Reef Foundation (summary via Global Fund for Coral Reefs knowledge page; full report not obtained).</t>
        </is>
      </c>
      <c r="C23" s="2" t="inlineStr"/>
      <c r="D23" s="8" t="inlineStr">
        <is>
          <t>https://globalfundcoralreefs.org/reef-plus/knowledge/at-what-cost-safeguarding-the-great-barrier-reef-s-role-in-australia-s-economy/</t>
        </is>
      </c>
      <c r="E23" s="2" t="n">
        <v>200</v>
      </c>
      <c r="F23" s="2" t="inlineStr">
        <is>
          <t>200</t>
        </is>
      </c>
      <c r="G23" s="2" t="inlineStr">
        <is>
          <t>paywalled, from secondary</t>
        </is>
      </c>
      <c r="H23" s="2" t="inlineStr">
        <is>
          <t>5c. Benefit - Local - Reef!B31</t>
        </is>
      </c>
    </row>
    <row r="24">
      <c r="A24" s="4" t="inlineStr">
        <is>
          <t>Derived hydraulic lower bound (physics)</t>
        </is>
      </c>
      <c r="B24" s="2" t="inlineStr">
        <is>
          <t>Derived: E = rho g H /(eta x 3.6e6) kWh/m3; assumes head 10-30 m, pump+motor efficiency 0.5-0.7. Not a literature value.</t>
        </is>
      </c>
      <c r="C24" s="2" t="inlineStr"/>
      <c r="D24" s="2" t="inlineStr"/>
      <c r="E24" s="2" t="n"/>
      <c r="F24" s="2" t="inlineStr">
        <is>
          <t>not rechecked</t>
        </is>
      </c>
      <c r="G24" s="2" t="inlineStr">
        <is>
          <t>n/a</t>
        </is>
      </c>
      <c r="H24" s="2" t="inlineStr">
        <is>
          <t>1. Technology Description!B26</t>
        </is>
      </c>
    </row>
    <row r="25">
      <c r="A25" s="4" t="inlineStr">
        <is>
          <t>Detrick et al. 2000 (DEOS moored buoy study)</t>
        </is>
      </c>
      <c r="B25" s="2" t="inlineStr">
        <is>
          <t>Detrick, R., Frye, D., Collins, J., et al. (c.2000-2001). DEOS Moored Buoy Observatory Design Study. Woods Hole Oceanographic Institution / Scripps / Deep Oil Technology.</t>
        </is>
      </c>
      <c r="C25" s="2" t="inlineStr"/>
      <c r="D25" s="8" t="inlineStr">
        <is>
          <t>https://www.ncedc.org/ftp/outgoing/barbara/,ion/o2001024.pdf</t>
        </is>
      </c>
      <c r="E25" s="2" t="n">
        <v>200</v>
      </c>
      <c r="F25" s="2" t="inlineStr">
        <is>
          <t>200</t>
        </is>
      </c>
      <c r="G25" s="2" t="inlineStr">
        <is>
          <t>full text</t>
        </is>
      </c>
      <c r="H25" s="2" t="inlineStr">
        <is>
          <t>3c. Outputs - Fixed Platform!B10</t>
        </is>
      </c>
    </row>
    <row r="26">
      <c r="A26" s="4" t="inlineStr">
        <is>
          <t>Diamond et al. 2020</t>
        </is>
      </c>
      <c r="B26" s="2" t="inlineStr">
        <is>
          <t>Diamond, M. S., Director, H. M., Eastman, R., Possner, A., Wood, R. (2020). Substantial Cloud Brightening From Shipping in Subtropical Low Clouds. AGU Advances, 1, e2019AV000111.</t>
        </is>
      </c>
      <c r="C26" s="2" t="inlineStr">
        <is>
          <t>10.1029/2019AV000111</t>
        </is>
      </c>
      <c r="D26" s="8" t="inlineStr">
        <is>
          <t>https://doi.org/10.1029/2019AV000111</t>
        </is>
      </c>
      <c r="E26" s="2" t="n">
        <v>403</v>
      </c>
      <c r="F26" s="2" t="inlineStr">
        <is>
          <t>403 (crossref 200); 403 (crossref 200)</t>
        </is>
      </c>
      <c r="G26" s="2" t="inlineStr">
        <is>
          <t>abstract only</t>
        </is>
      </c>
      <c r="H26" s="2" t="inlineStr">
        <is>
          <t>5a. Cooling Model - Local!B19</t>
        </is>
      </c>
    </row>
    <row r="27">
      <c r="A27" s="4" t="inlineStr">
        <is>
          <t>ECB reference rates via Frankfurter API</t>
        </is>
      </c>
      <c r="B27" s="2" t="inlineStr">
        <is>
          <t>Frankfurter API (ECB reference rates), AUD to USD daily series 2016-01-01 to 2026-10-23.</t>
        </is>
      </c>
      <c r="C27" s="2" t="inlineStr"/>
      <c r="D27" s="8" t="inlineStr">
        <is>
          <t>https://api.frankfurter.dev/v1/2016-01-01..2026-10-23?base=AUD&amp;symbols=USD</t>
        </is>
      </c>
      <c r="E27" s="2" t="n">
        <v>200</v>
      </c>
      <c r="F27" s="2" t="inlineStr">
        <is>
          <t>200</t>
        </is>
      </c>
      <c r="G27" s="2" t="inlineStr">
        <is>
          <t>full text</t>
        </is>
      </c>
      <c r="H27" s="2" t="inlineStr">
        <is>
          <t>2. Cost Inputs!B8</t>
        </is>
      </c>
    </row>
    <row r="28">
      <c r="A28" s="4" t="inlineStr">
        <is>
          <t>EIA Electric Power Monthly Table 5.6.A</t>
        </is>
      </c>
      <c r="B28" s="2" t="inlineStr">
        <is>
          <t>U.S. EIA, Electric Power Monthly, Table 5.6.A 'Average Price of Electricity to Ultimate Customers by End-Use Sector, by State, August 2026 and 2025' (released 23 Oct 2026).</t>
        </is>
      </c>
      <c r="C28" s="2" t="inlineStr"/>
      <c r="D28" s="8" t="inlineStr">
        <is>
          <t>https://www.eia.gov/electricity/monthly/epm_table_grapher.php?t=epmt_5_6_a</t>
        </is>
      </c>
      <c r="E28" s="2" t="n">
        <v>200</v>
      </c>
      <c r="F28" s="2" t="inlineStr">
        <is>
          <t>200</t>
        </is>
      </c>
      <c r="G28" s="2" t="inlineStr">
        <is>
          <t>full text</t>
        </is>
      </c>
      <c r="H28" s="2" t="inlineStr">
        <is>
          <t>3c. Outputs - Fixed Platform!B8</t>
        </is>
      </c>
    </row>
    <row r="29">
      <c r="A29" s="4" t="inlineStr">
        <is>
          <t>EPA23</t>
        </is>
      </c>
      <c r="B29" s="2" t="inlineStr">
        <is>
          <t>US EPA (2023). Report on the Social Cost of Greenhouse Gases: Estimates Incorporating Recent Scientific Advances (Table ES.1). Live EPA page now 404; read via Wayback snapshot 2024-12-30.</t>
        </is>
      </c>
      <c r="C29" s="2" t="inlineStr"/>
      <c r="D29" s="8" t="inlineStr">
        <is>
          <t>https://web.archive.org/web/20241230213521/https://www.epa.gov/system/files/documents/2023-12/epa_scghg_2023_report_final.pdf</t>
        </is>
      </c>
      <c r="E29" s="2" t="n">
        <v>200</v>
      </c>
      <c r="F29" s="2" t="inlineStr">
        <is>
          <t>200</t>
        </is>
      </c>
      <c r="G29" s="2" t="inlineStr">
        <is>
          <t>full text</t>
        </is>
      </c>
      <c r="H29" s="2" t="inlineStr">
        <is>
          <t>6b. Benefit - Global - Vessel!n/a</t>
        </is>
      </c>
    </row>
    <row r="30">
      <c r="A30" s="4" t="inlineStr">
        <is>
          <t>EPA_VSL</t>
        </is>
      </c>
      <c r="B30" s="2" t="inlineStr">
        <is>
          <t>US EPA, Mortality Risk Valuation (web guidance page).</t>
        </is>
      </c>
      <c r="C30" s="2" t="inlineStr"/>
      <c r="D30" s="8" t="inlineStr">
        <is>
          <t>https://www.epa.gov/environmental-economics/mortality-risk-valuation</t>
        </is>
      </c>
      <c r="E30" s="2" t="n">
        <v>200</v>
      </c>
      <c r="F30" s="2" t="inlineStr">
        <is>
          <t>200</t>
        </is>
      </c>
      <c r="G30" s="2" t="inlineStr">
        <is>
          <t>full text</t>
        </is>
      </c>
      <c r="H30" s="2" t="inlineStr">
        <is>
          <t>5d. Benefit - Local - City!B27</t>
        </is>
      </c>
    </row>
    <row r="31">
      <c r="A31" s="4" t="inlineStr">
        <is>
          <t>Estrada et al. 2017</t>
        </is>
      </c>
      <c r="B31" s="2" t="inlineStr">
        <is>
          <t>Estrada, F., Botzen, W. J. W., &amp; Tol, R. S. J. (2017). A global economic assessment of city policies to reduce climate change impacts. Nat. Clim. Change, 7, 403-406.</t>
        </is>
      </c>
      <c r="C31" s="2" t="inlineStr">
        <is>
          <t>10.1038/nclimate3301</t>
        </is>
      </c>
      <c r="D31" s="8" t="inlineStr">
        <is>
          <t>https://doi.org/10.1038/nclimate3301</t>
        </is>
      </c>
      <c r="E31" s="2" t="n">
        <v>200</v>
      </c>
      <c r="F31" s="2" t="inlineStr">
        <is>
          <t>200; 200</t>
        </is>
      </c>
      <c r="G31" s="2" t="inlineStr">
        <is>
          <t>abstract only</t>
        </is>
      </c>
      <c r="H31" s="2" t="inlineStr">
        <is>
          <t>References!A12:D12</t>
        </is>
      </c>
    </row>
    <row r="32">
      <c r="A32" s="4" t="inlineStr">
        <is>
          <t>Forster et al. 2021 (IPCC AR6 WG1 Ch7)</t>
        </is>
      </c>
      <c r="B32" s="2" t="inlineStr">
        <is>
          <t>Forster, P., Storelvmo, T., Armour, K., et al. (2021). The Earth's Energy Budget, Climate Feedbacks, and Climate Sensitivity. In Climate Change 2021: The Physical Science Basis, WG1 AR6, Ch. 7, pp. 923-1054. Cambridge Univ. Press.</t>
        </is>
      </c>
      <c r="C32" s="2" t="inlineStr">
        <is>
          <t>10.1017/9781009157896.009</t>
        </is>
      </c>
      <c r="D32" s="8" t="inlineStr">
        <is>
          <t>https://doi.org/10.1017/9781009157896.009</t>
        </is>
      </c>
      <c r="E32" s="2" t="n">
        <v>200</v>
      </c>
      <c r="F32" s="2" t="inlineStr">
        <is>
          <t>200; 200</t>
        </is>
      </c>
      <c r="G32" s="2" t="inlineStr">
        <is>
          <t>full text</t>
        </is>
      </c>
      <c r="H32" s="2" t="inlineStr">
        <is>
          <t>6a. Cooling Model - Global!D7:D12</t>
        </is>
      </c>
    </row>
    <row r="33">
      <c r="A33" s="4" t="inlineStr">
        <is>
          <t>Gasparrini15</t>
        </is>
      </c>
      <c r="B33" s="2" t="inlineStr">
        <is>
          <t>Gasparrini, A., Guo, Y., Hashizume, M. et al. (2015). Mortality risk attributable to high and low ambient temperature: a multicountry observational study. Lancet 386:369-375.</t>
        </is>
      </c>
      <c r="C33" s="2" t="inlineStr">
        <is>
          <t>10.1016/S0140-6736(14)62114-0</t>
        </is>
      </c>
      <c r="D33" s="8" t="inlineStr">
        <is>
          <t>https://doi.org/10.1016/S0140-6736(14)62114-0</t>
        </is>
      </c>
      <c r="E33" s="2" t="n">
        <v>200</v>
      </c>
      <c r="F33" s="2" t="inlineStr">
        <is>
          <t>200; 200</t>
        </is>
      </c>
      <c r="G33" s="2" t="inlineStr">
        <is>
          <t>abstract only</t>
        </is>
      </c>
      <c r="H33" s="2" t="inlineStr">
        <is>
          <t>5d. Benefit - Local - City!B23</t>
        </is>
      </c>
    </row>
    <row r="34">
      <c r="A34" s="4" t="inlineStr">
        <is>
          <t>Ghosh et al. 2025 (GMD)</t>
        </is>
      </c>
      <c r="B34" s="2" t="inlineStr">
        <is>
          <t>Ghosh et al. 2025 (GMD)</t>
        </is>
      </c>
      <c r="C34" s="2" t="inlineStr">
        <is>
          <t>10.5194/gmd-18-4899-2025</t>
        </is>
      </c>
      <c r="D34" s="8" t="inlineStr">
        <is>
          <t>https://doi.org/10.5194/gmd-18-4899-2025</t>
        </is>
      </c>
      <c r="E34" s="2" t="n">
        <v>200</v>
      </c>
      <c r="F34" s="2" t="inlineStr">
        <is>
          <t>200; 200</t>
        </is>
      </c>
      <c r="G34" s="2" t="inlineStr">
        <is>
          <t>abstract only</t>
        </is>
      </c>
      <c r="H34" s="2" t="inlineStr">
        <is>
          <t>6a. Cooling Model - Global!G13</t>
        </is>
      </c>
    </row>
    <row r="35">
      <c r="A35" s="4" t="inlineStr">
        <is>
          <t>Glassmeier et al. 2021</t>
        </is>
      </c>
      <c r="B35" s="2" t="inlineStr">
        <is>
          <t>Glassmeier, F., Hoffmann, F., Johnson, J. S., Yamaguchi, T., Carslaw, K. S., Feingold, G. (2021). Aerosol-cloud-climate cooling overestimated by ship-track data. Science, 371, 485-489.</t>
        </is>
      </c>
      <c r="C35" s="2" t="inlineStr">
        <is>
          <t>10.1126/science.abd3980</t>
        </is>
      </c>
      <c r="D35" s="8" t="inlineStr">
        <is>
          <t>https://doi.org/10.1126/science.abd3980</t>
        </is>
      </c>
      <c r="E35" s="2" t="n">
        <v>403</v>
      </c>
      <c r="F35" s="2" t="inlineStr">
        <is>
          <t>403 (crossref 200); 403 (crossref 200)</t>
        </is>
      </c>
      <c r="G35" s="2" t="inlineStr">
        <is>
          <t>abstract only</t>
        </is>
      </c>
      <c r="H35" s="2" t="inlineStr">
        <is>
          <t>5a. Cooling Model - Local!B19</t>
        </is>
      </c>
    </row>
    <row r="36">
      <c r="A36" s="4" t="inlineStr">
        <is>
          <t>Golaz et al. 2022</t>
        </is>
      </c>
      <c r="B36" s="2" t="inlineStr">
        <is>
          <t>Golaz, J.-C., et al. (2022). The DOE E3SM Model Version 2: Overview of the Physical Model and Initial Model Evaluation. J. Adv. Model. Earth Syst., 14, e2022MS003156.</t>
        </is>
      </c>
      <c r="C36" s="2" t="inlineStr">
        <is>
          <t>10.1029/2022MS003156</t>
        </is>
      </c>
      <c r="D36" s="8" t="inlineStr">
        <is>
          <t>https://doi.org/10.1029/2022MS003156</t>
        </is>
      </c>
      <c r="E36" s="2" t="n">
        <v>403</v>
      </c>
      <c r="F36" s="2" t="inlineStr">
        <is>
          <t>403 (crossref 200); 403 (crossref 200)</t>
        </is>
      </c>
      <c r="G36" s="2" t="inlineStr">
        <is>
          <t>abstract only</t>
        </is>
      </c>
      <c r="H36" s="2" t="inlineStr">
        <is>
          <t>6a. Cooling Model - Global!D8</t>
        </is>
      </c>
    </row>
    <row r="37">
      <c r="A37" s="4" t="inlineStr">
        <is>
          <t>HOS269 UT 755 L PSV spec sheet</t>
        </is>
      </c>
      <c r="B37" s="2" t="inlineStr">
        <is>
          <t>Hornbeck Offshore Services. UT 755 L Platform Supply Vessel spec sheet (HOS269), 71.9 m LOA, 6,310 hp.</t>
        </is>
      </c>
      <c r="C37" s="2" t="inlineStr"/>
      <c r="D37" s="8" t="inlineStr">
        <is>
          <t>https://horizonoffshoreservices.com/wp-content/uploads/2024/07/HOS269.pdf</t>
        </is>
      </c>
      <c r="E37" s="2" t="n">
        <v>200</v>
      </c>
      <c r="F37" s="2" t="inlineStr">
        <is>
          <t>200</t>
        </is>
      </c>
      <c r="G37" s="2" t="inlineStr">
        <is>
          <t>full text</t>
        </is>
      </c>
      <c r="H37" s="2" t="inlineStr">
        <is>
          <t>2. Cost Inputs!B25, 2. Cost Inputs!B26, 2. Cost Inputs!B27</t>
        </is>
      </c>
    </row>
    <row r="38">
      <c r="A38" s="4" t="inlineStr">
        <is>
          <t>HS17</t>
        </is>
      </c>
      <c r="B38" s="2" t="inlineStr">
        <is>
          <t>Howard, P.H., Sterner, T. (2017). Few and Not So Far Between: A Meta-analysis of Climate Damage Estimates. Environmental and Resource Economics 68:197-225.</t>
        </is>
      </c>
      <c r="C38" s="2" t="inlineStr">
        <is>
          <t>10.1007/s10640-017-0166-z</t>
        </is>
      </c>
      <c r="D38" s="8" t="inlineStr">
        <is>
          <t>https://doi.org/10.1007/s10640-017-0166-z</t>
        </is>
      </c>
      <c r="E38" s="2" t="n">
        <v>200</v>
      </c>
      <c r="F38" s="2" t="inlineStr">
        <is>
          <t>200; 200</t>
        </is>
      </c>
      <c r="G38" s="2" t="inlineStr">
        <is>
          <t>abstract only</t>
        </is>
      </c>
      <c r="H38" s="2" t="inlineStr">
        <is>
          <t>6a. Cooling Model - Global!B44</t>
        </is>
      </c>
    </row>
    <row r="39">
      <c r="A39" s="4" t="inlineStr">
        <is>
          <t>Harding24</t>
        </is>
      </c>
      <c r="B39" s="2" t="inlineStr">
        <is>
          <t>Harding, A.R., Vecchi, G.A., Yang, W., Keith, D.W. (2024). Impact of solar geoengineering on temperature-attributable mortality. PNAS 121(52):e2401801121.</t>
        </is>
      </c>
      <c r="C39" s="2" t="inlineStr">
        <is>
          <t>10.1073/pnas.2401801121</t>
        </is>
      </c>
      <c r="D39" s="8" t="inlineStr">
        <is>
          <t>https://doi.org/10.1073/pnas.2401801121</t>
        </is>
      </c>
      <c r="E39" s="2" t="n">
        <v>403</v>
      </c>
      <c r="F39" s="2" t="inlineStr">
        <is>
          <t>403 (crossref 200); 403 (crossref 200)</t>
        </is>
      </c>
      <c r="G39" s="2" t="inlineStr">
        <is>
          <t>abstract only</t>
        </is>
      </c>
      <c r="H39" s="2" t="inlineStr">
        <is>
          <t>5d. Benefit - Local - City!B35, 5d. Benefit - Local - City!B35; D35; G35</t>
        </is>
      </c>
    </row>
    <row r="40">
      <c r="A40" s="4" t="inlineStr">
        <is>
          <t>Harrison 2025</t>
        </is>
      </c>
      <c r="B40" s="2" t="inlineStr">
        <is>
          <t>Harrison, L. P., Medcraft, C., &amp; Harrison, D. P. (2025). Effervescent nozzle design to enable outdoor marine cloud brightening experimentation. Environ. Sci.: Atmos. 5(10), 1071-1080.</t>
        </is>
      </c>
      <c r="C40" s="2" t="inlineStr">
        <is>
          <t>10.1039/d5ea00073d</t>
        </is>
      </c>
      <c r="D40" s="8" t="inlineStr">
        <is>
          <t>https://doi.org/10.1039/d5ea00073d</t>
        </is>
      </c>
      <c r="E40" s="2" t="n">
        <v>403</v>
      </c>
      <c r="F40" s="2" t="inlineStr">
        <is>
          <t>403 (crossref 200); 403 (crossref 200)</t>
        </is>
      </c>
      <c r="G40" s="2" t="inlineStr">
        <is>
          <t>abstract only</t>
        </is>
      </c>
      <c r="H40" s="2" t="inlineStr">
        <is>
          <t>1. Technology Description!B23, 1. Technology Description!B8, 1. Technology Description!B9, Overview!A10 (also README 'How the workbook is organized', tab 1 row), Overview!A6; README intro ('The foundation is the numbers from Daniel Harrison's prototype on the Great Barrier Reef'), References!A3:D3</t>
        </is>
      </c>
    </row>
    <row r="41">
      <c r="A41" s="4" t="inlineStr">
        <is>
          <t>Harrison et al. 2019 (RRAP T14)</t>
        </is>
      </c>
      <c r="B41" s="2" t="inlineStr">
        <is>
          <t>Harrison, D. P., Baird, M., Harrison, L., Utembe, S., Schofield, R., Escobar Correa, R., Mongin, M., Rizwi, F. (2019). Environmental Modelling of Large Scale Solar Radiation Management. RRAP T14 Final Report.</t>
        </is>
      </c>
      <c r="C41" s="2" t="inlineStr"/>
      <c r="D41" s="8" t="inlineStr">
        <is>
          <t>https://gbrrestoration.org/wp-content/uploads/2020/09/T14-Environmental-Modelling-of-Large-Scale-SRM_v3.03-3.pdf</t>
        </is>
      </c>
      <c r="E41" s="2" t="n">
        <v>200</v>
      </c>
      <c r="F41" s="2" t="inlineStr">
        <is>
          <t>200</t>
        </is>
      </c>
      <c r="G41" s="2" t="inlineStr">
        <is>
          <t>full text</t>
        </is>
      </c>
      <c r="H41" s="2" t="inlineStr">
        <is>
          <t>5a. Cooling Model - Local!B17, 5a. Cooling Model - Local!B21, 5a. Cooling Model - Local!B25, 5b. Cooling-Value Sensitivity!B15/D15, 5b. Cooling-Value Sensitivity!B6/D6, 5c-alt. Benefit - Reef (Zhao)!B12, 5c-alt. Benefit - Reef (Zhao)!B16, 5c. Benefit - Local - Reef!B24, 5c. Benefit - Local - Reef!B25, 5c. Benefit - Local - Reef!B26, 5c. Benefit - Local - Reef!B3, 5c. Benefit - Local - Reef!B35, 5c. Benefit - Local - Reef!B7, Overview!A23 (also README Out of scope), References!A4:D4</t>
        </is>
      </c>
    </row>
    <row r="42">
      <c r="A42" s="4" t="inlineStr">
        <is>
          <t>Harrison et al. 2025 (RRAP CS-01)</t>
        </is>
      </c>
      <c r="B42" s="2" t="inlineStr">
        <is>
          <t>Harrison, D., Ristovski, Z., Ryan, R., et al. (2025). Reef Restoration and Adaptation Program - GBR Atmospheric Survey (CS-01) Final Report 2025.</t>
        </is>
      </c>
      <c r="C42" s="2" t="inlineStr"/>
      <c r="D42" s="8" t="inlineStr">
        <is>
          <t>https://gbrrestoration.org/wp-content/uploads/2026/06/RRAP-CS-01_FINAL-REPORT-2025.pdf</t>
        </is>
      </c>
      <c r="E42" s="2" t="n">
        <v>200</v>
      </c>
      <c r="F42" s="2" t="inlineStr">
        <is>
          <t>200</t>
        </is>
      </c>
      <c r="G42" s="2" t="inlineStr">
        <is>
          <t>full text</t>
        </is>
      </c>
      <c r="H42" s="2" t="inlineStr">
        <is>
          <t>5a. Cooling Model - Local!B21, 5a. Cooling Model - Local!B9, 5c-alt. Benefit - Reef (Zhao)!B16, References!A8:D8</t>
        </is>
      </c>
    </row>
    <row r="43">
      <c r="A43" s="4" t="inlineStr">
        <is>
          <t>Haywood et al. 2023</t>
        </is>
      </c>
      <c r="B43" s="2" t="inlineStr">
        <is>
          <t>Haywood, J. M., Jones, A., Jones, A. C., Halloran, P., Rasch, P. J. (2023). Climate intervention using marine cloud brightening (MCB) compared with stratospheric aerosol injection (SAI) in the UKESM1 climate model. Atmos. Chem. Phys., 23, 15305-15324.</t>
        </is>
      </c>
      <c r="C43" s="2" t="inlineStr">
        <is>
          <t>10.5194/acp-23-15305-2023</t>
        </is>
      </c>
      <c r="D43" s="8" t="inlineStr">
        <is>
          <t>https://doi.org/10.5194/acp-23-15305-2023</t>
        </is>
      </c>
      <c r="E43" s="2" t="n">
        <v>200</v>
      </c>
      <c r="F43" s="2" t="inlineStr">
        <is>
          <t>200; 200</t>
        </is>
      </c>
      <c r="G43" s="2" t="inlineStr">
        <is>
          <t>abstract only</t>
        </is>
      </c>
      <c r="H43" s="2" t="inlineStr">
        <is>
          <t>6a. Cooling Model - Global!B25:B27</t>
        </is>
      </c>
    </row>
    <row r="44">
      <c r="A44" s="4" t="inlineStr">
        <is>
          <t>Hernandez-Jaramillo 2025 (ERL)</t>
        </is>
      </c>
      <c r="B44" s="2" t="inlineStr">
        <is>
          <t>Hernandez-Jaramillo, D. C. et al. (2025). First generation outdoor marine cloud brightening trial increases aerosol concentration at cloud base height. Environ. Res. Lett. 20(5), 054065.</t>
        </is>
      </c>
      <c r="C44" s="2" t="inlineStr">
        <is>
          <t>10.1088/1748-9326/adccd7</t>
        </is>
      </c>
      <c r="D44" s="8" t="inlineStr">
        <is>
          <t>https://doi.org/10.1088/1748-9326/adccd7</t>
        </is>
      </c>
      <c r="E44" s="2" t="n">
        <v>200</v>
      </c>
      <c r="F44" s="2" t="inlineStr">
        <is>
          <t>200; 200</t>
        </is>
      </c>
      <c r="G44" s="2" t="inlineStr">
        <is>
          <t>abstract only</t>
        </is>
      </c>
      <c r="H44" s="2" t="inlineStr">
        <is>
          <t>1. Technology Description!B23, 1. Technology Description!B8, 5a. Cooling Model - Local!B12, 5a. Cooling Model - Local!B18, 5a. Cooling Model - Local!B5, 5a. Cooling Model - Local!B6, Overview!A6, References!A6:D6</t>
        </is>
      </c>
    </row>
    <row r="45">
      <c r="A45" s="4" t="inlineStr">
        <is>
          <t>Hernandez-Jaramillo et al. 2025 (Front. Mar. Sci.)</t>
        </is>
      </c>
      <c r="B45" s="2" t="inlineStr">
        <is>
          <t>Hernandez-Jaramillo, D., Kelaher, B., Harrison, D. (2025). A review of plume dispersion and measurement techniques applicable to marine cloud brightening. Front. Mar. Sci., 12, 1450175.</t>
        </is>
      </c>
      <c r="C45" s="2" t="inlineStr">
        <is>
          <t>10.3389/fmars.2025.1450175</t>
        </is>
      </c>
      <c r="D45" s="8" t="inlineStr">
        <is>
          <t>https://doi.org/10.3389/fmars.2025.1450175</t>
        </is>
      </c>
      <c r="E45" s="2" t="n">
        <v>200</v>
      </c>
      <c r="F45" s="2" t="inlineStr">
        <is>
          <t>200; 200</t>
        </is>
      </c>
      <c r="G45" s="2" t="inlineStr">
        <is>
          <t>full text</t>
        </is>
      </c>
      <c r="H45" s="2" t="inlineStr">
        <is>
          <t>5a. Cooling Model - Local!B5, Overview!A10, References!A7:D7</t>
        </is>
      </c>
    </row>
    <row r="46">
      <c r="A46" s="4" t="inlineStr">
        <is>
          <t>Hirasawa et al. 2026 (EGUsphere preprint)</t>
        </is>
      </c>
      <c r="B46" s="2" t="inlineStr">
        <is>
          <t>Hirasawa, H., von Salzen, K., Henry, M., Smith, J., Bender, F. A.-M., Wang, C., Doherty, S., Wood, R., Rasch, P. J., Haywood, J. (2026). On the Range of Marine Cloud Brightening Radiative Forcing across Earth System Models. EGUsphere preprint, discussion started 21 Sep 2026.</t>
        </is>
      </c>
      <c r="C46" s="2" t="inlineStr">
        <is>
          <t>10.5194/egusphere-2026-5460</t>
        </is>
      </c>
      <c r="D46" s="8" t="inlineStr">
        <is>
          <t>https://doi.org/10.5194/egusphere-2026-5460</t>
        </is>
      </c>
      <c r="E46" s="2" t="n">
        <v>200</v>
      </c>
      <c r="F46" s="2" t="inlineStr">
        <is>
          <t>200; 200</t>
        </is>
      </c>
      <c r="G46" s="2" t="inlineStr">
        <is>
          <t>full text</t>
        </is>
      </c>
      <c r="H46" s="2" t="inlineStr">
        <is>
          <t>5a. Cooling Model - Local!B12, 5a. Cooling Model - Local!B19, 5a. Cooling Model - Local!B24, 5b. Cooling-Value Sensitivity!B14/D14, 6a. Cooling Model - Global!B16, 6a. Cooling Model - Global!B17, 6a. Cooling Model - Global!B18, 6a. Cooling Model - Global!B19, 6a. Cooling Model - Global!B25, 6a. Cooling Model - Global!B26, 6a. Cooling Model - Global!B27, 6a. Cooling Model - Global!D13, 6a. Cooling Model - Global!D16, 6a. Cooling Model - Global!D17, 6a. Cooling Model - Global!D18, 6a. Cooling Model - Global!D19, Overview!A10, Overview!A18; README tab 6a row, References!A14:D14</t>
        </is>
      </c>
    </row>
    <row r="47">
      <c r="A47" s="4" t="inlineStr">
        <is>
          <t>Hirasawa et al. 2026 (J. Clim.)</t>
        </is>
      </c>
      <c r="B47" s="2" t="inlineStr">
        <is>
          <t>Hirasawa, H., Henry, M., Mason, E., Rasch, P. J., Doherty, S. J., Wood, R. (2026). Forcing Susceptibility and Climate Sensitivity to Midlatitude Marine Cloud Brightening. J. Climate, 39(2), 769-784.</t>
        </is>
      </c>
      <c r="C47" s="2" t="inlineStr">
        <is>
          <t>10.1175/JCLI-D-25-0337.1</t>
        </is>
      </c>
      <c r="D47" s="8" t="inlineStr">
        <is>
          <t>https://doi.org/10.1175/JCLI-D-25-0337.1</t>
        </is>
      </c>
      <c r="E47" s="2" t="n">
        <v>200</v>
      </c>
      <c r="F47" s="2" t="inlineStr">
        <is>
          <t>403 (crossref 200); 403 (crossref 200)</t>
        </is>
      </c>
      <c r="G47" s="2" t="inlineStr">
        <is>
          <t>full text</t>
        </is>
      </c>
      <c r="H47" s="2" t="inlineStr">
        <is>
          <t>6a. Cooling Model - Global!B16, 6a. Cooling Model - Global!B34, 6a. Cooling Model - Global!B36, 6a. Cooling Model - Global!B37, 6a. Cooling Model - Global!C10, 6a. Cooling Model - Global!C11, 6a. Cooling Model - Global!C12, 6a. Cooling Model - Global!C7, 6a. Cooling Model - Global!C8, 6a. Cooling Model - Global!C9, 6a. Cooling Model - Global!E10, 6a. Cooling Model - Global!E11, 6a. Cooling Model - Global!E12, 6a. Cooling Model - Global!E7, 6a. Cooling Model - Global!E8, 6a. Cooling Model - Global!E9, References!A11:D11</t>
        </is>
      </c>
    </row>
    <row r="48">
      <c r="A48" s="4" t="inlineStr">
        <is>
          <t>Hughes17</t>
        </is>
      </c>
      <c r="B48" s="2" t="inlineStr">
        <is>
          <t>Hughes, T.P., Kerry, J.T., Alvarez-Noriega, M. et al. (2017). Global warming and recurrent mass bleaching of corals. Nature 543:373-377.</t>
        </is>
      </c>
      <c r="C48" s="2" t="inlineStr">
        <is>
          <t>10.1038/nature21707</t>
        </is>
      </c>
      <c r="D48" s="8" t="inlineStr">
        <is>
          <t>https://doi.org/10.1038/nature21707</t>
        </is>
      </c>
      <c r="E48" s="2" t="n">
        <v>200</v>
      </c>
      <c r="F48" s="2" t="inlineStr">
        <is>
          <t>200; 200</t>
        </is>
      </c>
      <c r="G48" s="2" t="inlineStr">
        <is>
          <t>abstract only</t>
        </is>
      </c>
      <c r="H48" s="2" t="inlineStr">
        <is>
          <t>5c. Benefit - Local - Reef!B32</t>
        </is>
      </c>
    </row>
    <row r="49">
      <c r="A49" s="4" t="inlineStr">
        <is>
          <t>Hughes18N</t>
        </is>
      </c>
      <c r="B49" s="2" t="inlineStr">
        <is>
          <t>Hughes, T.P., Kerry, J.T., Baird, A.H., Connolly, S.R. et al. (2018). Global warming transforms coral reef assemblages. Nature 556:492-496.</t>
        </is>
      </c>
      <c r="C49" s="2" t="inlineStr">
        <is>
          <t>10.1038/s41586-018-0041-2</t>
        </is>
      </c>
      <c r="D49" s="8" t="inlineStr">
        <is>
          <t>https://doi.org/10.1038/s41586-018-0041-2</t>
        </is>
      </c>
      <c r="E49" s="2" t="n">
        <v>200</v>
      </c>
      <c r="F49" s="2" t="inlineStr">
        <is>
          <t>200; 200</t>
        </is>
      </c>
      <c r="G49" s="2" t="inlineStr">
        <is>
          <t>full text</t>
        </is>
      </c>
      <c r="H49" s="2" t="inlineStr">
        <is>
          <t>5c. Benefit - Local - Reef!B26</t>
        </is>
      </c>
    </row>
    <row r="50">
      <c r="A50" s="4" t="inlineStr">
        <is>
          <t>Hughes18S</t>
        </is>
      </c>
      <c r="B50" s="2" t="inlineStr">
        <is>
          <t>Hughes, T.P., Anderson, K.D., Connolly, S.R., Heron, S.F. et al. (2018). Spatial and temporal patterns of mass bleaching of corals in the Anthropocene. Science 359:80-83.</t>
        </is>
      </c>
      <c r="C50" s="2" t="inlineStr">
        <is>
          <t>10.1126/science.aan8048</t>
        </is>
      </c>
      <c r="D50" s="8" t="inlineStr">
        <is>
          <t>https://doi.org/10.1126/science.aan8048</t>
        </is>
      </c>
      <c r="E50" s="2" t="n">
        <v>403</v>
      </c>
      <c r="F50" s="2" t="inlineStr">
        <is>
          <t>403 (crossref 200); 403 (crossref 200)</t>
        </is>
      </c>
      <c r="G50" s="2" t="inlineStr">
        <is>
          <t>abstract only</t>
        </is>
      </c>
      <c r="H50" s="2" t="inlineStr">
        <is>
          <t>5c. Benefit - Local - Reef!B32</t>
        </is>
      </c>
    </row>
    <row r="51">
      <c r="A51" s="4" t="inlineStr">
        <is>
          <t>IMO 2020 (Fourth IMO GHG Study)</t>
        </is>
      </c>
      <c r="B51" s="2" t="inlineStr">
        <is>
          <t>Faber, J. et al. (2020). Fourth IMO GHG Study 2020: Full report and annexes. International Maritime Organization, London.</t>
        </is>
      </c>
      <c r="C51" s="2" t="inlineStr"/>
      <c r="D51" s="8" t="inlineStr">
        <is>
          <t>https://wwwcdn.imo.org/localresources/en/OurWork/Environment/Documents/Fourth%20IMO%20GHG%20Study%202020%20-%20Full%20report%20and%20annexes.pdf</t>
        </is>
      </c>
      <c r="E51" s="2" t="n">
        <v>200</v>
      </c>
      <c r="F51" s="2" t="inlineStr">
        <is>
          <t>200</t>
        </is>
      </c>
      <c r="G51" s="2" t="inlineStr">
        <is>
          <t>full text</t>
        </is>
      </c>
      <c r="H51" s="2" t="inlineStr">
        <is>
          <t>3a. Outputs - Dedicated Vessel!B18, 3b. Outputs - Ship Piggyback!B13, 3b. Outputs - Ship Piggyback!B41</t>
        </is>
      </c>
    </row>
    <row r="52">
      <c r="A52" s="4" t="inlineStr">
        <is>
          <t>IMO Fourth GHG Study 2020 + ShipUniverse MGO</t>
        </is>
      </c>
      <c r="B52" s="2" t="inlineStr">
        <is>
          <t>Faber, J. et al. (2020). Fourth IMO GHG Study 2020, full report and annexes. International Maritime Organization.</t>
        </is>
      </c>
      <c r="C52" s="2" t="inlineStr"/>
      <c r="D52" s="8" t="inlineStr">
        <is>
          <t>https://ghgsmart.imo.org/wp-content/uploads/2023/05/Fourth-IMO-GHG-Study-2020-Full-report-and-annexes_compressed.pdf</t>
        </is>
      </c>
      <c r="E52" s="2" t="n">
        <v>200</v>
      </c>
      <c r="F52" s="2" t="inlineStr">
        <is>
          <t>200</t>
        </is>
      </c>
      <c r="G52" s="2" t="inlineStr">
        <is>
          <t>full text</t>
        </is>
      </c>
      <c r="H52" s="2" t="inlineStr">
        <is>
          <t>2. Cost Inputs!D24, 6c. Benefit - Global Piggyback!B50</t>
        </is>
      </c>
    </row>
    <row r="53">
      <c r="A53" s="4" t="inlineStr">
        <is>
          <t>IWG21</t>
        </is>
      </c>
      <c r="B53" s="2" t="inlineStr">
        <is>
          <t>Interagency Working Group on Social Cost of Greenhouse Gases (2021). Technical Support Document: Social Cost of Carbon, Methane, and Nitrous Oxide, Interim Estimates under EO 13990, Table ES-1. Live whitehouse.gov URL 404; read via Wayback.</t>
        </is>
      </c>
      <c r="C53" s="2" t="inlineStr"/>
      <c r="D53" s="8" t="inlineStr">
        <is>
          <t>https://web.archive.org/web/20241230213156/https://www.whitehouse.gov/wp-content/uploads/2021/02/TechnicalSupportDocument_SocialCostofCarbonMethaneNitrousOxide.pdf</t>
        </is>
      </c>
      <c r="E53" s="2" t="n">
        <v>200</v>
      </c>
      <c r="F53" s="2" t="inlineStr">
        <is>
          <t>200</t>
        </is>
      </c>
      <c r="G53" s="2" t="inlineStr">
        <is>
          <t>full text</t>
        </is>
      </c>
      <c r="H53" s="2" t="inlineStr">
        <is>
          <t>6b. Benefit - Global - Vessel!n/a</t>
        </is>
      </c>
    </row>
    <row r="54">
      <c r="A54" s="4" t="inlineStr">
        <is>
          <t>Jones, Haywood &amp; Boucher 2009</t>
        </is>
      </c>
      <c r="B54" s="2" t="inlineStr">
        <is>
          <t>Jones, A., Haywood, J., Boucher, O. (2009). Climate impacts of geoengineering marine stratocumulus clouds. J. Geophys. Res., 114, D10106.</t>
        </is>
      </c>
      <c r="C54" s="2" t="inlineStr">
        <is>
          <t>10.1029/2008JD011450</t>
        </is>
      </c>
      <c r="D54" s="8" t="inlineStr">
        <is>
          <t>https://doi.org/10.1029/2008JD011450</t>
        </is>
      </c>
      <c r="E54" s="2" t="n">
        <v>403</v>
      </c>
      <c r="F54" s="2" t="inlineStr">
        <is>
          <t>403 (crossref 200); 403 (crossref 200)</t>
        </is>
      </c>
      <c r="G54" s="2" t="inlineStr">
        <is>
          <t>abstract only</t>
        </is>
      </c>
      <c r="H54" s="2" t="inlineStr">
        <is>
          <t>6a. Cooling Model - Global!B25:B27</t>
        </is>
      </c>
    </row>
    <row r="55">
      <c r="A55" s="4" t="inlineStr">
        <is>
          <t>KW20</t>
        </is>
      </c>
      <c r="B55" s="2" t="inlineStr">
        <is>
          <t>Kalkuhl, M., Wenz, L. (2020). The impact of climate conditions on economic production. Evidence from a global panel of regions. JEEM 103:102360.</t>
        </is>
      </c>
      <c r="C55" s="2" t="inlineStr">
        <is>
          <t>10.1016/j.jeem.2020.102360</t>
        </is>
      </c>
      <c r="D55" s="8" t="inlineStr">
        <is>
          <t>https://doi.org/10.1016/j.jeem.2020.102360</t>
        </is>
      </c>
      <c r="E55" s="2" t="n">
        <v>200</v>
      </c>
      <c r="F55" s="2" t="inlineStr">
        <is>
          <t>200; 200</t>
        </is>
      </c>
      <c r="G55" s="2" t="inlineStr">
        <is>
          <t>full text</t>
        </is>
      </c>
      <c r="H55" s="2" t="inlineStr">
        <is>
          <t>6a. Cooling Model - Global!B44</t>
        </is>
      </c>
    </row>
    <row r="56">
      <c r="A56" s="4" t="inlineStr">
        <is>
          <t>Kahn et al. 2021</t>
        </is>
      </c>
      <c r="B56" s="2" t="inlineStr">
        <is>
          <t>Kahn et al. 2021</t>
        </is>
      </c>
      <c r="C56" s="2" t="inlineStr">
        <is>
          <t>10.3386/w26167</t>
        </is>
      </c>
      <c r="D56" s="8" t="inlineStr">
        <is>
          <t>https://doi.org/10.3386/w26167</t>
        </is>
      </c>
      <c r="E56" s="2" t="n">
        <v>200</v>
      </c>
      <c r="F56" s="2" t="inlineStr">
        <is>
          <t>200; 200</t>
        </is>
      </c>
      <c r="G56" s="2" t="inlineStr">
        <is>
          <t>abstract only</t>
        </is>
      </c>
      <c r="H56" s="2" t="inlineStr">
        <is>
          <t>6a. Cooling Model - Global!G44</t>
        </is>
      </c>
    </row>
    <row r="57">
      <c r="A57" s="4" t="inlineStr">
        <is>
          <t>Kephart22</t>
        </is>
      </c>
      <c r="B57" s="2" t="inlineStr">
        <is>
          <t>Kephart, J.L., Sanchez, B.N., Moore, J., Schinasi, L.H. et al. (2022). City-level impact of extreme temperatures and mortality in Latin America. Nature Medicine 28:1700-1705.</t>
        </is>
      </c>
      <c r="C57" s="2" t="inlineStr">
        <is>
          <t>10.1038/s41591-022-01872-6</t>
        </is>
      </c>
      <c r="D57" s="8" t="inlineStr">
        <is>
          <t>https://doi.org/10.1038/s41591-022-01872-6</t>
        </is>
      </c>
      <c r="E57" s="2" t="n">
        <v>200</v>
      </c>
      <c r="F57" s="2" t="inlineStr">
        <is>
          <t>200; 200</t>
        </is>
      </c>
      <c r="G57" s="2" t="inlineStr">
        <is>
          <t>full text</t>
        </is>
      </c>
      <c r="H57" s="2" t="inlineStr">
        <is>
          <t>5d. Benefit - Local - City!B23, 5d. Benefit - Local - City!B24, 5d. Benefit - Local - City!B9</t>
        </is>
      </c>
    </row>
    <row r="58">
      <c r="A58" s="4" t="inlineStr">
        <is>
          <t>Kikuchi &amp; Ishihara 2023</t>
        </is>
      </c>
      <c r="B58" s="2" t="inlineStr">
        <is>
          <t>Kikuchi, Y. &amp; Ishihara, T. (2023). Assessment of capital expenditure for fixed-bottom offshore wind farms using probabilistic engineering cost model. Applied Energy 341, 120912.</t>
        </is>
      </c>
      <c r="C58" s="2" t="inlineStr">
        <is>
          <t>10.1016/j.apenergy.2023.120912</t>
        </is>
      </c>
      <c r="D58" s="8" t="inlineStr">
        <is>
          <t>https://doi.org/10.1016/j.apenergy.2023.120912</t>
        </is>
      </c>
      <c r="E58" s="2" t="n">
        <v>200</v>
      </c>
      <c r="F58" s="2" t="inlineStr">
        <is>
          <t>200; 200</t>
        </is>
      </c>
      <c r="G58" s="2" t="inlineStr">
        <is>
          <t>paywalled, from secondary</t>
        </is>
      </c>
      <c r="H58" s="2" t="inlineStr">
        <is>
          <t>3c. Outputs - Fixed Platform!A2</t>
        </is>
      </c>
    </row>
    <row r="59">
      <c r="A59" s="4" t="inlineStr">
        <is>
          <t>KoppLean11</t>
        </is>
      </c>
      <c r="B59" s="2" t="inlineStr">
        <is>
          <t>Kopp, G., Lean, J.L. (2011). A new, lower value of total solar irradiance: Evidence and climate significance. GRL 38:L01706.</t>
        </is>
      </c>
      <c r="C59" s="2" t="inlineStr">
        <is>
          <t>10.1029/2010GL045777</t>
        </is>
      </c>
      <c r="D59" s="8" t="inlineStr">
        <is>
          <t>https://doi.org/10.1029/2010GL045777</t>
        </is>
      </c>
      <c r="E59" s="2" t="n">
        <v>403</v>
      </c>
      <c r="F59" s="2" t="inlineStr">
        <is>
          <t>403 (crossref 200); 403 (crossref 200)</t>
        </is>
      </c>
      <c r="G59" s="2" t="inlineStr">
        <is>
          <t>abstract only</t>
        </is>
      </c>
      <c r="H59" s="2" t="inlineStr">
        <is>
          <t>5c-alt. Benefit - Reef (Zhao)!B14</t>
        </is>
      </c>
    </row>
    <row r="60">
      <c r="A60" s="4" t="inlineStr">
        <is>
          <t>Kotz et al. 2024 (Nature) - noted as retracted</t>
        </is>
      </c>
      <c r="B60" s="2" t="inlineStr">
        <is>
          <t>Kotz et al. 2024 (Nature) - noted as retracted</t>
        </is>
      </c>
      <c r="C60" s="2" t="inlineStr">
        <is>
          <t>10.1038/s41586-025-09726-0</t>
        </is>
      </c>
      <c r="D60" s="8" t="inlineStr">
        <is>
          <t>https://doi.org/10.1038/s41586-025-09726-0</t>
        </is>
      </c>
      <c r="E60" s="2" t="n">
        <v>200</v>
      </c>
      <c r="F60" s="2" t="inlineStr">
        <is>
          <t>200; 200</t>
        </is>
      </c>
      <c r="G60" s="2" t="inlineStr">
        <is>
          <t>abstract only</t>
        </is>
      </c>
      <c r="H60" s="2" t="inlineStr">
        <is>
          <t>6a. Cooling Model - Global!A23 (6b); A32 (6c); G44</t>
        </is>
      </c>
    </row>
    <row r="61">
      <c r="A61" s="4" t="inlineStr">
        <is>
          <t>Kotz24</t>
        </is>
      </c>
      <c r="B61" s="2" t="inlineStr">
        <is>
          <t>Kotz, M., Levermann, A., Wenz, L. (2024). RETRACTED: The economic commitment of climate change. Nature 628:551-557. Retraction note 10.1038/s41586-025-09726-0.</t>
        </is>
      </c>
      <c r="C61" s="2" t="inlineStr">
        <is>
          <t>10.1038/s41586-024-07219-0</t>
        </is>
      </c>
      <c r="D61" s="8" t="inlineStr">
        <is>
          <t>https://doi.org/10.1038/s41586-025-09726-0</t>
        </is>
      </c>
      <c r="E61" s="2" t="n">
        <v>200</v>
      </c>
      <c r="F61" s="2" t="inlineStr">
        <is>
          <t>200; 200</t>
        </is>
      </c>
      <c r="G61" s="2" t="inlineStr">
        <is>
          <t>full text</t>
        </is>
      </c>
      <c r="H61" s="2" t="inlineStr">
        <is>
          <t>6a. Cooling Model - Global!B44</t>
        </is>
      </c>
    </row>
    <row r="62">
      <c r="A62" s="4" t="inlineStr">
        <is>
          <t>Latham et al. 2012</t>
        </is>
      </c>
      <c r="B62" s="2" t="inlineStr">
        <is>
          <t>Latham, J., Bower, K., Choularton, T., et al. (2012). Marine cloud brightening. Phil. Trans. R. Soc. A 370, 4217-4262.</t>
        </is>
      </c>
      <c r="C62" s="2" t="inlineStr">
        <is>
          <t>10.1098/rsta.2012.0086</t>
        </is>
      </c>
      <c r="D62" s="8" t="inlineStr">
        <is>
          <t>https://pmc.ncbi.nlm.nih.gov/articles/PMC3405666/</t>
        </is>
      </c>
      <c r="E62" s="2" t="n">
        <v>200</v>
      </c>
      <c r="F62" s="2" t="inlineStr">
        <is>
          <t>200; 403 (crossref 200)</t>
        </is>
      </c>
      <c r="G62" s="2" t="inlineStr">
        <is>
          <t>full text</t>
        </is>
      </c>
      <c r="H62" s="2" t="inlineStr">
        <is>
          <t>3b. Outputs - Ship Piggyback!B5, References!A10:D10</t>
        </is>
      </c>
    </row>
    <row r="63">
      <c r="A63" s="4" t="inlineStr">
        <is>
          <t>Manshausen et al. 2022</t>
        </is>
      </c>
      <c r="B63" s="2" t="inlineStr">
        <is>
          <t>Manshausen, P., Watson-Parris, D., Christensen, M. W., Jalkanen, J.-P., Stier, P. (2022). Invisible ship tracks show large cloud sensitivity to aerosol. Nature, 610, 101-106.</t>
        </is>
      </c>
      <c r="C63" s="2" t="inlineStr">
        <is>
          <t>10.1038/s41586-022-05122-0</t>
        </is>
      </c>
      <c r="D63" s="8" t="inlineStr">
        <is>
          <t>https://doi.org/10.1038/s41586-022-05122-0</t>
        </is>
      </c>
      <c r="E63" s="2" t="n">
        <v>200</v>
      </c>
      <c r="F63" s="2" t="inlineStr">
        <is>
          <t>200; 200</t>
        </is>
      </c>
      <c r="G63" s="2" t="inlineStr">
        <is>
          <t>abstract only</t>
        </is>
      </c>
      <c r="H63" s="2" t="inlineStr">
        <is>
          <t>5a. Cooling Model - Local!B19</t>
        </is>
      </c>
    </row>
    <row r="64">
      <c r="A64" s="4" t="inlineStr">
        <is>
          <t>Meehl et al. 2020</t>
        </is>
      </c>
      <c r="B64" s="2" t="inlineStr">
        <is>
          <t>Meehl, G. A., Senior, C. A., Eyring, V., et al. (2020). Context for interpreting equilibrium climate sensitivity and transient climate response from the CMIP6 Earth system models. Sci. Adv., 6, eaba1981.</t>
        </is>
      </c>
      <c r="C64" s="2" t="inlineStr">
        <is>
          <t>10.1126/sciadv.aba1981</t>
        </is>
      </c>
      <c r="D64" s="8" t="inlineStr">
        <is>
          <t>https://doi.org/10.1126/sciadv.aba1981</t>
        </is>
      </c>
      <c r="E64" s="2" t="n">
        <v>403</v>
      </c>
      <c r="F64" s="2" t="inlineStr">
        <is>
          <t>403 (crossref 200); 403 (crossref 200)</t>
        </is>
      </c>
      <c r="G64" s="2" t="inlineStr">
        <is>
          <t>full text</t>
        </is>
      </c>
      <c r="H64" s="2" t="inlineStr">
        <is>
          <t>6a. Cooling Model - Global!D7:D12</t>
        </is>
      </c>
    </row>
    <row r="65">
      <c r="A65" s="4" t="inlineStr">
        <is>
          <t>Mrzljak et al. 2023</t>
        </is>
      </c>
      <c r="B65" s="2" t="inlineStr">
        <is>
          <t>Mrzljak, V., Poljak, I., Kosor, M. &amp; Culin, J. (2023). Bisection Method for the Heavy Fuel Oil Tank Filling Problem at a Liquefied Natural Gas Carrier. J. Mar. Sci. Eng. 11(4), 849.</t>
        </is>
      </c>
      <c r="C65" s="2" t="inlineStr">
        <is>
          <t>10.3390/jmse11040849</t>
        </is>
      </c>
      <c r="D65" s="8" t="inlineStr">
        <is>
          <t>https://mdpi-res.com/d_attachment/jmse/jmse-11-00849/article_deploy/jmse-11-00849.pdf</t>
        </is>
      </c>
      <c r="E65" s="2" t="n">
        <v>200</v>
      </c>
      <c r="F65" s="2" t="inlineStr">
        <is>
          <t>200; 403 (crossref 200)</t>
        </is>
      </c>
      <c r="G65" s="2" t="inlineStr">
        <is>
          <t>full text</t>
        </is>
      </c>
      <c r="H65" s="2" t="inlineStr">
        <is>
          <t>3a. Outputs - Dedicated Vessel!B26</t>
        </is>
      </c>
    </row>
    <row r="66">
      <c r="A66" s="4" t="inlineStr">
        <is>
          <t>NASA POWER 2026 (CERES SYN1deg climatology 2001-2025)</t>
        </is>
      </c>
      <c r="B66" s="2" t="inlineStr">
        <is>
          <t>NASA Langley Research Center POWER Project, Climatology API v2.10.1, parameters TOA_SW_DWN, CLRSKY_SFC_SW_DWN, ALLSKY_SFC_SW_DWN (source SYN1DEG, Jan 2001-Dec 2025), queried 2026-10-26 at 16.5S 146.5E, 19.0S 148.0E, 23.0S 152.0E.</t>
        </is>
      </c>
      <c r="C66" s="2" t="inlineStr"/>
      <c r="D66" s="8" t="inlineStr">
        <is>
          <t>https://power.larc.nasa.gov/api/temporal/climatology/point?parameters=TOA_SW_DWN,ALLSKY_SFC_SW_DWN,CLRSKY_SFC_SW_DWN&amp;community=RE&amp;longitude=146.5&amp;latitude=-16.5&amp;format=JSON</t>
        </is>
      </c>
      <c r="E66" s="2" t="n">
        <v>200</v>
      </c>
      <c r="F66" s="2" t="inlineStr">
        <is>
          <t>200</t>
        </is>
      </c>
      <c r="G66" s="2" t="inlineStr">
        <is>
          <t>full text</t>
        </is>
      </c>
      <c r="H66" s="2" t="inlineStr">
        <is>
          <t>5a. Cooling Model - Local!B16, 5a. Cooling Model - Local!B20, 5a. Cooling Model - Local!B22, 5b. Cooling-Value Sensitivity!B12/D12</t>
        </is>
      </c>
    </row>
    <row r="67">
      <c r="A67" s="4" t="inlineStr">
        <is>
          <t>NETL QGESS 2021 (EPCM services)</t>
        </is>
      </c>
      <c r="B67" s="2" t="inlineStr">
        <is>
          <t>NETL (2021). Quality Guidelines for Energy System Studies: Cost Estimation Methodology for NETL Assessments of Power Plant Performance (NETL-PUB-22580), citing AACE 16R-90.</t>
        </is>
      </c>
      <c r="C67" s="2" t="inlineStr"/>
      <c r="D67" s="8" t="inlineStr">
        <is>
          <t>https://netl.doe.gov/projects/files/QGESSCostEstMethodforNETLAssessmentsofPowerPlantPerformance_022621.pdf</t>
        </is>
      </c>
      <c r="E67" s="2" t="n">
        <v>200</v>
      </c>
      <c r="F67" s="2" t="inlineStr">
        <is>
          <t>200</t>
        </is>
      </c>
      <c r="G67" s="2" t="inlineStr">
        <is>
          <t>full text</t>
        </is>
      </c>
      <c r="H67" s="2" t="inlineStr">
        <is>
          <t>2. Cost Inputs!B49, 2. Cost Inputs!B50, 2. Cost Inputs!B52</t>
        </is>
      </c>
    </row>
    <row r="68">
      <c r="A68" s="4" t="inlineStr">
        <is>
          <t>NREL ORBIT cable library</t>
        </is>
      </c>
      <c r="B68" s="2" t="inlineStr">
        <is>
          <t>NREL / WISDEM (open source, Apache-2.0). ORBIT library/cables/*.yaml (cost_per_km, cable material cost in USD). Model described in Nunemaker, Shields, Hammond &amp; Duffy (2020), NREL/TP-5000-77081.</t>
        </is>
      </c>
      <c r="C68" s="2" t="inlineStr"/>
      <c r="D68" s="8" t="inlineStr">
        <is>
          <t>https://github.com/WISDEM/ORBIT/tree/main/library/cables</t>
        </is>
      </c>
      <c r="E68" s="2" t="n">
        <v>200</v>
      </c>
      <c r="F68" s="2" t="inlineStr">
        <is>
          <t>200</t>
        </is>
      </c>
      <c r="G68" s="2" t="inlineStr">
        <is>
          <t>full text</t>
        </is>
      </c>
      <c r="H68" s="2" t="inlineStr">
        <is>
          <t>3c. Outputs - Fixed Platform!A2</t>
        </is>
      </c>
    </row>
    <row r="69">
      <c r="A69" s="4" t="inlineStr">
        <is>
          <t>Nordhaus 2016 (DICE-2016R2)</t>
        </is>
      </c>
      <c r="B69" s="2" t="inlineStr">
        <is>
          <t>Nordhaus, W. D. (2016). Projections and Uncertainties About Climate Change in an Era of Minimal Climate Policies. NBER Working Paper 22933.</t>
        </is>
      </c>
      <c r="C69" s="2" t="inlineStr">
        <is>
          <t>10.3386/w22933</t>
        </is>
      </c>
      <c r="D69" s="8" t="inlineStr">
        <is>
          <t>https://doi.org/10.3386/w22933</t>
        </is>
      </c>
      <c r="E69" s="2" t="n">
        <v>200</v>
      </c>
      <c r="F69" s="2" t="inlineStr">
        <is>
          <t>200; 200</t>
        </is>
      </c>
      <c r="G69" s="2" t="inlineStr">
        <is>
          <t>full text</t>
        </is>
      </c>
      <c r="H69" s="2" t="inlineStr">
        <is>
          <t>6a. Cooling Model - Global!B43, 6a. Cooling Model - Global!B43; G43</t>
        </is>
      </c>
    </row>
    <row r="70">
      <c r="A70" s="4" t="inlineStr">
        <is>
          <t>Nozzle price listing</t>
        </is>
      </c>
      <c r="B70" s="2" t="inlineStr">
        <is>
          <t>Alibaba product listing for effervescent nozzle hardware.</t>
        </is>
      </c>
      <c r="C70" s="2" t="inlineStr"/>
      <c r="D70" s="8" t="inlineStr">
        <is>
          <t>https://www.alibaba.com/product-detail/Two-fluid-Nozzle-Fuel-Burner-Gas_1601145712214.html</t>
        </is>
      </c>
      <c r="E70" s="2" t="n">
        <v>200</v>
      </c>
      <c r="F70" s="2" t="inlineStr">
        <is>
          <t>200</t>
        </is>
      </c>
      <c r="G70" s="2" t="inlineStr">
        <is>
          <t>abstract only</t>
        </is>
      </c>
      <c r="H70" s="2" t="inlineStr">
        <is>
          <t>References!A19:D19</t>
        </is>
      </c>
    </row>
    <row r="71">
      <c r="A71" s="4" t="inlineStr">
        <is>
          <t>OECD12</t>
        </is>
      </c>
      <c r="B71" s="2" t="inlineStr">
        <is>
          <t>OECD (2012). Mortality Risk Valuation in Environment, Health and Transport Policies. OECD Publishing.</t>
        </is>
      </c>
      <c r="C71" s="2" t="inlineStr">
        <is>
          <t>10.1787/9789264130807-en</t>
        </is>
      </c>
      <c r="D71" s="8" t="inlineStr">
        <is>
          <t>https://doi.org/10.1787/9789264130807-en</t>
        </is>
      </c>
      <c r="E71" s="2" t="n">
        <v>403</v>
      </c>
      <c r="F71" s="2" t="inlineStr">
        <is>
          <t>403 (crossref 200); 403 (crossref 200)</t>
        </is>
      </c>
      <c r="G71" s="2" t="inlineStr">
        <is>
          <t>abstract only</t>
        </is>
      </c>
      <c r="H71" s="2" t="inlineStr">
        <is>
          <t>5d. Benefit - Local - City!B27</t>
        </is>
      </c>
    </row>
    <row r="72">
      <c r="A72" s="4" t="inlineStr">
        <is>
          <t>OMB Circular A-4 (2023)</t>
        </is>
      </c>
      <c r="B72" s="2" t="inlineStr">
        <is>
          <t>OMB (Nov 2023). Circular A-4, Regulatory Analysis.</t>
        </is>
      </c>
      <c r="C72" s="2" t="inlineStr"/>
      <c r="D72" s="8" t="inlineStr">
        <is>
          <t>https://bidenwhitehouse.archives.gov/wp-content/uploads/2023/11/CircularA-4.pdf</t>
        </is>
      </c>
      <c r="E72" s="2" t="n">
        <v>200</v>
      </c>
      <c r="F72" s="2" t="inlineStr">
        <is>
          <t>200</t>
        </is>
      </c>
      <c r="G72" s="2" t="inlineStr">
        <is>
          <t>full text</t>
        </is>
      </c>
      <c r="H72" s="2" t="inlineStr">
        <is>
          <t>2. Cost Inputs!B7</t>
        </is>
      </c>
    </row>
    <row r="73">
      <c r="A73" s="4" t="inlineStr">
        <is>
          <t>PK20</t>
        </is>
      </c>
      <c r="B73" s="2" t="inlineStr">
        <is>
          <t>Perkins-Kirkpatrick, S.E., Lewis, S.C. (2020). Increasing trends in regional heatwaves. Nature Communications 11:3357.</t>
        </is>
      </c>
      <c r="C73" s="2" t="inlineStr">
        <is>
          <t>10.1038/s41467-020-16970-7</t>
        </is>
      </c>
      <c r="D73" s="8" t="inlineStr">
        <is>
          <t>https://doi.org/10.1038/s41467-020-16970-7</t>
        </is>
      </c>
      <c r="E73" s="2" t="n">
        <v>200</v>
      </c>
      <c r="F73" s="2" t="inlineStr">
        <is>
          <t>200; 200</t>
        </is>
      </c>
      <c r="G73" s="2" t="inlineStr">
        <is>
          <t>full text</t>
        </is>
      </c>
      <c r="H73" s="2" t="inlineStr">
        <is>
          <t>5d. Benefit - Local - City!B9</t>
        </is>
      </c>
    </row>
    <row r="74">
      <c r="A74" s="4" t="inlineStr">
        <is>
          <t>PhD thesis 2024</t>
        </is>
      </c>
      <c r="B74" s="2" t="inlineStr">
        <is>
          <t>Hernandez Jaramillo, D. C. (2024). Characterisation and dispersion of particle emissions for marine cloud brightening over the Great Barrier Reef. PhD thesis, Southern Cross University.</t>
        </is>
      </c>
      <c r="C74" s="2" t="inlineStr">
        <is>
          <t>10.25918/thesis.426</t>
        </is>
      </c>
      <c r="D74" s="8" t="inlineStr">
        <is>
          <t>https://doi.org/10.25918/thesis.426</t>
        </is>
      </c>
      <c r="E74" s="2" t="n">
        <v>200</v>
      </c>
      <c r="F74" s="2" t="inlineStr">
        <is>
          <t>200; 200</t>
        </is>
      </c>
      <c r="G74" s="2" t="inlineStr">
        <is>
          <t>abstract only</t>
        </is>
      </c>
      <c r="H74" s="2" t="inlineStr">
        <is>
          <t>References!A17:D17</t>
        </is>
      </c>
    </row>
    <row r="75">
      <c r="A75" s="4" t="inlineStr">
        <is>
          <t>RRAP CS-07 Final Report 2025</t>
        </is>
      </c>
      <c r="B75" s="2" t="inlineStr">
        <is>
          <t>RRAP Cloud and Sky Brightening: Fogging Development (CS-07) Final Report 2025. Reef Restoration and Adaptation Program.</t>
        </is>
      </c>
      <c r="C75" s="2" t="inlineStr"/>
      <c r="D75" s="8" t="inlineStr">
        <is>
          <t>https://gbrrestoration.org/wp-content/uploads/2026/06/RRAP-CS-07_FINAL-REPORT-2025.pdf</t>
        </is>
      </c>
      <c r="E75" s="2" t="n">
        <v>200</v>
      </c>
      <c r="F75" s="2" t="inlineStr">
        <is>
          <t>200</t>
        </is>
      </c>
      <c r="G75" s="2" t="inlineStr">
        <is>
          <t>full text</t>
        </is>
      </c>
      <c r="H75" s="2" t="inlineStr">
        <is>
          <t>2. Cost Inputs!B51, 2. Cost Inputs!E40; F40, 2. Cost Inputs!H41, 2. Cost Inputs!H42, 2. Cost Inputs!H43</t>
        </is>
      </c>
    </row>
    <row r="76">
      <c r="A76" s="4" t="inlineStr">
        <is>
          <t>Rasch et al. 2024</t>
        </is>
      </c>
      <c r="B76" s="2" t="inlineStr">
        <is>
          <t>Rasch, P. J., Hirasawa, H., Wu, M., Doherty, S. J., Wood, R., Wang, H., Jones, A., Haywood, J., Singh, H. (2024). A protocol for model intercomparison of impacts of marine cloud brightening climate intervention. Geosci. Model Dev., 17, 7963-7994.</t>
        </is>
      </c>
      <c r="C76" s="2" t="inlineStr">
        <is>
          <t>10.5194/gmd-17-7963-2024</t>
        </is>
      </c>
      <c r="D76" s="8" t="inlineStr">
        <is>
          <t>https://doi.org/10.5194/gmd-17-7963-2024</t>
        </is>
      </c>
      <c r="E76" s="2" t="n">
        <v>200</v>
      </c>
      <c r="F76" s="2" t="inlineStr">
        <is>
          <t>200; 200</t>
        </is>
      </c>
      <c r="G76" s="2" t="inlineStr">
        <is>
          <t>full text</t>
        </is>
      </c>
      <c r="H76" s="2" t="inlineStr">
        <is>
          <t>6a. Cooling Model - Global!C7</t>
        </is>
      </c>
    </row>
    <row r="77">
      <c r="A77" s="4" t="inlineStr">
        <is>
          <t>Rennert22</t>
        </is>
      </c>
      <c r="B77" s="2" t="inlineStr">
        <is>
          <t>Rennert, K., Errickson, F., Prest, B.C., Rennels, L. et al. (2022). Comprehensive evidence implies a higher social cost of CO2. Nature 610:687-692.</t>
        </is>
      </c>
      <c r="C77" s="2" t="inlineStr">
        <is>
          <t>10.1038/s41586-022-05224-9</t>
        </is>
      </c>
      <c r="D77" s="8" t="inlineStr">
        <is>
          <t>https://doi.org/10.1038/s41586-022-05224-9</t>
        </is>
      </c>
      <c r="E77" s="2" t="n">
        <v>200</v>
      </c>
      <c r="F77" s="2" t="inlineStr">
        <is>
          <t>200; 200</t>
        </is>
      </c>
      <c r="G77" s="2" t="inlineStr">
        <is>
          <t>abstract only</t>
        </is>
      </c>
      <c r="H77" s="2" t="inlineStr">
        <is>
          <t>6b. Benefit - Global - Vessel!n/a</t>
        </is>
      </c>
    </row>
    <row r="78">
      <c r="A78" s="4" t="inlineStr">
        <is>
          <t>Riviera / Clarksons Research, Mar 2024 (medium PSV)</t>
        </is>
      </c>
      <c r="B78" s="2" t="inlineStr">
        <is>
          <t>Riviera Maritime Media (14 Mar 2024). Sticker shock: price of PSV newbuildings up 68% since 2016 (Clarksons Research, China Weekly).</t>
        </is>
      </c>
      <c r="C78" s="2" t="inlineStr"/>
      <c r="D78" s="8" t="inlineStr">
        <is>
          <t>https://www.rivieramm.com/news-content-hub/sticker-shock-price-of-psv-newbuildings-up-68-since-2016-79964</t>
        </is>
      </c>
      <c r="E78" s="2" t="n">
        <v>200</v>
      </c>
      <c r="F78" s="2" t="inlineStr">
        <is>
          <t>200 (429 rate-limit on first try)</t>
        </is>
      </c>
      <c r="G78" s="2" t="inlineStr">
        <is>
          <t>full text</t>
        </is>
      </c>
      <c r="H78" s="2" t="inlineStr">
        <is>
          <t>2. Cost Inputs!D44</t>
        </is>
      </c>
    </row>
    <row r="79">
      <c r="A79" s="4" t="inlineStr">
        <is>
          <t>Roelfsema21</t>
        </is>
      </c>
      <c r="B79" s="2" t="inlineStr">
        <is>
          <t>Roelfsema, C.M. et al. (2021). How Much Shallow Coral Habitat Is There on the Great Barrier Reef? Remote Sensing 13(21):4343.</t>
        </is>
      </c>
      <c r="C79" s="2" t="inlineStr">
        <is>
          <t>10.3390/rs13214343</t>
        </is>
      </c>
      <c r="D79" s="8" t="inlineStr">
        <is>
          <t>https://doi.org/10.3390/rs13214343</t>
        </is>
      </c>
      <c r="E79" s="2" t="n">
        <v>403</v>
      </c>
      <c r="F79" s="2" t="inlineStr">
        <is>
          <t>403 (crossref 200); 403 (crossref 200)</t>
        </is>
      </c>
      <c r="G79" s="2" t="inlineStr">
        <is>
          <t>abstract only</t>
        </is>
      </c>
      <c r="H79" s="2" t="inlineStr">
        <is>
          <t>5c. Benefit - Local - Reef!B6</t>
        </is>
      </c>
    </row>
    <row r="80">
      <c r="A80" s="4" t="inlineStr">
        <is>
          <t>ShipUniverse 31 Jul 2026 (global MGO index)</t>
        </is>
      </c>
      <c r="B80" s="2" t="inlineStr">
        <is>
          <t>ShipUniverse (31 Jul 2026). Bunker Prices Pull Back From Last Week's Spike, but MGO Remains a Major Cost Risk (Weekly Bunker Watch).</t>
        </is>
      </c>
      <c r="C80" s="2" t="inlineStr"/>
      <c r="D80" s="8" t="inlineStr">
        <is>
          <t>https://www.shipuniverse.com/news/bunker-prices-pull-back-from-last-weeks-spike-but-mgo-remains-a-major-cost-risk/</t>
        </is>
      </c>
      <c r="E80" s="2" t="n">
        <v>200</v>
      </c>
      <c r="F80" s="2" t="inlineStr">
        <is>
          <t>200</t>
        </is>
      </c>
      <c r="G80" s="2" t="inlineStr">
        <is>
          <t>full text</t>
        </is>
      </c>
      <c r="H80" s="2" t="inlineStr">
        <is>
          <t>2. Cost Inputs!D25</t>
        </is>
      </c>
    </row>
    <row r="81">
      <c r="A81" s="4" t="inlineStr">
        <is>
          <t>Stjern et al. 2018</t>
        </is>
      </c>
      <c r="B81" s="2" t="inlineStr">
        <is>
          <t>Stjern, C. W., Muri, H., Ahlm, L., et al. (2018). Response to marine cloud brightening in a multi-model ensemble. Atmos. Chem. Phys., 18, 621-634.</t>
        </is>
      </c>
      <c r="C81" s="2" t="inlineStr">
        <is>
          <t>10.5194/acp-18-621-2018</t>
        </is>
      </c>
      <c r="D81" s="8" t="inlineStr">
        <is>
          <t>https://doi.org/10.5194/acp-18-621-2018</t>
        </is>
      </c>
      <c r="E81" s="2" t="n">
        <v>200</v>
      </c>
      <c r="F81" s="2" t="inlineStr">
        <is>
          <t>200; 200</t>
        </is>
      </c>
      <c r="G81" s="2" t="inlineStr">
        <is>
          <t>abstract only</t>
        </is>
      </c>
      <c r="H81" s="2" t="inlineStr">
        <is>
          <t>5a. Cooling Model - Local!B18, 6a. Cooling Model - Global!D7:D12</t>
        </is>
      </c>
    </row>
    <row r="82">
      <c r="A82" s="4" t="inlineStr">
        <is>
          <t>Stuart et al. 2013</t>
        </is>
      </c>
      <c r="B82" s="2" t="inlineStr">
        <is>
          <t>Stuart, G. S., Stevens, R. G., Partanen, A.-I., et al. (2013). Reduced efficacy of marine cloud brightening geoengineering due to in-plume aerosol coagulation: parameterization and global implications. Atmos. Chem. Phys., 13, 10385-10396.</t>
        </is>
      </c>
      <c r="C82" s="2" t="inlineStr">
        <is>
          <t>10.5194/acp-13-10385-2013</t>
        </is>
      </c>
      <c r="D82" s="8" t="inlineStr">
        <is>
          <t>https://doi.org/10.5194/acp-13-10385-2013</t>
        </is>
      </c>
      <c r="E82" s="2" t="n">
        <v>200</v>
      </c>
      <c r="F82" s="2" t="inlineStr">
        <is>
          <t>200; 200</t>
        </is>
      </c>
      <c r="G82" s="2" t="inlineStr">
        <is>
          <t>full text</t>
        </is>
      </c>
      <c r="H82" s="2" t="inlineStr">
        <is>
          <t>5a. Cooling Model - Local!B5, 5b. Cooling-Value Sensitivity!B17/D17, 6a. Cooling Model - Global!B25:B27, 6a. Cooling Model - Global!B32</t>
        </is>
      </c>
    </row>
    <row r="83">
      <c r="A83" s="4" t="inlineStr">
        <is>
          <t>Tidewater 10-K FY2024 (commercial utilization)</t>
        </is>
      </c>
      <c r="B83" s="2" t="inlineStr">
        <is>
          <t>Tidewater Inc. Form 10-K for fiscal year 2024 (filed 2025).</t>
        </is>
      </c>
      <c r="C83" s="2" t="inlineStr"/>
      <c r="D83" s="8" t="inlineStr">
        <is>
          <t>https://www.sec.gov/Archives/edgar/data/98222/000143774925005487/tdw20241231_10k.htm</t>
        </is>
      </c>
      <c r="E83" s="2" t="n">
        <v>200</v>
      </c>
      <c r="F83" s="2" t="inlineStr">
        <is>
          <t>403</t>
        </is>
      </c>
      <c r="G83" s="2" t="inlineStr">
        <is>
          <t>full text</t>
        </is>
      </c>
      <c r="H83" s="2" t="inlineStr">
        <is>
          <t>2. Cost Inputs!B35, 2. Cost Inputs!B5, 2. Cost Inputs!B56, 2. Cost Inputs!B6, 2. Cost Inputs!D31</t>
        </is>
      </c>
    </row>
    <row r="84">
      <c r="A84" s="4" t="inlineStr">
        <is>
          <t>Tol24</t>
        </is>
      </c>
      <c r="B84" s="2" t="inlineStr">
        <is>
          <t>Tol, R.S.J. (2024). A meta-analysis of the total economic impact of climate change. Energy Policy 185:113922.</t>
        </is>
      </c>
      <c r="C84" s="2" t="inlineStr">
        <is>
          <t>10.1016/j.enpol.2023.113922</t>
        </is>
      </c>
      <c r="D84" s="8" t="inlineStr">
        <is>
          <t>https://doi.org/10.1016/j.enpol.2023.113922</t>
        </is>
      </c>
      <c r="E84" s="2" t="n">
        <v>200</v>
      </c>
      <c r="F84" s="2" t="inlineStr">
        <is>
          <t>200; 200</t>
        </is>
      </c>
      <c r="G84" s="2" t="inlineStr">
        <is>
          <t>abstract only</t>
        </is>
      </c>
      <c r="H84" s="2" t="inlineStr">
        <is>
          <t>6a. Cooling Model - Global!B44</t>
        </is>
      </c>
    </row>
    <row r="85">
      <c r="A85" s="4" t="inlineStr">
        <is>
          <t>Transport Canada BWTS report 2015</t>
        </is>
      </c>
      <c r="B85" s="2" t="inlineStr">
        <is>
          <t>Transport Canada (6 Mar 2015). Transactions on Ballast Water Treatment Systems for the Great Lakes-St. Lawrence Seaway System (STX Canada Marine feasibility report 182-001-01 Rev 07).</t>
        </is>
      </c>
      <c r="C85" s="2" t="inlineStr"/>
      <c r="D85" s="8" t="inlineStr">
        <is>
          <t>https://www.tc.canada.ca/sites/default/files/migrated/transactions_for_bwts_on_the_great_lakes___transport_canada.pdf</t>
        </is>
      </c>
      <c r="E85" s="2" t="n">
        <v>200</v>
      </c>
      <c r="F85" s="2" t="inlineStr">
        <is>
          <t>200</t>
        </is>
      </c>
      <c r="G85" s="2" t="inlineStr">
        <is>
          <t>full text</t>
        </is>
      </c>
      <c r="H85" s="2" t="inlineStr">
        <is>
          <t>2. Cost Inputs!D42, 2. Cost Inputs!E42; F42</t>
        </is>
      </c>
    </row>
    <row r="86">
      <c r="A86" s="4" t="inlineStr">
        <is>
          <t>UNCTAD RMT 2024</t>
        </is>
      </c>
      <c r="B86" s="2" t="inlineStr">
        <is>
          <t>UNCTAD (2024). Review of Maritime Transport 2024. United Nations, Geneva.</t>
        </is>
      </c>
      <c r="C86" s="2" t="inlineStr"/>
      <c r="D86" s="8" t="inlineStr">
        <is>
          <t>https://unctad.org/system/files/official-document/rmt2024_en.pdf</t>
        </is>
      </c>
      <c r="E86" s="2" t="n">
        <v>200</v>
      </c>
      <c r="F86" s="2" t="inlineStr">
        <is>
          <t>200</t>
        </is>
      </c>
      <c r="G86" s="2" t="inlineStr">
        <is>
          <t>full text</t>
        </is>
      </c>
      <c r="H86" s="2" t="inlineStr">
        <is>
          <t>3b. Outputs - Ship Piggyback!B10</t>
        </is>
      </c>
    </row>
    <row r="87">
      <c r="A87" s="4" t="inlineStr">
        <is>
          <t>UNCTAD RMT 2025</t>
        </is>
      </c>
      <c r="B87" s="2" t="inlineStr">
        <is>
          <t>UNCTAD (2025). Review of Maritime Transport 2025. United Nations, Geneva. (container fleet figure credited to MDS Transmodal, April 2025)</t>
        </is>
      </c>
      <c r="C87" s="2" t="inlineStr"/>
      <c r="D87" s="8" t="inlineStr">
        <is>
          <t>https://unctad.org/system/files/official-document/rmt2025_en.pdf</t>
        </is>
      </c>
      <c r="E87" s="2" t="n">
        <v>200</v>
      </c>
      <c r="F87" s="2" t="inlineStr">
        <is>
          <t>200</t>
        </is>
      </c>
      <c r="G87" s="2" t="inlineStr">
        <is>
          <t>full text</t>
        </is>
      </c>
      <c r="H87" s="2" t="inlineStr">
        <is>
          <t>6c. Benefit - Global Piggyback!B52</t>
        </is>
      </c>
    </row>
    <row r="88">
      <c r="A88" s="4" t="inlineStr">
        <is>
          <t>Used Ariel 200 hp CNG compressor listing</t>
        </is>
      </c>
      <c r="B88" s="2" t="inlineStr">
        <is>
          <t>Used Ariel JGQ-2-3 200 HP VFD electric drive 3-stage CNG compressor package, listing code 89539678, Bakersfield (freeoilfieldquote.com).</t>
        </is>
      </c>
      <c r="C88" s="2" t="inlineStr"/>
      <c r="D88" s="8" t="inlineStr">
        <is>
          <t>https://inventory.freeoilfieldquote.com/product/ariel-jgq-2-3-200-hp-vfd-electric-drive-3-stage-cng-com</t>
        </is>
      </c>
      <c r="E88" s="2" t="n">
        <v>200</v>
      </c>
      <c r="F88" s="2" t="inlineStr">
        <is>
          <t>200</t>
        </is>
      </c>
      <c r="G88" s="2" t="inlineStr">
        <is>
          <t>full text</t>
        </is>
      </c>
      <c r="H88" s="2" t="inlineStr">
        <is>
          <t>2. Cost Inputs!D41</t>
        </is>
      </c>
    </row>
    <row r="89">
      <c r="A89" s="4" t="inlineStr">
        <is>
          <t>VM17</t>
        </is>
      </c>
      <c r="B89" s="2" t="inlineStr">
        <is>
          <t>Viscusi, W.K., Masterman, C.J. (2017). Income Elasticities and Global Values of a Statistical Life. Journal of Benefit-Cost Analysis 8:226-250.</t>
        </is>
      </c>
      <c r="C89" s="2" t="inlineStr">
        <is>
          <t>10.1017/bca.2017.12</t>
        </is>
      </c>
      <c r="D89" s="8" t="inlineStr">
        <is>
          <t>https://doi.org/10.1017/bca.2017.12</t>
        </is>
      </c>
      <c r="E89" s="2" t="n">
        <v>200</v>
      </c>
      <c r="F89" s="2" t="inlineStr">
        <is>
          <t>200; 200</t>
        </is>
      </c>
      <c r="G89" s="2" t="inlineStr">
        <is>
          <t>abstract only</t>
        </is>
      </c>
      <c r="H89" s="2" t="inlineStr">
        <is>
          <t>5d. Benefit - Local - City!B27</t>
        </is>
      </c>
    </row>
    <row r="90">
      <c r="A90" s="4" t="inlineStr">
        <is>
          <t>Vessel charter / ship sizing</t>
        </is>
      </c>
      <c r="B90" s="2" t="inlineStr">
        <is>
          <t>Charter-market and vessel-spec websites used for ship sizing and charter rates.</t>
        </is>
      </c>
      <c r="C90" s="2" t="inlineStr"/>
      <c r="D90" s="8" t="inlineStr">
        <is>
          <t>https://horizonoffshoreservices.com/wp-content/uploads/2024/07/HOS269.pdf ; https://www.rivieramm.com/news-content-hub/sticker-shock-price-of-psv-newbuildings-up-68-since-2016-79964</t>
        </is>
      </c>
      <c r="E90" s="2" t="n">
        <v>200</v>
      </c>
      <c r="F90" s="2" t="inlineStr">
        <is>
          <t>200; 200 (429 rate-limit on first try)</t>
        </is>
      </c>
      <c r="G90" s="2" t="inlineStr">
        <is>
          <t>full text</t>
        </is>
      </c>
      <c r="H90" s="2" t="inlineStr">
        <is>
          <t>References!A20:D20</t>
        </is>
      </c>
    </row>
    <row r="91">
      <c r="A91" s="4" t="inlineStr">
        <is>
          <t>WB_CDR</t>
        </is>
      </c>
      <c r="B91" s="2" t="inlineStr">
        <is>
          <t>World Bank, World Development Indicators: Death rate, crude (per 1,000 people), SP.DYN.CDRT.IN, World, 2024.</t>
        </is>
      </c>
      <c r="C91" s="2" t="inlineStr"/>
      <c r="D91" s="8" t="inlineStr">
        <is>
          <t>https://api.worldbank.org/v2/country/WLD/indicator/SP.DYN.CDRT.IN?format=json&amp;date=2019:2024</t>
        </is>
      </c>
      <c r="E91" s="2" t="n">
        <v>200</v>
      </c>
      <c r="F91" s="2" t="inlineStr">
        <is>
          <t>200</t>
        </is>
      </c>
      <c r="G91" s="2" t="inlineStr">
        <is>
          <t>full text</t>
        </is>
      </c>
      <c r="H91" s="2" t="inlineStr">
        <is>
          <t>5d. Benefit - Local - City!B23</t>
        </is>
      </c>
    </row>
    <row r="92">
      <c r="A92" s="4" t="inlineStr">
        <is>
          <t>WB_GDP</t>
        </is>
      </c>
      <c r="B92" s="2" t="inlineStr">
        <is>
          <t>World Bank, World Development Indicators: GDP (current US$), NY.GDP.MKTP.CD, World.</t>
        </is>
      </c>
      <c r="C92" s="2" t="inlineStr"/>
      <c r="D92" s="8" t="inlineStr">
        <is>
          <t>https://api.worldbank.org/v2/country/WLD/indicator/NY.GDP.MKTP.CD?format=json&amp;date=2020:2025</t>
        </is>
      </c>
      <c r="E92" s="2" t="n">
        <v>200</v>
      </c>
      <c r="F92" s="2" t="inlineStr">
        <is>
          <t>200</t>
        </is>
      </c>
      <c r="G92" s="2" t="inlineStr">
        <is>
          <t>full text</t>
        </is>
      </c>
      <c r="H92" s="2" t="inlineStr">
        <is>
          <t>6a. Cooling Model - Global!B42, 6b. Benefit - Global - Vessel!B16</t>
        </is>
      </c>
    </row>
    <row r="93">
      <c r="A93" s="4" t="inlineStr">
        <is>
          <t>Wood 2021</t>
        </is>
      </c>
      <c r="B93" s="2" t="inlineStr">
        <is>
          <t>Wood, R. (2021). Assessing the potential efficacy of marine cloud brightening for cooling Earth using a simple heuristic model. Atmos. Chem. Phys., 21, 14507-14533.</t>
        </is>
      </c>
      <c r="C93" s="2" t="inlineStr">
        <is>
          <t>10.5194/acp-21-14507-2021</t>
        </is>
      </c>
      <c r="D93" s="8" t="inlineStr">
        <is>
          <t>https://doi.org/10.5194/acp-21-14507-2021</t>
        </is>
      </c>
      <c r="E93" s="2" t="n">
        <v>200</v>
      </c>
      <c r="F93" s="2" t="inlineStr">
        <is>
          <t>200; 200</t>
        </is>
      </c>
      <c r="G93" s="2" t="inlineStr">
        <is>
          <t>full text</t>
        </is>
      </c>
      <c r="H93" s="2" t="inlineStr">
        <is>
          <t>5a. Cooling Model - Local!B16, 5a. Cooling Model - Local!B17, 5a. Cooling Model - Local!B18, 5a. Cooling Model - Local!B20, 5a. Cooling Model - Local!B21, 5a. Cooling Model - Local!B24, 5a. Cooling Model - Local!B5, 5a. Cooling Model - Local!B6, 5a. Cooling Model - Local!B9, 6a. Cooling Model - Global!B30, 6a. Cooling Model - Global!B32</t>
        </is>
      </c>
    </row>
    <row r="94">
      <c r="A94" s="4" t="inlineStr">
        <is>
          <t>Workbook cell scan (dump.txt)</t>
        </is>
      </c>
      <c r="B94" s="2" t="inlineStr">
        <is>
          <t>grep of all note cells in workbook for sources named but absent from References tab</t>
        </is>
      </c>
      <c r="C94" s="2" t="inlineStr"/>
      <c r="D94" s="2" t="inlineStr"/>
      <c r="E94" s="2" t="n"/>
      <c r="F94" s="2" t="inlineStr">
        <is>
          <t>not rechecked</t>
        </is>
      </c>
      <c r="G94" s="2" t="inlineStr">
        <is>
          <t>full text</t>
        </is>
      </c>
      <c r="H94" s="2" t="inlineStr">
        <is>
          <t>Overview!A6; README 'Every paper the inputs were pulled from' (References row)</t>
        </is>
      </c>
    </row>
    <row r="95">
      <c r="A95" s="4" t="inlineStr">
        <is>
          <t>World Bank 2026 (WDI)</t>
        </is>
      </c>
      <c r="B95" s="2" t="inlineStr">
        <is>
          <t>World Bank, World Development Indicators, NY.GDP.MKTP.CD, World (WLD), current US$, API queried 2026-10-26.</t>
        </is>
      </c>
      <c r="C95" s="2" t="inlineStr"/>
      <c r="D95" s="8" t="inlineStr">
        <is>
          <t>https://api.worldbank.org/v2/country/WLD/indicator/NY.GDP.MKTP.CD?format=json&amp;mrv=3</t>
        </is>
      </c>
      <c r="E95" s="2" t="n">
        <v>200</v>
      </c>
      <c r="F95" s="2" t="inlineStr">
        <is>
          <t>200</t>
        </is>
      </c>
      <c r="G95" s="2" t="inlineStr">
        <is>
          <t>full text</t>
        </is>
      </c>
      <c r="H95" s="2" t="inlineStr">
        <is>
          <t>6a. Cooling Model - Global!B42</t>
        </is>
      </c>
    </row>
    <row r="96">
      <c r="A96" s="4" t="inlineStr">
        <is>
          <t>World Bank Cool Cities primer</t>
        </is>
      </c>
      <c r="B96" s="2" t="inlineStr">
        <is>
          <t>World Bank (2020). Cool Cities: Reducing Urban Heat. Primer / report.</t>
        </is>
      </c>
      <c r="C96" s="2" t="inlineStr">
        <is>
          <t>10.1596/34218</t>
        </is>
      </c>
      <c r="D96" s="8" t="inlineStr">
        <is>
          <t>https://openknowledge.worldbank.org/handle/10986/34218</t>
        </is>
      </c>
      <c r="E96" s="2" t="n">
        <v>200</v>
      </c>
      <c r="F96" s="2" t="inlineStr">
        <is>
          <t>200; 200</t>
        </is>
      </c>
      <c r="G96" s="2" t="inlineStr">
        <is>
          <t>abstract only</t>
        </is>
      </c>
      <c r="H96" s="2" t="inlineStr">
        <is>
          <t>References!A21:D21</t>
        </is>
      </c>
    </row>
    <row r="97">
      <c r="A97" s="4" t="inlineStr">
        <is>
          <t>Zhao et al. 2026 (EGUsphere preprint)</t>
        </is>
      </c>
      <c r="B97" s="2" t="inlineStr">
        <is>
          <t>Zhao, W., Huang, Y., Siems, S., Harrison, D. (2026). Sensitivity of Marine Cloud Brightening over the Great Barrier Reef to Spatial Variability in Aerosol Forcing: A Case Study using convection-permitting model. EGUsphere preprint.</t>
        </is>
      </c>
      <c r="C97" s="2" t="inlineStr">
        <is>
          <t>10.5194/egusphere-2026-1251</t>
        </is>
      </c>
      <c r="D97" s="8" t="inlineStr">
        <is>
          <t>https://doi.org/10.5194/egusphere-2026-1251</t>
        </is>
      </c>
      <c r="E97" s="2" t="n">
        <v>200</v>
      </c>
      <c r="F97" s="2" t="inlineStr">
        <is>
          <t>200; 200</t>
        </is>
      </c>
      <c r="G97" s="2" t="inlineStr">
        <is>
          <t>full text</t>
        </is>
      </c>
      <c r="H97" s="2" t="inlineStr">
        <is>
          <t>5a. Cooling Model - Local!B17, 5a. Cooling Model - Local!B18, 5a. Cooling Model - Local!B19, 5a. Cooling Model - Local!B21, 5a. Cooling Model - Local!B25, 5b. Cooling-Value Sensitivity!B13/D13, 5c-alt. Benefit - Reef (Zhao)!B6, 5c-alt. Benefit - Reef (Zhao)!B7, 5c-alt. Benefit - Reef (Zhao)!B8, References!A5:D5</t>
        </is>
      </c>
    </row>
    <row r="98">
      <c r="A98" s="4" t="inlineStr">
        <is>
          <t>ZhaoQ21</t>
        </is>
      </c>
      <c r="B98" s="2" t="inlineStr">
        <is>
          <t>Zhao, Q., Guo, Y., Ye, T., Gasparrini, A. et al. (2021). Global, regional, and national burden of mortality associated with non-optimal ambient temperatures from 2000 to 2019: a three-stage modelling study. Lancet Planetary Health 5:e415-e425.</t>
        </is>
      </c>
      <c r="C98" s="2" t="inlineStr">
        <is>
          <t>10.1016/S2542-5196(21)00081-4</t>
        </is>
      </c>
      <c r="D98" s="8" t="inlineStr">
        <is>
          <t>https://doi.org/10.1016/S2542-5196(21)00081-4</t>
        </is>
      </c>
      <c r="E98" s="2" t="n">
        <v>200</v>
      </c>
      <c r="F98" s="2" t="inlineStr">
        <is>
          <t>200; 200</t>
        </is>
      </c>
      <c r="G98" s="2" t="inlineStr">
        <is>
          <t>abstract only</t>
        </is>
      </c>
      <c r="H98" s="2" t="inlineStr">
        <is>
          <t>5d. Benefit - Local - City!B23</t>
        </is>
      </c>
    </row>
  </sheetData>
  <autoFilter ref="A1:H98"/>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2" r:id="rId17"/>
    <hyperlink xmlns:r="http://schemas.openxmlformats.org/officeDocument/2006/relationships" ref="D23" r:id="rId18"/>
    <hyperlink xmlns:r="http://schemas.openxmlformats.org/officeDocument/2006/relationships" ref="D25" r:id="rId19"/>
    <hyperlink xmlns:r="http://schemas.openxmlformats.org/officeDocument/2006/relationships" ref="D26" r:id="rId20"/>
    <hyperlink xmlns:r="http://schemas.openxmlformats.org/officeDocument/2006/relationships" ref="D27" r:id="rId21"/>
    <hyperlink xmlns:r="http://schemas.openxmlformats.org/officeDocument/2006/relationships" ref="D28" r:id="rId22"/>
    <hyperlink xmlns:r="http://schemas.openxmlformats.org/officeDocument/2006/relationships" ref="D29" r:id="rId23"/>
    <hyperlink xmlns:r="http://schemas.openxmlformats.org/officeDocument/2006/relationships" ref="D30" r:id="rId24"/>
    <hyperlink xmlns:r="http://schemas.openxmlformats.org/officeDocument/2006/relationships" ref="D31" r:id="rId25"/>
    <hyperlink xmlns:r="http://schemas.openxmlformats.org/officeDocument/2006/relationships" ref="D32" r:id="rId26"/>
    <hyperlink xmlns:r="http://schemas.openxmlformats.org/officeDocument/2006/relationships" ref="D33" r:id="rId27"/>
    <hyperlink xmlns:r="http://schemas.openxmlformats.org/officeDocument/2006/relationships" ref="D34" r:id="rId28"/>
    <hyperlink xmlns:r="http://schemas.openxmlformats.org/officeDocument/2006/relationships" ref="D35" r:id="rId29"/>
    <hyperlink xmlns:r="http://schemas.openxmlformats.org/officeDocument/2006/relationships" ref="D36" r:id="rId30"/>
    <hyperlink xmlns:r="http://schemas.openxmlformats.org/officeDocument/2006/relationships" ref="D37" r:id="rId31"/>
    <hyperlink xmlns:r="http://schemas.openxmlformats.org/officeDocument/2006/relationships" ref="D38" r:id="rId32"/>
    <hyperlink xmlns:r="http://schemas.openxmlformats.org/officeDocument/2006/relationships" ref="D39" r:id="rId33"/>
    <hyperlink xmlns:r="http://schemas.openxmlformats.org/officeDocument/2006/relationships" ref="D40" r:id="rId34"/>
    <hyperlink xmlns:r="http://schemas.openxmlformats.org/officeDocument/2006/relationships" ref="D41" r:id="rId35"/>
    <hyperlink xmlns:r="http://schemas.openxmlformats.org/officeDocument/2006/relationships" ref="D42" r:id="rId36"/>
    <hyperlink xmlns:r="http://schemas.openxmlformats.org/officeDocument/2006/relationships" ref="D43" r:id="rId37"/>
    <hyperlink xmlns:r="http://schemas.openxmlformats.org/officeDocument/2006/relationships" ref="D44" r:id="rId38"/>
    <hyperlink xmlns:r="http://schemas.openxmlformats.org/officeDocument/2006/relationships" ref="D45" r:id="rId39"/>
    <hyperlink xmlns:r="http://schemas.openxmlformats.org/officeDocument/2006/relationships" ref="D46" r:id="rId40"/>
    <hyperlink xmlns:r="http://schemas.openxmlformats.org/officeDocument/2006/relationships" ref="D47" r:id="rId41"/>
    <hyperlink xmlns:r="http://schemas.openxmlformats.org/officeDocument/2006/relationships" ref="D48" r:id="rId42"/>
    <hyperlink xmlns:r="http://schemas.openxmlformats.org/officeDocument/2006/relationships" ref="D49" r:id="rId43"/>
    <hyperlink xmlns:r="http://schemas.openxmlformats.org/officeDocument/2006/relationships" ref="D50" r:id="rId44"/>
    <hyperlink xmlns:r="http://schemas.openxmlformats.org/officeDocument/2006/relationships" ref="D51" r:id="rId45"/>
    <hyperlink xmlns:r="http://schemas.openxmlformats.org/officeDocument/2006/relationships" ref="D52" r:id="rId46"/>
    <hyperlink xmlns:r="http://schemas.openxmlformats.org/officeDocument/2006/relationships" ref="D53" r:id="rId47"/>
    <hyperlink xmlns:r="http://schemas.openxmlformats.org/officeDocument/2006/relationships" ref="D54" r:id="rId48"/>
    <hyperlink xmlns:r="http://schemas.openxmlformats.org/officeDocument/2006/relationships" ref="D55" r:id="rId49"/>
    <hyperlink xmlns:r="http://schemas.openxmlformats.org/officeDocument/2006/relationships" ref="D56" r:id="rId50"/>
    <hyperlink xmlns:r="http://schemas.openxmlformats.org/officeDocument/2006/relationships" ref="D57" r:id="rId51"/>
    <hyperlink xmlns:r="http://schemas.openxmlformats.org/officeDocument/2006/relationships" ref="D58" r:id="rId52"/>
    <hyperlink xmlns:r="http://schemas.openxmlformats.org/officeDocument/2006/relationships" ref="D59" r:id="rId53"/>
    <hyperlink xmlns:r="http://schemas.openxmlformats.org/officeDocument/2006/relationships" ref="D60" r:id="rId54"/>
    <hyperlink xmlns:r="http://schemas.openxmlformats.org/officeDocument/2006/relationships" ref="D61" r:id="rId55"/>
    <hyperlink xmlns:r="http://schemas.openxmlformats.org/officeDocument/2006/relationships" ref="D62" r:id="rId56"/>
    <hyperlink xmlns:r="http://schemas.openxmlformats.org/officeDocument/2006/relationships" ref="D63" r:id="rId57"/>
    <hyperlink xmlns:r="http://schemas.openxmlformats.org/officeDocument/2006/relationships" ref="D64" r:id="rId58"/>
    <hyperlink xmlns:r="http://schemas.openxmlformats.org/officeDocument/2006/relationships" ref="D65" r:id="rId59"/>
    <hyperlink xmlns:r="http://schemas.openxmlformats.org/officeDocument/2006/relationships" ref="D66" r:id="rId60"/>
    <hyperlink xmlns:r="http://schemas.openxmlformats.org/officeDocument/2006/relationships" ref="D67" r:id="rId61"/>
    <hyperlink xmlns:r="http://schemas.openxmlformats.org/officeDocument/2006/relationships" ref="D68" r:id="rId62"/>
    <hyperlink xmlns:r="http://schemas.openxmlformats.org/officeDocument/2006/relationships" ref="D69" r:id="rId63"/>
    <hyperlink xmlns:r="http://schemas.openxmlformats.org/officeDocument/2006/relationships" ref="D70" r:id="rId64"/>
    <hyperlink xmlns:r="http://schemas.openxmlformats.org/officeDocument/2006/relationships" ref="D71" r:id="rId65"/>
    <hyperlink xmlns:r="http://schemas.openxmlformats.org/officeDocument/2006/relationships" ref="D72" r:id="rId66"/>
    <hyperlink xmlns:r="http://schemas.openxmlformats.org/officeDocument/2006/relationships" ref="D73" r:id="rId67"/>
    <hyperlink xmlns:r="http://schemas.openxmlformats.org/officeDocument/2006/relationships" ref="D74" r:id="rId68"/>
    <hyperlink xmlns:r="http://schemas.openxmlformats.org/officeDocument/2006/relationships" ref="D75" r:id="rId69"/>
    <hyperlink xmlns:r="http://schemas.openxmlformats.org/officeDocument/2006/relationships" ref="D76" r:id="rId70"/>
    <hyperlink xmlns:r="http://schemas.openxmlformats.org/officeDocument/2006/relationships" ref="D77" r:id="rId71"/>
    <hyperlink xmlns:r="http://schemas.openxmlformats.org/officeDocument/2006/relationships" ref="D78" r:id="rId72"/>
    <hyperlink xmlns:r="http://schemas.openxmlformats.org/officeDocument/2006/relationships" ref="D79" r:id="rId73"/>
    <hyperlink xmlns:r="http://schemas.openxmlformats.org/officeDocument/2006/relationships" ref="D80" r:id="rId74"/>
    <hyperlink xmlns:r="http://schemas.openxmlformats.org/officeDocument/2006/relationships" ref="D81" r:id="rId75"/>
    <hyperlink xmlns:r="http://schemas.openxmlformats.org/officeDocument/2006/relationships" ref="D82" r:id="rId76"/>
    <hyperlink xmlns:r="http://schemas.openxmlformats.org/officeDocument/2006/relationships" ref="D83" r:id="rId77"/>
    <hyperlink xmlns:r="http://schemas.openxmlformats.org/officeDocument/2006/relationships" ref="D84" r:id="rId78"/>
    <hyperlink xmlns:r="http://schemas.openxmlformats.org/officeDocument/2006/relationships" ref="D85" r:id="rId79"/>
    <hyperlink xmlns:r="http://schemas.openxmlformats.org/officeDocument/2006/relationships" ref="D86" r:id="rId80"/>
    <hyperlink xmlns:r="http://schemas.openxmlformats.org/officeDocument/2006/relationships" ref="D87" r:id="rId81"/>
    <hyperlink xmlns:r="http://schemas.openxmlformats.org/officeDocument/2006/relationships" ref="D88" r:id="rId82"/>
    <hyperlink xmlns:r="http://schemas.openxmlformats.org/officeDocument/2006/relationships" ref="D89" r:id="rId83"/>
    <hyperlink xmlns:r="http://schemas.openxmlformats.org/officeDocument/2006/relationships" ref="D90" r:id="rId84"/>
    <hyperlink xmlns:r="http://schemas.openxmlformats.org/officeDocument/2006/relationships" ref="D91" r:id="rId85"/>
    <hyperlink xmlns:r="http://schemas.openxmlformats.org/officeDocument/2006/relationships" ref="D92" r:id="rId86"/>
    <hyperlink xmlns:r="http://schemas.openxmlformats.org/officeDocument/2006/relationships" ref="D93" r:id="rId87"/>
    <hyperlink xmlns:r="http://schemas.openxmlformats.org/officeDocument/2006/relationships" ref="D95" r:id="rId88"/>
    <hyperlink xmlns:r="http://schemas.openxmlformats.org/officeDocument/2006/relationships" ref="D96" r:id="rId89"/>
    <hyperlink xmlns:r="http://schemas.openxmlformats.org/officeDocument/2006/relationships" ref="D97" r:id="rId90"/>
    <hyperlink xmlns:r="http://schemas.openxmlformats.org/officeDocument/2006/relationships" ref="D98" r:id="rId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2026-10-26T12:57:59Z</dcterms:created>
  <dcterms:modified xsi:type="dcterms:W3CDTF">2026-10-26T12:57:59Z</dcterms:modified>
</cp:coreProperties>
</file>