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13"/>
  </bookViews>
  <sheets>
    <sheet name="Overview" sheetId="1" state="visible" r:id="rId3"/>
    <sheet name="1. Technology Description" sheetId="2" state="visible" r:id="rId4"/>
    <sheet name="2. Cost Inputs" sheetId="3" state="visible" r:id="rId5"/>
    <sheet name="3a. Outputs - Dedicated Vessel" sheetId="4" state="visible" r:id="rId6"/>
    <sheet name="3b. Outputs - Ship Piggyback" sheetId="5" state="visible" r:id="rId7"/>
    <sheet name="3c. Outputs - Fixed Platform" sheetId="6" state="visible" r:id="rId8"/>
    <sheet name="3d. Outputs - Stationary Vessel" sheetId="7" state="visible" r:id="rId9"/>
    <sheet name="4. Scenario Comparison" sheetId="8" state="visible" r:id="rId10"/>
    <sheet name="5a. Cooling Model - Local" sheetId="9" state="visible" r:id="rId11"/>
    <sheet name="5b. Cooling-Value Sensitivity" sheetId="10" state="visible" r:id="rId12"/>
    <sheet name="5c. Benefit - Local - Reef" sheetId="11" state="visible" r:id="rId13"/>
    <sheet name="5c-alt. Benefit - Reef (Zhao)" sheetId="12" state="visible" r:id="rId14"/>
    <sheet name="5d. Benefit - Local - City" sheetId="13" state="visible" r:id="rId15"/>
    <sheet name="6a. Cooling Model - Global" sheetId="14" state="visible" r:id="rId16"/>
    <sheet name="6b. Benefit - Global - Vessel" sheetId="15" state="visible" r:id="rId17"/>
    <sheet name="6c. Benefit - Global Piggyback" sheetId="16" state="visible" r:id="rId18"/>
    <sheet name="References" sheetId="17" state="visible" r:id="rId19"/>
    <sheet name="Review changes 2026-10"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<sst xmlns="http://schemas.openxmlformats.org/spreadsheetml/2006/main" count="5557" uniqueCount="2473">
  <si>
    <t xml:space="preserve">DRAFT - Marine Cloud Brightening: Cost, Benefit, and Planetary-Scale Assessment</t>
  </si>
  <si>
    <t xml:space="preserve">Intent</t>
  </si>
  <si>
    <t xml:space="preserve">The intent of this workbook is to do bottom up assessment of marine cloud brightening. The intent is to use the best available academic sources and connect those pieces together for this end to end assessment. Then we work through different delivery mechanisms, whether a dedicated vessel, piggybacking on a cargo ship, fixed platforms, or stationary vessels.</t>
  </si>
  <si>
    <t xml:space="preserve">Methodology</t>
  </si>
  <si>
    <t xml:space="preserve">Wherever possible, our intent is to use academic sources for inputs. On the last tab, references, you can find all the papers that we pulled data from. In this sense, we're pulling parts of a shelf and attempting to assemble them. As the foundation we take the exact numbers from Daniel Harrison's prototype in the Great Barrier Reef. However, these "parts" weren't built to be put together. This has two effects. One is that we may be connecting them together in the wrong order. The second is there are gaps, which means we make assumptions, which are not academically sourced.</t>
  </si>
  <si>
    <t xml:space="preserve">How the Workbook is Organized</t>
  </si>
  <si>
    <t xml:space="preserve">The workbook is broken roughly into two parts. The first section is modeling a machine/ship that spits out aerosol particles. The second section is then figuring out what the climate effect and outcome of those particles is.</t>
  </si>
  <si>
    <t xml:space="preserve">Particle cost model (tabs 1-4): what it costs to produce and spray particles</t>
  </si>
  <si>
    <t xml:space="preserve">1. Technology Description: the spray machine. CCN product = 30-1000 nm particles (Harrison 2025 convention).</t>
  </si>
  <si>
    <t xml:space="preserve">2. Cost Inputs: the blue input cells (capital, energy, crew, unit costs).</t>
  </si>
  <si>
    <t xml:space="preserve">3a. Outputs - Dedicated Vessel: levelized cost per tonne of aerosol (the anchor number).</t>
  </si>
  <si>
    <t xml:space="preserve">3b/3c/3d: cheaper siting and delivery vs a dedicated vessel (piggyback, fixed platform, stationary).</t>
  </si>
  <si>
    <t xml:space="preserve">4. Scenario Comparison: levelized cost per tonne of aerosol across 3a-3d, all side by side.</t>
  </si>
  <si>
    <t xml:space="preserve">Cooling Costs and Benefit (tabs 5-6): what the cooling is worth.</t>
  </si>
  <si>
    <t xml:space="preserve">5a/5b: $/tonne into $/unit cooling, the model the benefit tabs read (5a); sensitivity tornado of that answer (5b).</t>
  </si>
  <si>
    <t xml:space="preserve">5c/5c-alt/5d: local benefits, reef bleaching relief (5c) and city heat deaths (5d).</t>
  </si>
  <si>
    <t xml:space="preserve">6a: tonnes into global cooling via published Earth-system models. 6b/6c: value per degree-year vs climate damage functions.</t>
  </si>
  <si>
    <t xml:space="preserve">Out of Scope: Monitoring, Reporting, Verification (MRV)</t>
  </si>
  <si>
    <t xml:space="preserve">No MRV anywhere in this model: no measured forcing, no verification, no certification.</t>
  </si>
  <si>
    <t xml:space="preserve">Also out of scope for this model are any other Marine ecosystem impacts besides cooling and its impacts as well as Large scale circulation response, i.e. what effects does cloud brightening to cool the water of the Great Barrier Reef by 1C have on other parts of the climate system</t>
  </si>
  <si>
    <t xml:space="preserve">LEGEND</t>
  </si>
  <si>
    <t xml:space="preserve">Black text = formula</t>
  </si>
  <si>
    <t xml:space="preserve">Blue fill = inputs, you can change these.</t>
  </si>
  <si>
    <t xml:space="preserve">Green text = pulled from another tab</t>
  </si>
  <si>
    <t xml:space="preserve">QUESTIONS, COMMENTS, COMPLAINTS</t>
  </si>
  <si>
    <t xml:space="preserve">Tito Jankowski, tito.jankowski@renphil.org</t>
  </si>
  <si>
    <t xml:space="preserve">DRAFT - Technology Description</t>
  </si>
  <si>
    <t xml:space="preserve">System Definition</t>
  </si>
  <si>
    <t xml:space="preserve">A single effervescent nozzle: seawater + compressed air + power in, CCN aerosol out. TEA stops at particle production; climatology on subsequent tabs</t>
  </si>
  <si>
    <t xml:space="preserve">Particle Production</t>
  </si>
  <si>
    <t xml:space="preserve">Quantity</t>
  </si>
  <si>
    <t xml:space="preserve">Value</t>
  </si>
  <si>
    <t xml:space="preserve">Unit</t>
  </si>
  <si>
    <t xml:space="preserve">Notes / Source</t>
  </si>
  <si>
    <t xml:space="preserve">Sources</t>
  </si>
  <si>
    <t xml:space="preserve">Particle output</t>
  </si>
  <si>
    <t xml:space="preserve">particles/s</t>
  </si>
  <si>
    <t xml:space="preserve">Harrison et al. 2025, Environ. Sci.: Atmos. 5, 1071-1080 (doi:10.1039/d5ea00073d, OA; RSC blocks automated download, get PDF via DOI): ~1.73e12 droplets/s per nozzle. Cross-checks from files held: CS-06 Final Report 2025, p.24: the 2020 sea trial made "an estimated 2.7 x 10^14 droplets per second" from a "100 nozzle fan driven array [that] matched that of a single nozzle characterised under laboratory conditions" (about 2.7e12 per nozzle); CS-06 p.1: current prototype "~10^15 s-1 sea salt aerosols using 320 kilowatts (kW) of energy" (about 1.6e12 per nozzle over 640 nozzles).</t>
  </si>
  <si>
    <t xml:space="preserve">Harrison et al. 2025, Environ. Sci.: Atmos. 5, 1071-1080 (doi:10.1039/d5ea00073d).</t>
  </si>
  <si>
    <t xml:space="preserve">CCN-production window fraction (30-1000 nm)</t>
  </si>
  <si>
    <t xml:space="preserve">Harrison 2025 (doi:10.1039/d5ea00073d): CCN production rate = counts in the 30-1000 nm window (~71%). No separate activation cut (would double-count). Field target window is tighter, CS-06 Final Report 2025, p.12, Fig. 5 caption: "Green shading indicates a MCB target range of 30-800 nm dry diameter."</t>
  </si>
  <si>
    <t xml:space="preserve">Dry particle diameter</t>
  </si>
  <si>
    <t xml:space="preserve">nm</t>
  </si>
  <si>
    <t xml:space="preserve">One important note this model currently does not respond to changes in particle size. It calls all particles equivalent as long as they're within a certain range. Design value stays mass-weighted; mass sits in the large tail. Count mode is much smaller: CS-06 Final Report 2025, p.24: "mode dry aerosol diameter around 40 nm"; ERL 2025 (doi:10.1088/1748-9326/adccd7), p.6: sea-salt plume has "a notable peak at 47.03 nm average". Count-equivalent from the measured count + mass: ~143 nm. </t>
  </si>
  <si>
    <t xml:space="preserve">CS-06 Final Report 2025, p.24 + ERL 2025 p.6 (doi:10.1088/1748-9326/adccd7).</t>
  </si>
  <si>
    <t xml:space="preserve">Particles per tonne of salt</t>
  </si>
  <si>
    <t xml:space="preserve">particles/tonne</t>
  </si>
  <si>
    <t xml:space="preserve">Field count runs ~15% higher than the lab math (2020 GBR trial; Hernandez-Jaramillo 2025), so cooling cost may come out slightly high. Tab 5a pulls this cell.</t>
  </si>
  <si>
    <t xml:space="preserve">Mass per dry particle</t>
  </si>
  <si>
    <t xml:space="preserve">kg</t>
  </si>
  <si>
    <t xml:space="preserve">Sphere volume x dry NaCl density 2160 kg/m3.</t>
  </si>
  <si>
    <t xml:space="preserve">CCN-production output (30-1000 nm window)</t>
  </si>
  <si>
    <t xml:space="preserve">g/day</t>
  </si>
  <si>
    <t xml:space="preserve">per nozzle particle rate x window fraction x dry mass x time. Window output is the product (Harrison 2025); plume survival charged per-scenario on 5a/6a.</t>
  </si>
  <si>
    <t xml:space="preserve">tonne/day</t>
  </si>
  <si>
    <t xml:space="preserve">Energy</t>
  </si>
  <si>
    <t xml:space="preserve">Nozzle power scenario (selector)</t>
  </si>
  <si>
    <t xml:space="preserve">Power</t>
  </si>
  <si>
    <t xml:space="preserve">W</t>
  </si>
  <si>
    <t xml:space="preserve">Set by the scenario selector in H17 (1 = measured 512 W, 2 = CS-06 10x energy target 51.2 W). Harrison 2025 (doi:10.1039/d5ea00073d): nozzle power, ~98% air compression. Scale check from file held, CS-06 Final Report 2025, p.1: "The current prototype produces ~10^15 s-1 sea salt aerosols using 320 kilowatts (kW) of energy", about 0.32 W per 1e9 particles/s, i.e. ~550 W per nozzle at 1.73e12/s. Consistent with 512 W.</t>
  </si>
  <si>
    <t xml:space="preserve">Harrison et al. 2025, Environ. Sci.: Atmos. 5, 1071-1080 (doi:10.1039/d5ea00073d); scale check vs CS-06 Final Report 2025, p.1</t>
  </si>
  <si>
    <t xml:space="preserve">Selected scenario</t>
  </si>
  <si>
    <t xml:space="preserve">enter 1 or 2</t>
  </si>
  <si>
    <t xml:space="preserve">Energy per hour</t>
  </si>
  <si>
    <t xml:space="preserve">kWh</t>
  </si>
  <si>
    <t xml:space="preserve">1: Harrison 2025 as measured</t>
  </si>
  <si>
    <t xml:space="preserve">Energy per day</t>
  </si>
  <si>
    <t xml:space="preserve">2: CS-06 10x energy target</t>
  </si>
  <si>
    <t xml:space="preserve">Efficiency: energy per tonne of aerosol</t>
  </si>
  <si>
    <t xml:space="preserve">kWh/tonne</t>
  </si>
  <si>
    <t xml:space="preserve">x power price = marginal $/tonne (~$9,100 at $0.30/kWh diesel). CS-06's ARIEL is roughly equal per-particle; CS-06 wants a further ~10x.</t>
  </si>
  <si>
    <t xml:space="preserve">B17 reads the selection; tab 2 and every output tab read B17.</t>
  </si>
  <si>
    <t xml:space="preserve">Water Handling</t>
  </si>
  <si>
    <t xml:space="preserve">Seawater flow rate</t>
  </si>
  <si>
    <t xml:space="preserve">mL/s</t>
  </si>
  <si>
    <t xml:space="preserve">Harrison 2025 (doi:10.1039/d5ea00073d): ~1.73e12 droplets/s from 0.41 mL/s filtered seawater + 0.3 L/s air per nozzle. Field rigs run lower per nozzle: ERL 2025 (doi:10.1088/1748-9326/adccd7), p.2: "320 effervescent nozzles ... assembled into 5 manifold towers atomising a total of 68 ml s-1 of seawater" (about 0.21 mL/s each). Per-second value; next row converts to daily.</t>
  </si>
  <si>
    <t xml:space="preserve">Harrison et al. 2025, Environ. Sci.: Atmos. 5, 1071-1080 (doi:10.1039/d5ea00073d); field config: ERL 2025, p.2. </t>
  </si>
  <si>
    <t xml:space="preserve">Seawater sprayed</t>
  </si>
  <si>
    <t xml:space="preserve">L/day</t>
  </si>
  <si>
    <t xml:space="preserve">0.41 mL/s x 86,400 = per-day volume, converted once here so downstream stays in day-units. Only ~3.5% is salt.</t>
  </si>
  <si>
    <t xml:space="preserve">Seawater intensity</t>
  </si>
  <si>
    <t xml:space="preserve">m3/tonne</t>
  </si>
  <si>
    <t xml:space="preserve">Wet volume handled per dry tonne of CCN. Drives pumping/filtration/UV energy (x 0.6 kWh/m3 on Cost Inputs). Computed from the output of Harrison's 2025 nozzle.</t>
  </si>
  <si>
    <t xml:space="preserve">Pumping + filtration + UV energy</t>
  </si>
  <si>
    <t xml:space="preserve">kWh per m3 seawater</t>
  </si>
  <si>
    <t xml:space="preserve">Electricity to lift, filter and UV-treat one cubic metre of seawater before atomizing. Assumption; until 10/07 this 0.6 was typed inside formulas on tab 2 (B28) and tab 3a (row 37, column AI).</t>
  </si>
  <si>
    <t xml:space="preserve">Process Flow</t>
  </si>
  <si>
    <t xml:space="preserve">Seawater
intake</t>
  </si>
  <si>
    <t xml:space="preserve">↓</t>
  </si>
  <si>
    <t xml:space="preserve">Filtration
+ UV</t>
  </si>
  <si>
    <t xml:space="preserve">Pressurize seawater</t>
  </si>
  <si>
    <t xml:space="preserve">Compress air</t>
  </si>
  <si>
    <t xml:space="preserve">Effervescent
nozzle</t>
  </si>
  <si>
    <t xml:space="preserve">Evaporation</t>
  </si>
  <si>
    <t xml:space="preserve">Dry sea-salt
aerosol</t>
  </si>
  <si>
    <t xml:space="preserve">Aerosol Delivery</t>
  </si>
  <si>
    <t xml:space="preserve">Cloud Susceptibility</t>
  </si>
  <si>
    <t xml:space="preserve">Cloud Radiative Effect</t>
  </si>
  <si>
    <t xml:space="preserve">Surface Energy Budget Sensitivity</t>
  </si>
  <si>
    <t xml:space="preserve">Cooling Conversion</t>
  </si>
  <si>
    <t xml:space="preserve">DRAFT - Cost Input Sheet</t>
  </si>
  <si>
    <t xml:space="preserve">General Parameters</t>
  </si>
  <si>
    <t xml:space="preserve">Equipment availability</t>
  </si>
  <si>
    <t xml:space="preserve">fraction</t>
  </si>
  <si>
    <t xml:space="preserve">Mechanical uptime of the system, accounting for repairs and maintenance downtime</t>
  </si>
  <si>
    <t xml:space="preserve">Assumption (mechanical uptime target).</t>
  </si>
  <si>
    <t xml:space="preserve">Project lifetime</t>
  </si>
  <si>
    <t xml:space="preserve">years</t>
  </si>
  <si>
    <t xml:space="preserve">Hardware life</t>
  </si>
  <si>
    <t xml:space="preserve">Assumption (hardware life).</t>
  </si>
  <si>
    <t xml:space="preserve">Discount rate</t>
  </si>
  <si>
    <t xml:space="preserve">Cost of capital</t>
  </si>
  <si>
    <t xml:space="preserve">Assumption (cost of capital).</t>
  </si>
  <si>
    <t xml:space="preserve">Exchange rate, AUD to USD</t>
  </si>
  <si>
    <t xml:space="preserve">USD per AUD</t>
  </si>
  <si>
    <t xml:space="preserve">Used by tab 5c to convert the A$ reef valuation. Until 10/07 typed inside 5c B27.</t>
  </si>
  <si>
    <t xml:space="preserve">Assumption (0.70 USD/AUD).</t>
  </si>
  <si>
    <t xml:space="preserve">Equipment Sizing</t>
  </si>
  <si>
    <t xml:space="preserve">Aerosol per nozzle per year</t>
  </si>
  <si>
    <t xml:space="preserve">tonnes/yr</t>
  </si>
  <si>
    <t xml:space="preserve">g/day x 365 x equipment availability, to tonnes</t>
  </si>
  <si>
    <t xml:space="preserve">Particle flux per vessel-unit</t>
  </si>
  <si>
    <t xml:space="preserve">Output now: nozzles x rate x window fraction. Shows 10^16/s at base (Latham et al. 2012, ~10^15-10^16/s per sprayer); it is no longer a requirement.</t>
  </si>
  <si>
    <t xml:space="preserve">Nozzle count (per vessel-unit)</t>
  </si>
  <si>
    <t xml:space="preserve">nozzles</t>
  </si>
  <si>
    <t xml:space="preserve">Spray power (B14) / watts per nozzle (tab 1 B17). Until 10/07 this was 10^16/s / particles per nozzle, so a better nozzle meant the same count at lower power instead of more nozzles on the same plant.</t>
  </si>
  <si>
    <t xml:space="preserve">Spray power per vessel-unit</t>
  </si>
  <si>
    <t xml:space="preserve">kW</t>
  </si>
  <si>
    <t xml:space="preserve">The sizing lever since 10/07: the vessel is built around this power plant and carries as many nozzles as it can run (B13). 4,168 kW = 8,142 nozzles at Harrison's 512 W, so the base case is unchanged. At 51 W the same plant runs 81,400 nozzles: no one has checked that many booms and manifolds (127 ARIEL rigs) fit the modelled vessel, and the seawater intake would be 33 L/s. Same approach as the piggyback's 4.5 MW on tab 3b.</t>
  </si>
  <si>
    <t xml:space="preserve">Model structure (power-sized vessel-unit, 10/07). Harrison 2025: 814 nozzles at 10^15/s need 417 kW; 10^16/s about 4.2 MW.</t>
  </si>
  <si>
    <t xml:space="preserve">Annual production per vessel-unit (equipment basis)</t>
  </si>
  <si>
    <t xml:space="preserve">Nozzle count x aerosol per nozzle-year (equipment basis)</t>
  </si>
  <si>
    <t xml:space="preserve">Operating Expenditure (annual)</t>
  </si>
  <si>
    <t xml:space="preserve">1. Raw Materials</t>
  </si>
  <si>
    <t xml:space="preserve">Amount</t>
  </si>
  <si>
    <t xml:space="preserve">Cost/Unit</t>
  </si>
  <si>
    <t xml:space="preserve">Seawater</t>
  </si>
  <si>
    <t xml:space="preserve">L/tonne</t>
  </si>
  <si>
    <t xml:space="preserve">Drawn from the sea</t>
  </si>
  <si>
    <t xml:space="preserve">Structural: seawater drawn at sea, no purchase cost.</t>
  </si>
  <si>
    <t xml:space="preserve">2. Process Energy</t>
  </si>
  <si>
    <t xml:space="preserve">Energy (compression, atomizes wet seawater)</t>
  </si>
  <si>
    <t xml:space="preserve">Power x 24h per nozzle / aerosol per nozzle.</t>
  </si>
  <si>
    <t xml:space="preserve">Derived: tab-1 nozzle power (Harrison 2025) x 24 h x energy price assumption.</t>
  </si>
  <si>
    <t xml:space="preserve">Vessel propulsion burn (underway)</t>
  </si>
  <si>
    <t xml:space="preserve">PSV cruise ~16.4 m3/day at 10 kn, 22.7 at 12 kn (UT 755L); Brazilian PSV fleet average ~9.3 t/day (Vianna et al. 2025).</t>
  </si>
  <si>
    <t xml:space="preserve">Vessel spec sheets: UT 755L PSV ~16.4 m3/day at 10 kn (Hornbeck HOS269). PSV fleet average ~9.3 t/day: Vianna, Ribas, Martins Ferreira Filho &amp; Gribkovskaia (2025), J. Mar. Sci. Eng. 13(4):686 (was attributed to "Adland"). Links: https://horizonoffshoreservices.com/wp-content/uploads/2024/07/HOS269.pdf ; https://www.mdpi.com/2077-1312/13/4/686</t>
  </si>
  <si>
    <t xml:space="preserve">Vessel hotel burn (at rest / on station)</t>
  </si>
  <si>
    <t xml:space="preserve">Hotel plus light station-keeping.</t>
  </si>
  <si>
    <t xml:space="preserve">Fuel tank capacity</t>
  </si>
  <si>
    <t xml:space="preserve">L</t>
  </si>
  <si>
    <t xml:space="preserve">Seawater pumping + filtration + UV</t>
  </si>
  <si>
    <t xml:space="preserve">Lift, filter, UV-treat seawater before atomizing. Scales with wet volume (~87 m3 per dry tonne).</t>
  </si>
  <si>
    <t xml:space="preserve">Assumption: scales with wet volume (~87 m3 per dry tonne).</t>
  </si>
  <si>
    <t xml:space="preserve">3. Labor</t>
  </si>
  <si>
    <t xml:space="preserve">Crew</t>
  </si>
  <si>
    <t xml:space="preserve">crew</t>
  </si>
  <si>
    <t xml:space="preserve">6 crew per vessel x vessels (base scenario vessel count lives on tab 3a).</t>
  </si>
  <si>
    <t xml:space="preserve">Assumption: 6 crew per vessel.</t>
  </si>
  <si>
    <t xml:space="preserve">4. Fixed Operating Expenditure</t>
  </si>
  <si>
    <t xml:space="preserve">Maintenance &amp; insurance</t>
  </si>
  <si>
    <t xml:space="preserve">of capex/yr</t>
  </si>
  <si>
    <t xml:space="preserve">5% maintenance + 2% insurance</t>
  </si>
  <si>
    <t xml:space="preserve">Assumption: 5% maintenance + 2% insurance of capital.</t>
  </si>
  <si>
    <t xml:space="preserve">Capital Expenditure</t>
  </si>
  <si>
    <t xml:space="preserve">5. Purchased Equipment</t>
  </si>
  <si>
    <t xml:space="preserve">Nozzle unit cost scenario (selector)</t>
  </si>
  <si>
    <t xml:space="preserve">Nozzles &amp; manifolds</t>
  </si>
  <si>
    <t xml:space="preserve">No published price for the SCU/ARIEL effervescent nozzle (searched Harrison 2025, CS-01/04/06/07, T14, ARIA proposal, Hernandez-Jaramillo thesis, 10/07). Bracket: CS-07 2025 p.31 'commercially proven nozzles ... ~$10 to ~$1000 each', marine 316 SS 'considerably more expensive'; CS-07 p.35 MeeFog manifolds 'about US$50 per nozzle, including nozzles, adapters, fittings, support frame'; CS-06 p.23 cartridge redesign 'significantly reducing costs'. Scenario 2 ($100) assumes the prototype nozzle unchanged, just made in volume. Compressors are priced separately (row 41). Installation (row 51) is 20% of equipment, so it scales with this price; a flat per-nozzle labour cost would be more honest at $10.</t>
  </si>
  <si>
    <t xml:space="preserve">RRAP CS-07 Fogging Development Final Report 2025, p.31 and p.35 (MeeFog manifold US$50/nozzle); RRAP CS-06 Final Report 2025, p.23 (cartridge nozzle). No price for the ARIEL nozzle in any Harrison-group publication.</t>
  </si>
  <si>
    <t xml:space="preserve">enter 1, 2 or 3</t>
  </si>
  <si>
    <t xml:space="preserve">Compression + generation</t>
  </si>
  <si>
    <t xml:space="preserve">Used Ariel 200 hp CNG compressor package listed $180k ≈ $1,200/kW (Bakersfield yard listing). Link: https://inventory.freeoilfieldquote.com/product/ariel-jgq-2-3-200-hp-vfd-electric-drive-3-stage-cng-com</t>
  </si>
  <si>
    <t xml:space="preserve">Market reference (website): used Ariel 200 hp CNG compressor package listed $180k, ~$1,200/kW (Bakersfield yard listing). Link: https://inventory.freeoilfieldquote.com/product/ariel-jgq-2-3-200-hp-vfd-electric-drive-3-stage-cng-com</t>
  </si>
  <si>
    <t xml:space="preserve">1: $10, commodity nozzle at volume</t>
  </si>
  <si>
    <t xml:space="preserve">$/nozzle</t>
  </si>
  <si>
    <t xml:space="preserve">Seawater intake/filtration/UV</t>
  </si>
  <si>
    <t xml:space="preserve">per vessel</t>
  </si>
  <si>
    <t xml:space="preserve">$25k marinized: pump + strainer + polish + UV + spares. Ballast-water systems cost $640k+ but treat ~1,000x our throughput (Transport Canada, Transactions on BWTS 2015).</t>
  </si>
  <si>
    <t xml:space="preserve">Assumption ($25k marinized); ballast-water treatment systems ($640k+, Transport Canada 'Transactions on BWTS' 2015) as comparator at ~1,000x throughput. Link: https://www.tc.canada.ca/sites/default/files/migrated/transactions_for_bwts_on_the_great_lakes___transport_canada.pdf</t>
  </si>
  <si>
    <t xml:space="preserve">2: $100, cartridge nozzle in a welded manifold, made in volume</t>
  </si>
  <si>
    <t xml:space="preserve">Vessel structure &amp; integration</t>
  </si>
  <si>
    <t xml:space="preserve">Assumption: nothing published exists for installing a ~1,000-nozzle spray array. Set at 25% of vessel cost.</t>
  </si>
  <si>
    <t xml:space="preserve">3: $1,000, installed research-grade nozzle</t>
  </si>
  <si>
    <t xml:space="preserve">Vessel purchase</t>
  </si>
  <si>
    <t xml:space="preserve">vessels</t>
  </si>
  <si>
    <t xml:space="preserve">Newbuild 70-80 m PSV (Clarksons basis), sized for the ~3 MW spray plant. Platform = ~6-7 such vessels (sizing block below).</t>
  </si>
  <si>
    <t xml:space="preserve">Market reference (website): newbuild 70-80 m PSV, Clarksons basis; sized for the ~3 MW spray plant. Link: https://www.rivieramm.com/news-content-hub/sticker-shock-price-of-psv-newbuildings-up-68-since-2016-79964</t>
  </si>
  <si>
    <t xml:space="preserve">D40 reads the selection; every capex line reads D40. The 3a tornado runs $10 to $1,000 regardless of the selection.</t>
  </si>
  <si>
    <t xml:space="preserve">Total purchased equipment</t>
  </si>
  <si>
    <t xml:space="preserve">6. Contingency &amp; Indirect Capital</t>
  </si>
  <si>
    <t xml:space="preserve">Fraction</t>
  </si>
  <si>
    <t xml:space="preserve">Engineering &amp; supervision</t>
  </si>
  <si>
    <t xml:space="preserve">Assumption (share of capital).</t>
  </si>
  <si>
    <t xml:space="preserve">Installation &amp; commissioning</t>
  </si>
  <si>
    <t xml:space="preserve">Marinization premium</t>
  </si>
  <si>
    <t xml:space="preserve">Corrosion, classification, maintenance access; applied to equipment, not the vessel.</t>
  </si>
  <si>
    <t xml:space="preserve">Assumption (marinization premium on equipment).</t>
  </si>
  <si>
    <t xml:space="preserve">Process contingency</t>
  </si>
  <si>
    <t xml:space="preserve">Assumption (process contingency).</t>
  </si>
  <si>
    <t xml:space="preserve">Total capex</t>
  </si>
  <si>
    <t xml:space="preserve">7. Charter Rate</t>
  </si>
  <si>
    <t xml:space="preserve">Bareboat charter rate, workboat class (hull + crew)</t>
  </si>
  <si>
    <t xml:space="preserve">$/vessel/week</t>
  </si>
  <si>
    <t xml:space="preserve">Assumption, no market quote (moved from tab 5d). Hull and crew only; the spray gear is charged separately in B58. Until 10/07 this cell was total capex / 2000 per day, a kitted-vessel rate.</t>
  </si>
  <si>
    <t xml:space="preserve">This is a rough estimate. Total capex divided by 2000. Wanted some way to be able to break the cost down for charter scenarios like the Reef scenario. Indendent to represent the hull, crew, and insurance.</t>
  </si>
  <si>
    <t xml:space="preserve">Spray-train capex per vessel-unit (mounted gear, excl. hull)</t>
  </si>
  <si>
    <t xml:space="preserve">$</t>
  </si>
  <si>
    <t xml:space="preserve">Nozzles + compressors/gensets + seawater skid, with the contingency stack and installation. What gets mounted on a chartered hull (5c, 5c-alt, 5d).</t>
  </si>
  <si>
    <t xml:space="preserve">Spray-train capital charge per vessel-day</t>
  </si>
  <si>
    <t xml:space="preserve">$/vessel/day</t>
  </si>
  <si>
    <t xml:space="preserve">B57 x capital recovery factor (B6, B7) / 365. Charged per vessel-day of a chartered campaign.</t>
  </si>
  <si>
    <t xml:space="preserve">8. Diesel CO2 (added in review 2026-10)</t>
  </si>
  <si>
    <t xml:space="preserve">Diesel CO2 emission factor</t>
  </si>
  <si>
    <t xml:space="preserve">t CO2 / t fuel</t>
  </si>
  <si>
    <t xml:space="preserve">Carbon factor for marine diesel / gas oil.</t>
  </si>
  <si>
    <t xml:space="preserve">IMO Fourth GHG Study 2020: Cf 3.206 t CO2/t fuel for MDO/MGO.</t>
  </si>
  <si>
    <t xml:space="preserve">Diesel density</t>
  </si>
  <si>
    <t xml:space="preserve">kg/L</t>
  </si>
  <si>
    <t xml:space="preserve">Converts vessel fuel litres (tab 3a rows 24-25) to tonnes.</t>
  </si>
  <si>
    <t xml:space="preserve">Assumption: typical marine gas oil 0.83-0.89 kg/L (ISO 8217 DMA limit 0.890).</t>
  </si>
  <si>
    <t xml:space="preserve">Carbon price (social cost of CO2)</t>
  </si>
  <si>
    <t xml:space="preserve">$/t CO2</t>
  </si>
  <si>
    <t xml:space="preserve">Prices diesel CO2 in tabs 3a/3b (key metric) and in the 6b/6c benefit-cost ratios. EPA 2023 central ($190, 2% near-term rate). Alternative: $51 (IWG 2021 interim, 3%). Set 0 to exclude.</t>
  </si>
  <si>
    <t xml:space="preserve">US EPA (2023) Report on the Social Cost of Greenhouse Gases, Table ES.1; Interagency Working Group (2021) Technical Support Document, Table ES-1.</t>
  </si>
  <si>
    <t xml:space="preserve">Genset fuel rate</t>
  </si>
  <si>
    <t xml:space="preserve">kg fuel / kWh</t>
  </si>
  <si>
    <t xml:space="preserve">Pulled from tab 6c B50. Fuel burned by the spray gensets per kWh.</t>
  </si>
  <si>
    <t xml:space="preserve">IMO Fourth GHG Study 2020, Table 19 (SFC).</t>
  </si>
  <si>
    <t xml:space="preserve">Output Sheet</t>
  </si>
  <si>
    <t xml:space="preserve">Annualized Cost Build-up</t>
  </si>
  <si>
    <t xml:space="preserve">Key Metrics</t>
  </si>
  <si>
    <t xml:space="preserve">Component</t>
  </si>
  <si>
    <t xml:space="preserve">Annual cost</t>
  </si>
  <si>
    <t xml:space="preserve">$/tonne of aerosol</t>
  </si>
  <si>
    <t xml:space="preserve">% of total</t>
  </si>
  <si>
    <t xml:space="preserve">Metric</t>
  </si>
  <si>
    <t xml:space="preserve">Capital recovery factor</t>
  </si>
  <si>
    <t xml:space="preserve">Levelized cost of aerosol</t>
  </si>
  <si>
    <t xml:space="preserve">Annualized capital</t>
  </si>
  <si>
    <t xml:space="preserve">Annual aerosol production</t>
  </si>
  <si>
    <t xml:space="preserve">Seawater pumping + filtration</t>
  </si>
  <si>
    <t xml:space="preserve">Total annual cost</t>
  </si>
  <si>
    <t xml:space="preserve">$/yr</t>
  </si>
  <si>
    <t xml:space="preserve">Seawater feedstock</t>
  </si>
  <si>
    <t xml:space="preserve">Nozzles per system</t>
  </si>
  <si>
    <t xml:space="preserve">Operating days per year</t>
  </si>
  <si>
    <t xml:space="preserve">days/yr</t>
  </si>
  <si>
    <t xml:space="preserve">Spray power</t>
  </si>
  <si>
    <t xml:space="preserve">Vessel energy</t>
  </si>
  <si>
    <t xml:space="preserve">Capex share of annual cost</t>
  </si>
  <si>
    <t xml:space="preserve">Total Annual Cost</t>
  </si>
  <si>
    <t xml:space="preserve">Variable cost share</t>
  </si>
  <si>
    <t xml:space="preserve">Total incl. diesel CO2 at tab 2 carbon price (added 2026-10)</t>
  </si>
  <si>
    <t xml:space="preserve">Cost per delivered tonne</t>
  </si>
  <si>
    <t xml:space="preserve">$/tonne delivered at cloud base</t>
  </si>
  <si>
    <t xml:space="preserve">Diesel CO2 per tonne of aerosol (added 2026-10)</t>
  </si>
  <si>
    <t xml:space="preserve">t CO2 / tonne of aerosol</t>
  </si>
  <si>
    <t xml:space="preserve">Mission &amp; Endurance</t>
  </si>
  <si>
    <t xml:space="preserve">Notes</t>
  </si>
  <si>
    <t xml:space="preserve">Spray time - moving (underway)</t>
  </si>
  <si>
    <t xml:space="preserve">% of avail. time</t>
  </si>
  <si>
    <t xml:space="preserve">Spraying while the vessel is underway - the dedicated vessel sprays on the move</t>
  </si>
  <si>
    <t xml:space="preserve">Assumption: dedicated vessel sprays underway.</t>
  </si>
  <si>
    <t xml:space="preserve">Spray time - on station</t>
  </si>
  <si>
    <t xml:space="preserve">Spraying while holding station; zero for the dedicated vessel</t>
  </si>
  <si>
    <t xml:space="preserve">Assumption: zero on-station for this scenario.</t>
  </si>
  <si>
    <t xml:space="preserve">Transit time (no spray)</t>
  </si>
  <si>
    <t xml:space="preserve">Repositioning between spray areas plus refuel legs; only propulsion+hotel burn</t>
  </si>
  <si>
    <t xml:space="preserve">Assumption: repositioning + refuel legs.</t>
  </si>
  <si>
    <t xml:space="preserve">days</t>
  </si>
  <si>
    <t xml:space="preserve">= (spray + transit) % of available time x 365 x equipment availability</t>
  </si>
  <si>
    <t xml:space="preserve">Effective production</t>
  </si>
  <si>
    <t xml:space="preserve">= spray % x equipment-basis annual production (availability already applied)</t>
  </si>
  <si>
    <t xml:space="preserve">Endurance per tank</t>
  </si>
  <si>
    <t xml:space="preserve">90% of tank at combined underway burn (propulsion + hotel)</t>
  </si>
  <si>
    <t xml:space="preserve">Vessel fuel per year (propulsion)</t>
  </si>
  <si>
    <t xml:space="preserve">L/yr</t>
  </si>
  <si>
    <t xml:space="preserve">= (spray-moving + transit) % x 365 x availability x underway burn</t>
  </si>
  <si>
    <t xml:space="preserve">Hotel fuel per year</t>
  </si>
  <si>
    <t xml:space="preserve">= operating days x hotel burn</t>
  </si>
  <si>
    <t xml:space="preserve">Usable fraction of fuel tank</t>
  </si>
  <si>
    <t xml:space="preserve">Tanks are not run dry; 90% usable. Read by B23 here and by tab 3d. Until 10/07 typed inside both formulas.</t>
  </si>
  <si>
    <t xml:space="preserve">Levelized cost per tonne of aerosol</t>
  </si>
  <si>
    <t xml:space="preserve">Cost build-up with every tornado input at worst / base / best. Particle size fixed; only power per unit varies for nozzle improvements.</t>
  </si>
  <si>
    <t xml:space="preserve">Pessimistic</t>
  </si>
  <si>
    <t xml:space="preserve">Base</t>
  </si>
  <si>
    <t xml:space="preserve">Optimistic</t>
  </si>
  <si>
    <t xml:space="preserve">Production (t/yr)</t>
  </si>
  <si>
    <t xml:space="preserve">Rebuilt 2026-10 on the power-sized vessel (tab 2 B14 fixed; nozzles = plant / W per nozzle), with hotel fuel and the tab 2 capex stack. The Base column now equals G5.</t>
  </si>
  <si>
    <t xml:space="preserve">Energy intensity (kWh/tonne)</t>
  </si>
  <si>
    <t xml:space="preserve">Total capex ($)</t>
  </si>
  <si>
    <t xml:space="preserve">Annualized capital ($/yr)</t>
  </si>
  <si>
    <t xml:space="preserve">Spray energy ($/yr)</t>
  </si>
  <si>
    <t xml:space="preserve">Seawater pumping + UV ($/yr)</t>
  </si>
  <si>
    <t xml:space="preserve">kWh/tonne (tab 2 B28) x price x production for the case. Until 10/07 this row used litres where it needed cubic metres, 1,000x low on a ~$16/tonne line.</t>
  </si>
  <si>
    <t xml:space="preserve">Crew ($/yr)</t>
  </si>
  <si>
    <t xml:space="preserve">Maintenance &amp; insurance ($/yr)</t>
  </si>
  <si>
    <t xml:space="preserve">Vessel energy ($/yr)</t>
  </si>
  <si>
    <t xml:space="preserve">Levelized cost ($/tonne)</t>
  </si>
  <si>
    <t xml:space="preserve">Sensitivity Analysis</t>
  </si>
  <si>
    <t xml:space="preserve">Tornado Diagram Inputs</t>
  </si>
  <si>
    <t xml:space="preserve">Variable</t>
  </si>
  <si>
    <t xml:space="preserve">Base Case</t>
  </si>
  <si>
    <t xml:space="preserve">Units</t>
  </si>
  <si>
    <t xml:space="preserve">Description</t>
  </si>
  <si>
    <t xml:space="preserve">Live calc, drives the tornado (safe to hide columns R:AS)</t>
  </si>
  <si>
    <t xml:space="preserve">Power per unit</t>
  </si>
  <si>
    <t xml:space="preserve">Worst = 1.5x (degradation/losses). Best = 0.1x miracle machine (electrospray-class). Power-sized vessel: the plant (tab 2 B14) is fixed, so lower W per nozzle means more nozzles and more tonnes.</t>
  </si>
  <si>
    <t xml:space="preserve">d</t>
  </si>
  <si>
    <t xml:space="preserve">util</t>
  </si>
  <si>
    <t xml:space="preserve">disc</t>
  </si>
  <si>
    <t xml:space="preserve">nozcost</t>
  </si>
  <si>
    <t xml:space="preserve">compcost</t>
  </si>
  <si>
    <t xml:space="preserve">vescost</t>
  </si>
  <si>
    <t xml:space="preserve">maint</t>
  </si>
  <si>
    <t xml:space="preserve">eprice</t>
  </si>
  <si>
    <t xml:space="preserve">vfuel</t>
  </si>
  <si>
    <t xml:space="preserve">t/yr (power-sized)</t>
  </si>
  <si>
    <t xml:space="preserve">Particle output rate</t>
  </si>
  <si>
    <t xml:space="preserve">Harrison et al. 2025: field count rate runs ~15% above the lab value (2020 GBR trial vs CS-06 bench); +/-15% band.</t>
  </si>
  <si>
    <t xml:space="preserve">Vessel fuel/yr</t>
  </si>
  <si>
    <t xml:space="preserve">L/vessel/yr</t>
  </si>
  <si>
    <t xml:space="preserve">Propulsion + hotel, dedicated vessel</t>
  </si>
  <si>
    <t xml:space="preserve">Crew cost</t>
  </si>
  <si>
    <t xml:space="preserve">$/person</t>
  </si>
  <si>
    <t xml:space="preserve">Annual loaded cost per crew</t>
  </si>
  <si>
    <t xml:space="preserve">Annual utilization</t>
  </si>
  <si>
    <t xml:space="preserve">Spray-time fraction of year</t>
  </si>
  <si>
    <t xml:space="preserve">Nozzle unit cost</t>
  </si>
  <si>
    <t xml:space="preserve">Installed cost per nozzle. Worst = $1,000 scenario (tab 2 H43), base = selected scenario (D40), best = $10 scenario (H41): the full published bracket (CS-07 p.31), not a multiple of the selection.</t>
  </si>
  <si>
    <t xml:space="preserve">vessel fuel best</t>
  </si>
  <si>
    <t xml:space="preserve">Vessel cost</t>
  </si>
  <si>
    <t xml:space="preserve">$/vessel</t>
  </si>
  <si>
    <t xml:space="preserve">Spray vessel purchase + integration, per vessel</t>
  </si>
  <si>
    <t xml:space="preserve">crew worst</t>
  </si>
  <si>
    <t xml:space="preserve">Maintenance %</t>
  </si>
  <si>
    <t xml:space="preserve">Maintenance + insurance rate</t>
  </si>
  <si>
    <t xml:space="preserve">util worst</t>
  </si>
  <si>
    <t xml:space="preserve">Energy price</t>
  </si>
  <si>
    <t xml:space="preserve">$/kWh</t>
  </si>
  <si>
    <t xml:space="preserve">Marine diesel price</t>
  </si>
  <si>
    <t xml:space="preserve">util best</t>
  </si>
  <si>
    <t xml:space="preserve">Compressor $/kW</t>
  </si>
  <si>
    <t xml:space="preserve">$/kW</t>
  </si>
  <si>
    <t xml:space="preserve">HP compressor + genset</t>
  </si>
  <si>
    <t xml:space="preserve">nozzle cost worst</t>
  </si>
  <si>
    <t xml:space="preserve">vessel cost worst</t>
  </si>
  <si>
    <t xml:space="preserve">Tornado chart data (helper)</t>
  </si>
  <si>
    <t xml:space="preserve">vessel cost best</t>
  </si>
  <si>
    <t xml:space="preserve">spacer (hidden)</t>
  </si>
  <si>
    <t xml:space="preserve">cost-reducing span</t>
  </si>
  <si>
    <t xml:space="preserve">cost-raising span</t>
  </si>
  <si>
    <t xml:space="preserve">max (label helper)</t>
  </si>
  <si>
    <t xml:space="preserve">maint worst</t>
  </si>
  <si>
    <t xml:space="preserve">maint best</t>
  </si>
  <si>
    <t xml:space="preserve">disc worst</t>
  </si>
  <si>
    <t xml:space="preserve">disc best</t>
  </si>
  <si>
    <t xml:space="preserve">energy price worst</t>
  </si>
  <si>
    <t xml:space="preserve">energy price best</t>
  </si>
  <si>
    <t xml:space="preserve">compressor worst</t>
  </si>
  <si>
    <t xml:space="preserve">compressor best</t>
  </si>
  <si>
    <t xml:space="preserve">Particle rate worst</t>
  </si>
  <si>
    <t xml:space="preserve">Particle rate best</t>
  </si>
  <si>
    <t xml:space="preserve">PPS worst</t>
  </si>
  <si>
    <t xml:space="preserve">PPS best</t>
  </si>
  <si>
    <t xml:space="preserve">Container Ship Piggyback Scenario</t>
  </si>
  <si>
    <t xml:space="preserve">Rent deck slots on container ships already running liners. The spray train is sized to its own 4.5 MW of generation (rows 40-43); liner schedules set the spray fraction.</t>
  </si>
  <si>
    <t xml:space="preserve">Piggyback Assumptions</t>
  </si>
  <si>
    <t xml:space="preserve">Containerized mounting capital per vessel</t>
  </si>
  <si>
    <t xml:space="preserve">Gear mounting and integration only, no hull purchased</t>
  </si>
  <si>
    <t xml:space="preserve">Assumption: gear mounting and integration only, no hull purchased.</t>
  </si>
  <si>
    <t xml:space="preserve">Technicians per vessel</t>
  </si>
  <si>
    <t xml:space="preserve">people</t>
  </si>
  <si>
    <t xml:space="preserve">Ship crew already covered</t>
  </si>
  <si>
    <t xml:space="preserve">Assumption: 3 technicians per vessel.</t>
  </si>
  <si>
    <t xml:space="preserve">Technician annual cost</t>
  </si>
  <si>
    <t xml:space="preserve">Loaded annual cost</t>
  </si>
  <si>
    <t xml:space="preserve">Assumption (loaded annual cost).</t>
  </si>
  <si>
    <t xml:space="preserve">Energy price (own generation: tab 2 diesel rate)</t>
  </si>
  <si>
    <t xml:space="preserve">The spray train brings its own gensets (tab 2 row 41 capex), so power is priced at the tab-2 diesel rate. Until 10/07 a separate "shipboard" $0.25 was typed here.</t>
  </si>
  <si>
    <t xml:space="preserve">Assumption within noted range: grid ~$0.10-0.15, marine diesel generation ~$0.20-0.35/kWh.</t>
  </si>
  <si>
    <t xml:space="preserve">Spray-train energy (compression + atomization)</t>
  </si>
  <si>
    <t xml:space="preserve">kWh/tonne x shipboard price x annual production</t>
  </si>
  <si>
    <t xml:space="preserve">Deck-slot rental per vessel per year</t>
  </si>
  <si>
    <t xml:space="preserve">$/vessel/yr</t>
  </si>
  <si>
    <t xml:space="preserve">Assumption</t>
  </si>
  <si>
    <t xml:space="preserve">Assumption (deck-slot rental per vessel-year).</t>
  </si>
  <si>
    <t xml:space="preserve">Seawater skid, containerized (pumps, filtration, UV)</t>
  </si>
  <si>
    <t xml:space="preserve">Until 10/07 typed inside the row-22 formula.</t>
  </si>
  <si>
    <t xml:space="preserve">% of available time spraying; host vessel is underway on its route regardless</t>
  </si>
  <si>
    <t xml:space="preserve">Assumption: host vessel underway on its route regardless.</t>
  </si>
  <si>
    <t xml:space="preserve">Zero: host vessel does not hold station to spray</t>
  </si>
  <si>
    <t xml:space="preserve">Structural zero: host vessel does not hold station to spray.</t>
  </si>
  <si>
    <t xml:space="preserve">Zero: no dedicated transit legs - host vessel is on its route</t>
  </si>
  <si>
    <t xml:space="preserve">Structural zero: no dedicated transit legs.</t>
  </si>
  <si>
    <t xml:space="preserve">Fuel &amp; endurance</t>
  </si>
  <si>
    <t xml:space="preserve">Host vessel carries fuel; deck-slot rental covers logistics; no tank endurance limit</t>
  </si>
  <si>
    <t xml:space="preserve">Recomputed Levelized Cost</t>
  </si>
  <si>
    <t xml:space="preserve">Nozzles &amp; compression capex</t>
  </si>
  <si>
    <t xml:space="preserve">Seawater skid + mounting</t>
  </si>
  <si>
    <t xml:space="preserve">Skid + container mounting, no hull (single vessel)</t>
  </si>
  <si>
    <t xml:space="preserve">Total capex (x1.8 contingency)</t>
  </si>
  <si>
    <t xml:space="preserve">Spray-train energy at the shipboard price (B9). Until 10/07 this row priced energy again at the tab-2 diesel rate and the total added B9 on top, counting energy twice.</t>
  </si>
  <si>
    <t xml:space="preserve">Technician (replaces crew)</t>
  </si>
  <si>
    <t xml:space="preserve">Deck-slot rental</t>
  </si>
  <si>
    <t xml:space="preserve">Levelized Cost per Tonne</t>
  </si>
  <si>
    <t xml:space="preserve">Container Ship vs Dedicated Vessel</t>
  </si>
  <si>
    <t xml:space="preserve">Dedicated vessel: $/tonne of aerosol</t>
  </si>
  <si>
    <t xml:space="preserve">From main model</t>
  </si>
  <si>
    <t xml:space="preserve">Container ship: $/tonne of aerosol</t>
  </si>
  <si>
    <t xml:space="preserve">Cost relative to dedicated vessel</t>
  </si>
  <si>
    <t xml:space="preserve">Host-ship sizing (own generation)</t>
  </si>
  <si>
    <t xml:space="preserve">Power per host ship, own gensets</t>
  </si>
  <si>
    <t xml:space="preserve">4.5 MW of containerized gensets is 3 to 5 forty-foot boxes; with compressors the train takes ~20-30 TEU of slots. Sizes the train on this tab. Until 10/07 the train was tab 2's 10^16/s unit (4.2 MW) while 6c assumed 2 MW from the host.</t>
  </si>
  <si>
    <t xml:space="preserve">Nozzles per host ship</t>
  </si>
  <si>
    <t xml:space="preserve">Power per ship / watts per nozzle (tab 1 B17).</t>
  </si>
  <si>
    <t xml:space="preserve">Production per host ship</t>
  </si>
  <si>
    <t xml:space="preserve">Spray fraction x nozzles x aerosol per nozzle-year (tab 2 B11). Read by 6c.</t>
  </si>
  <si>
    <t xml:space="preserve">Diesel CO2 per tonne of aerosol (own gensets, added 2026-10)</t>
  </si>
  <si>
    <t xml:space="preserve">t CO2 / tonne</t>
  </si>
  <si>
    <t xml:space="preserve">Spray energy x genset fuel rate x CO2 factor (tab 2 rows 61-64). Host-ship propulsion is not charged to MCB.</t>
  </si>
  <si>
    <t xml:space="preserve">Levelized cost incl. diesel CO2</t>
  </si>
  <si>
    <t xml:space="preserve">At the tab 2 carbon price (B63). Tab 6c benefit-cost ratios use this.</t>
  </si>
  <si>
    <t xml:space="preserve">Fixed Coastal Platform Scenario</t>
  </si>
  <si>
    <t xml:space="preserve">Fixed platforms: stay put, run continuously, shore or renewable power, no propulsion fuel. Shore cable priced since 2026-10 (rows 42-46): a ~4.2 MW platform needs array-class 33-66 kV cable (~$0.24-0.65M/km supply). The earlier $0.8-1.5M/km figure was export-class (132-220 kV).</t>
  </si>
  <si>
    <t xml:space="preserve">Platform Assumptions</t>
  </si>
  <si>
    <t xml:space="preserve">Platform capital per unit</t>
  </si>
  <si>
    <t xml:space="preserve">$/platform</t>
  </si>
  <si>
    <t xml:space="preserve">Moored buoy / small jack-up / repurposed barge with mooring. Assumption: purpose-built marine structure, far above a $50k container slot.</t>
  </si>
  <si>
    <t xml:space="preserve">Assumption: moored buoy / small jack-up / repurposed barge with mooring.</t>
  </si>
  <si>
    <t xml:space="preserve">Technicians per platform</t>
  </si>
  <si>
    <t xml:space="preserve">Largely automated; periodic maintenance from shore. Closer to the piggyback technician model than a 6-person crew.</t>
  </si>
  <si>
    <t xml:space="preserve">Assumption: largely automated, periodic maintenance from shore.</t>
  </si>
  <si>
    <t xml:space="preserve">Loaded annual cost incl. boat transfers for maintenance trips.</t>
  </si>
  <si>
    <t xml:space="preserve">Assumption (includes boat transfers for maintenance trips).</t>
  </si>
  <si>
    <t xml:space="preserve">Shore power price</t>
  </si>
  <si>
    <t xml:space="preserve">Shore power, cheaper than marine diesel ($0.30/kWh). Set to 0.30 to model diesel gensets.</t>
  </si>
  <si>
    <t xml:space="preserve">Assumption: shore-power price; set to 0.30 to model diesel gensets.</t>
  </si>
  <si>
    <t xml:space="preserve">Siting + permitting per platform</t>
  </si>
  <si>
    <t xml:space="preserve">New: environmental review, marine permits, consultation near a populated coast. Amortized as capital.</t>
  </si>
  <si>
    <t xml:space="preserve">Assumption: environmental review, marine permits, consultation near a populated coast.</t>
  </si>
  <si>
    <t xml:space="preserve">Mooring + station-keeping O&amp;M</t>
  </si>
  <si>
    <t xml:space="preserve">$/platform/yr</t>
  </si>
  <si>
    <t xml:space="preserve">New annual cost: mooring inspection, anti-fouling, station-keeping for a fixed marine structure.</t>
  </si>
  <si>
    <t xml:space="preserve">Assumption: mooring inspection, anti-fouling, station-keeping O&amp;M.</t>
  </si>
  <si>
    <t xml:space="preserve">Zero: fixed platform does not move</t>
  </si>
  <si>
    <t xml:space="preserve">Structural zero: fixed platform does not move.</t>
  </si>
  <si>
    <t xml:space="preserve">% of available time spraying; platform is permanently on station</t>
  </si>
  <si>
    <t xml:space="preserve">Assumption: platform permanently on station.</t>
  </si>
  <si>
    <t xml:space="preserve">Zero: fixed platform has no transit</t>
  </si>
  <si>
    <t xml:space="preserve">Structural zero: no transit legs.</t>
  </si>
  <si>
    <t xml:space="preserve">Shore-powered; no fuel endurance limit; crew access in suitable weather windows</t>
  </si>
  <si>
    <t xml:space="preserve">Seawater skid</t>
  </si>
  <si>
    <t xml:space="preserve">Intake/filtration/UV skid, one per platform-edge (single platform)</t>
  </si>
  <si>
    <t xml:space="preserve">Platform structure + siting</t>
  </si>
  <si>
    <t xml:space="preserve">Fixed offshore structure + permitting, single platform</t>
  </si>
  <si>
    <t xml:space="preserve">Total capex (contingency stack)</t>
  </si>
  <si>
    <t xml:space="preserve">Energy (shore power)</t>
  </si>
  <si>
    <t xml:space="preserve">Same kWh/tonne as main model, priced at shore power. No propulsion fuel: platform does not move.</t>
  </si>
  <si>
    <t xml:space="preserve">Automated platform, minimal staffing</t>
  </si>
  <si>
    <t xml:space="preserve">Same 7% of capex as main model</t>
  </si>
  <si>
    <t xml:space="preserve">Fixed Platform vs Other Sitings</t>
  </si>
  <si>
    <t xml:space="preserve">Fixed platform: $/tonne of aerosol</t>
  </si>
  <si>
    <t xml:space="preserve">Shore power cable (added 2026-10)</t>
  </si>
  <si>
    <t xml:space="preserve">Cable length to shore</t>
  </si>
  <si>
    <t xml:space="preserve">km</t>
  </si>
  <si>
    <t xml:space="preserve">Assumption: near-shore platform. Set 0 with B8 = 0.30 to model diesel gensets on the platform instead (~$19k/t, which bounds this case).</t>
  </si>
  <si>
    <t xml:space="preserve">Assumption.</t>
  </si>
  <si>
    <t xml:space="preserve">Array-class subsea cable, supply</t>
  </si>
  <si>
    <t xml:space="preserve">$/km</t>
  </si>
  <si>
    <t xml:space="preserve">33-66 kV array-class cable, $0.24-0.65M/km supply (NREL ORBIT cable library); 0.455 is the library central.</t>
  </si>
  <si>
    <t xml:space="preserve">NREL/WISDEM ORBIT library/cables (github.com/WISDEM/ORBIT); Nunemaker et al. 2020, NREL/TP-5000-77081.</t>
  </si>
  <si>
    <t xml:space="preserve">Cable installation markup over supply</t>
  </si>
  <si>
    <t xml:space="preserve">+30-60% over supply (BVG Associates 2023, stated for export cables); midpoint.</t>
  </si>
  <si>
    <t xml:space="preserve">BVG Associates (2023), Guide to a Floating Offshore Wind Farm.</t>
  </si>
  <si>
    <t xml:space="preserve">Cable capex (installed)</t>
  </si>
  <si>
    <t xml:space="preserve">Added to purchased equipment (B24), so the contingency stack applies.</t>
  </si>
  <si>
    <t xml:space="preserve">Stationary Vessel Scenario</t>
  </si>
  <si>
    <t xml:space="preserve">Transit to position, then hold station. Fuel = hotel burn all days + propulsion on transit days.</t>
  </si>
  <si>
    <t xml:space="preserve">Zero: this vessel does not spray while underway</t>
  </si>
  <si>
    <t xml:space="preserve">Structural zero: does not spray while underway.</t>
  </si>
  <si>
    <t xml:space="preserve">Spraying while holding station</t>
  </si>
  <si>
    <t xml:space="preserve">Assumption: sprays while holding station.</t>
  </si>
  <si>
    <t xml:space="preserve">Steam out and back; one round trip per year</t>
  </si>
  <si>
    <t xml:space="preserve">Assumption: steam out and back, one round trip per year.</t>
  </si>
  <si>
    <t xml:space="preserve">Endurance per tank (on station)</t>
  </si>
  <si>
    <t xml:space="preserve">90% of tank at hotel burn only - about 11 months on station</t>
  </si>
  <si>
    <t xml:space="preserve">Missions per year (tank-limited)</t>
  </si>
  <si>
    <t xml:space="preserve">missions</t>
  </si>
  <si>
    <t xml:space="preserve">Returns to port to refuel this many times</t>
  </si>
  <si>
    <t xml:space="preserve">Transit fuel per year</t>
  </si>
  <si>
    <t xml:space="preserve">Energy (spray)</t>
  </si>
  <si>
    <t xml:space="preserve">Vessel energy (hotel + transit)</t>
  </si>
  <si>
    <t xml:space="preserve">(operating days x hotel burn + moving days x underway burn) x diesel price</t>
  </si>
  <si>
    <t xml:space="preserve">Stationary vs Moving Vessel</t>
  </si>
  <si>
    <t xml:space="preserve">Moving vessel: $/tonne of aerosol (tab 3a)</t>
  </si>
  <si>
    <t xml:space="preserve">Stationary vessel: $/tonne of aerosol</t>
  </si>
  <si>
    <t xml:space="preserve">Saving vs moving vessel</t>
  </si>
  <si>
    <t xml:space="preserve">$/tonne</t>
  </si>
  <si>
    <t xml:space="preserve">Cost relative to moving vessel</t>
  </si>
  <si>
    <t xml:space="preserve">4. Scenario Comparison</t>
  </si>
  <si>
    <t xml:space="preserve">All values pulled live from tabs 3a-3d (green fill); nothing is computed here. Sources for each number sit on its home tab.</t>
  </si>
  <si>
    <t xml:space="preserve">Scenario</t>
  </si>
  <si>
    <t xml:space="preserve">vs dedicated (3a)</t>
  </si>
  <si>
    <t xml:space="preserve">Note</t>
  </si>
  <si>
    <t xml:space="preserve">3a. Dedicated vessel</t>
  </si>
  <si>
    <t xml:space="preserve">anchor</t>
  </si>
  <si>
    <t xml:space="preserve">Main model.</t>
  </si>
  <si>
    <t xml:space="preserve">3b. Ship piggyback</t>
  </si>
  <si>
    <t xml:space="preserve">Rent deck slots; host vessel runs its route.</t>
  </si>
  <si>
    <t xml:space="preserve">3c. Fixed platform</t>
  </si>
  <si>
    <t xml:space="preserve">Moored buoy / jack-up; shore power.</t>
  </si>
  <si>
    <t xml:space="preserve">3d. Stationary vessel</t>
  </si>
  <si>
    <t xml:space="preserve">Steam out and back once; holds station.</t>
  </si>
  <si>
    <t xml:space="preserve">Cost of Cooling: Cost per Unit of Cooling Produced</t>
  </si>
  <si>
    <t xml:space="preserve">Converts cost per tonne of aerosol (from the TEA) into cost per unit of cooling, using the particle-size physics below.</t>
  </si>
  <si>
    <t xml:space="preserve">Survival factor</t>
  </si>
  <si>
    <t xml:space="preserve">Fraction surviving in-plume coagulation/deposition to cloud base. Open research gap (2025 plume review; CS-06 targets it). Range 0.1-0.5.</t>
  </si>
  <si>
    <t xml:space="preserve">Hernandez-Jaramillo et al. 2025a, Front. Mar. Sci. 12:1450175, p.1: effectiveness "depends on what fraction of the sea salt aerosols are incorporated into clouds after being emitted"; still an open research gap, so 0.3 is a scenario choice.</t>
  </si>
  <si>
    <t xml:space="preserve">Boundary-layer mixing depth</t>
  </si>
  <si>
    <t xml:space="preserve">m</t>
  </si>
  <si>
    <t xml:space="preserve">Measured: plumes reached cloud base at 825-900 m across five GBR campaigns (CS-06 Final Report 2025).</t>
  </si>
  <si>
    <t xml:space="preserve">CS-06 Final Report 2025, p.2: "plumes consistently reached cloud base heights (800 - 900 metres) under typical trade-wind and low-wind speed doldrum type atmospheric conditions." ERL 2025 abstract: plume detected "just below cloud bases at 700-900 m altitudes".</t>
  </si>
  <si>
    <t xml:space="preserve">Cloud susceptibility</t>
  </si>
  <si>
    <t xml:space="preserve">#/tonne</t>
  </si>
  <si>
    <t xml:space="preserve">From tab 1</t>
  </si>
  <si>
    <t xml:space="preserve">Background cloud droplet number</t>
  </si>
  <si>
    <t xml:space="preserve">/cm3</t>
  </si>
  <si>
    <t xml:space="preserve">Natural marine background. CS-06 2025 p.34: GBR runs 50-200/cm3, most common ~100.</t>
  </si>
  <si>
    <t xml:space="preserve">CS-06 Final Report 2025, pp.25-26: "background CCN concentrations range from approximately 50 to 200 cm-3... The most common value is near 100 cm-3".</t>
  </si>
  <si>
    <t xml:space="preserve">Required droplet addition</t>
  </si>
  <si>
    <t xml:space="preserve">(Droplet-number enhancement - 1) x background: 0.3 x 100 = add 30/cm3 at the 1.3x base. The measured ceiling (CS-06 p.34) is ~200/cm3 total, i.e. at most +100/cm3 (2.0x).</t>
  </si>
  <si>
    <t xml:space="preserve">Area per tonne</t>
  </si>
  <si>
    <t xml:space="preserve">km2/tonne</t>
  </si>
  <si>
    <t xml:space="preserve">Particles available / needed per km2. Not applied as a factor: ~9 in 100 windowed arrivals don't activate at 0.5% SS (field-measured, ERL 2025); worse at 0.2% SS.</t>
  </si>
  <si>
    <t xml:space="preserve">Critical activation diameter (Köhler threshold)</t>
  </si>
  <si>
    <t xml:space="preserve">Hernandez-Jaramillo 2025 (ERL): ~50 nm activates at 0.5% SS over the GBR; ~73 nm at 0.2% SS (trade-cumulus Hoppel minimum).</t>
  </si>
  <si>
    <t xml:space="preserve">ERL 2025, p.9: "a critical diameter of ~ 50 nm at 0.5% supersaturation (SS) and ~73 nm at 0.2% SS" (GBR seawater).</t>
  </si>
  <si>
    <t xml:space="preserve">Unused - do not wire (superseded by cloud availability)</t>
  </si>
  <si>
    <t xml:space="preserve">Neutralized 2026-09-09: overlaps cloud availability, same weather gate, would double-count. No formulas reference this input.</t>
  </si>
  <si>
    <t xml:space="preserve">Cloud-top shortwave, 24-h mean</t>
  </si>
  <si>
    <t xml:space="preserve">W/m2</t>
  </si>
  <si>
    <t xml:space="preserve">24-h mean downwelling SW at cloud top, GBR Dec-Apr. 475 was the DJF 24-h mean at the top of the atmosphere (CERES via NASA POWER: 460-491 at three GBR points), not a daytime value. x ~0.8 free-troposphere transmission (Wood 2021) gives ~380. Solar-geometry check, 14-22S, 1 Dec-30 Apr: 442 W/m2 24-h TOA, 376-385 at cloud top. Changed 2026-10 from 475, which was then multiplied by a 0.4 day/night factor in B20, counting the diurnal cycle twice.</t>
  </si>
  <si>
    <t xml:space="preserve">Wood 2021, ACP 21:14507 (doi:10.5194/acp-21-14507-2021), Sect. 2.1: day+night-mean irradiance, free-troposphere transmissivity 0.8, no separate diurnal factor. NASA POWER CERES SYN1deg TOA_SW_DWN climatology. Daily-mean insolation computed from solar geometry in review.</t>
  </si>
  <si>
    <t xml:space="preserve">Marine cloud albedo</t>
  </si>
  <si>
    <t xml:space="preserve">-</t>
  </si>
  <si>
    <t xml:space="preserve">Cloud albedo 0.4 (author choice, kept). Stratocumulus decks run ~0.5-0.6 (Wood 2021). GBR summer trade cumulus is lower: 0.1-0.3 domain average (Harrison et al. 2019 T14, pp.64-65), which would cut the Twomey term A(1-A) from 0.24 to 0.09-0.21.</t>
  </si>
  <si>
    <t xml:space="preserve">Assumption: literature-typical stratocumulus albedo. Talked with Graham who suggested 0.30 a lower range.</t>
  </si>
  <si>
    <t xml:space="preserve">Droplet-number enhancement</t>
  </si>
  <si>
    <t xml:space="preserve">x</t>
  </si>
  <si>
    <t xml:space="preserve">1.3x over a 100/cm3 background (+30/cm3). Zhao et al. 2026 GBR modelling: domain-mean droplet increase 1.14-1.73x (central 1.32). Measured ceiling ~200/cm3, i.e. at most 2.0x (CS-06 p.34). Cooling per tonne scales as ln(r)/(r-1), so a higher ratio lowers cooling per tonne.</t>
  </si>
  <si>
    <t xml:space="preserve">Local forcing under brightened cloud</t>
  </si>
  <si>
    <t xml:space="preserve">Twomey: Fsw x Ac x (1-Ac) x (1/3) x ln(Nd ratio)</t>
  </si>
  <si>
    <t xml:space="preserve">Diurnal factor</t>
  </si>
  <si>
    <t xml:space="preserve">1.0 because B16 is already a 24-h mean. Was 0.4 on top of a 24-h mean, which counted the diurnal cycle twice. If you prefer a daytime B16 (~720-740 W/m2 at cloud top), set this to the daylight fraction, ~0.52 for 14-22S Dec-Apr.</t>
  </si>
  <si>
    <t xml:space="preserve">Wood 2021 (doi:10.5194/acp-21-14507-2021): no separate diurnal factor with day+night-mean irradiance. Daylight fraction 0.52 for 14-22S Dec-Apr computed in review.</t>
  </si>
  <si>
    <t xml:space="preserve">Cloud availability</t>
  </si>
  <si>
    <t xml:space="preserve">CS-01 Final Report 2025, p.11: susceptible low cloud in summer '20% at the north and increases to 55% at the south'.</t>
  </si>
  <si>
    <t xml:space="preserve">CS-01 Final Report 2025, p.11: occurrence of susceptible low cloud in summer "is 20% at the north and increases to 55% at the south"</t>
  </si>
  <si>
    <t xml:space="preserve">Realization Factor</t>
  </si>
  <si>
    <t xml:space="preserve">Diurnal factor (1.0) x cloud availability</t>
  </si>
  <si>
    <t xml:space="preserve">Surface energy budget sensitivity</t>
  </si>
  <si>
    <t xml:space="preserve">Aerosol lifetime</t>
  </si>
  <si>
    <t xml:space="preserve">Boundary-layer residence (uncertain)</t>
  </si>
  <si>
    <t xml:space="preserve">Assumption (boundary-layer residence; uncertain).</t>
  </si>
  <si>
    <t xml:space="preserve">Local temperature sensitivity</t>
  </si>
  <si>
    <t xml:space="preserve">degC/(W/m2)</t>
  </si>
  <si>
    <t xml:space="preserve">Local forcing to local surface cooling. Harrison et al. 2019, RRAP T14 report.</t>
  </si>
  <si>
    <t xml:space="preserve">Harrison et al. 2019 (T14), pp.32-33: relationship "approximately linear... with the gradient of 0.225°C per 10 Wm-2 reduction in solar forcing"</t>
  </si>
  <si>
    <t xml:space="preserve">From the Aerosol TEA</t>
  </si>
  <si>
    <t xml:space="preserve">Source</t>
  </si>
  <si>
    <t xml:space="preserve">Headline from the TEA Outputs tab</t>
  </si>
  <si>
    <t xml:space="preserve">Cooling produced per tonne of aerosol</t>
  </si>
  <si>
    <t xml:space="preserve">degC-ha-days/tonne</t>
  </si>
  <si>
    <t xml:space="preserve">local forcing x local temperature sensitivity x area (ha) x lifetime (days) x realization</t>
  </si>
  <si>
    <t xml:space="preserve">Cost of cooling produced</t>
  </si>
  <si>
    <t xml:space="preserve">$/degC-ha-day</t>
  </si>
  <si>
    <t xml:space="preserve">Aerosol cost / cooling per tonne</t>
  </si>
  <si>
    <t xml:space="preserve">Cooling-Value Sensitivity: Cost per Unit of Cooling</t>
  </si>
  <si>
    <t xml:space="preserve">One-way sensitivity of cost per degC-ha-day to model and cost drivers.</t>
  </si>
  <si>
    <t xml:space="preserve">Sensitivity: what Moves the Cost per Unit Cooling</t>
  </si>
  <si>
    <t xml:space="preserve">One-way sensitivity of cost per degC-ha-day. Model drivers scale cooling directly (the 3a tornado can't see them); cost drivers pull live from 3a. Survival is the dominant, softest bar. Particle size fixed at 150 nm.</t>
  </si>
  <si>
    <t xml:space="preserve">Driver</t>
  </si>
  <si>
    <t xml:space="preserve">Downside input</t>
  </si>
  <si>
    <t xml:space="preserve">Upside input</t>
  </si>
  <si>
    <t xml:space="preserve">at downside ($)</t>
  </si>
  <si>
    <t xml:space="preserve">at base ($)</t>
  </si>
  <si>
    <t xml:space="preserve">at upside ($)</t>
  </si>
  <si>
    <t xml:space="preserve">Swing ($)</t>
  </si>
  <si>
    <t xml:space="preserve">tail (hidden)</t>
  </si>
  <si>
    <t xml:space="preserve">Model: Marine cloud albedo</t>
  </si>
  <si>
    <t xml:space="preserve">Sensitivity bounds around the tab 5a base cloud albedo; see tab 5a Sources.</t>
  </si>
  <si>
    <t xml:space="preserve">Cost: Energy price</t>
  </si>
  <si>
    <t xml:space="preserve">Cost: Vessel cost</t>
  </si>
  <si>
    <t xml:space="preserve">Cost: Nozzle unit cost</t>
  </si>
  <si>
    <t xml:space="preserve">Cost: Annual utilization</t>
  </si>
  <si>
    <t xml:space="preserve">Cost: Crew cost</t>
  </si>
  <si>
    <t xml:space="preserve">Model: Cloud-top shortwave</t>
  </si>
  <si>
    <t xml:space="preserve">Bounds on the 24-h mean cloud-top SW (5a B16 = 380): 340 (the 5c-alt basis) to 420 (DJF TOA 475-491 x 0.85-0.87 transmission). Were 400/550 around the old 475. Changed 2026-10.</t>
  </si>
  <si>
    <t xml:space="preserve">Model: Droplet-number enhancement</t>
  </si>
  <si>
    <t xml:space="preserve">Zhao et al. 2026 GBR range 1.14-1.73x (doi:10.5194/egusphere-2026-1251). Formula includes the area-per-tonne term (5a B11 ~ 1/(r-1)), so cost scales with (r-1)/ln(r). Was 2 and 4 (both above the 1.3 base) with ln(r) only, which showed losses as gains. Changed 2026-10.</t>
  </si>
  <si>
    <t xml:space="preserve">Model: Aerosol lifetime</t>
  </si>
  <si>
    <t xml:space="preserve">Model: Temperature sensitivity</t>
  </si>
  <si>
    <t xml:space="preserve">Model: Cooling realization factor</t>
  </si>
  <si>
    <t xml:space="preserve">Model: Survival factor</t>
  </si>
  <si>
    <t xml:space="preserve">Model: W/m2 brightening</t>
  </si>
  <si>
    <t xml:space="preserve">Local Benefits: Reef-Wide Brightening (Reef Cooling)</t>
  </si>
  <si>
    <t xml:space="preserve">Reef-wide deployment on a chartered seasonal fleet: pay only for the bleaching season. Same-day cooling credit only, no persistence or fleet-mobility bonus. Harrison 2019 below as optimistic gut check.</t>
  </si>
  <si>
    <t xml:space="preserve">Local on-target delivery factor</t>
  </si>
  <si>
    <t xml:space="preserve">Fraction of sprayed cooling reaching target reef waters (rest drifts off). Same factor on tab 5d.</t>
  </si>
  <si>
    <t xml:space="preserve">Assumption (same factor as 5d).</t>
  </si>
  <si>
    <t xml:space="preserve">Our Calculation - Deployment and Cost (Chartered Fleet)</t>
  </si>
  <si>
    <t xml:space="preserve">Input</t>
  </si>
  <si>
    <t xml:space="preserve">Source / basis</t>
  </si>
  <si>
    <t xml:space="preserve">Reef area cooled</t>
  </si>
  <si>
    <t xml:space="preserve">km2</t>
  </si>
  <si>
    <t xml:space="preserve">GBR shallow-reef area, ~3 million ha. Reef-wide domain per Harrison et al. 2019.</t>
  </si>
  <si>
    <t xml:space="preserve">Harrison et al. 2019 (T14) reef-wide domain; GBR shallow-reef area ~3 million ha.</t>
  </si>
  <si>
    <t xml:space="preserve">Marine heatwave duration</t>
  </si>
  <si>
    <t xml:space="preserve">≈ Harrison's Dec 1 - Apr 30 stress window (151 days ≈ 21.6 weeks). Matches the Zhao tab. Replaces the made-up 12 weeks.</t>
  </si>
  <si>
    <t xml:space="preserve">Harrison et al. 2019 (T14), p.39: forcing "accumulated over the entire summer from 1 December to 30 April" (151 days = 21.6 weeks).</t>
  </si>
  <si>
    <t xml:space="preserve">Peak per-cloud shortwave reduction</t>
  </si>
  <si>
    <t xml:space="preserve">Tab-5a nozzle physics. Per-cloud peak exceeds the reef-wide average under either accounting.</t>
  </si>
  <si>
    <t xml:space="preserve">Event-average forcing, our accounting</t>
  </si>
  <si>
    <t xml:space="preserve">Tab-5a peak x realization factor (daylight x seedable-cloud availability). Same-day credit only.</t>
  </si>
  <si>
    <t xml:space="preserve">Bleaching-stress relief implied</t>
  </si>
  <si>
    <t xml:space="preserve">Adopted Harrison relief scaled by dose ratio (our event-average forcing / Harrison anchor forcing). Assumes relief ~linear in dose; only modest extrapolation.</t>
  </si>
  <si>
    <t xml:space="preserve">Coverage per tonne</t>
  </si>
  <si>
    <t xml:space="preserve">Tab 5a area-per-tonne derivation.</t>
  </si>
  <si>
    <t xml:space="preserve">Tonnes per heatwave</t>
  </si>
  <si>
    <t xml:space="preserve">tonnes</t>
  </si>
  <si>
    <t xml:space="preserve">Area / coverage per tonne x 3-day cycles over the heatwave / delivery factor. First-principles event tonnage.</t>
  </si>
  <si>
    <t xml:space="preserve">Per-vessel output during event</t>
  </si>
  <si>
    <t xml:space="preserve">Equipment-basis annual production (tab 2 B15, includes 90% availability) x event fraction x 95% spray time within the event (same as 5c-alt B27). Changed 2026-10: was 3a B22 x event fraction, but 3a B22 already carries the dedicated vessel's 33% year-round spray share, so the season was counted twice (6.3 vessels instead of ~2.4).</t>
  </si>
  <si>
    <t xml:space="preserve">Vessels required for the event</t>
  </si>
  <si>
    <t xml:space="preserve">Event tonnage / per-vessel event output.</t>
  </si>
  <si>
    <t xml:space="preserve">Charter rate (bareboat: hull + crew)</t>
  </si>
  <si>
    <t xml:space="preserve">Tab 2 B56 (weekly) / 7. Hull and crew only; mounted gear is row 22.</t>
  </si>
  <si>
    <t xml:space="preserve">Season charter cost</t>
  </si>
  <si>
    <t xml:space="preserve">Vessels x days x rate.</t>
  </si>
  <si>
    <t xml:space="preserve">Temporary mounting &amp; removal</t>
  </si>
  <si>
    <t xml:space="preserve">Tab-3b containerized mounting per vessel, install + removal.</t>
  </si>
  <si>
    <t xml:space="preserve">Vessel fuel</t>
  </si>
  <si>
    <t xml:space="preserve">Vessels x days x fuel usage (propulsion + hotel) x price</t>
  </si>
  <si>
    <t xml:space="preserve">Seasonal operating (spray energy + technicians)</t>
  </si>
  <si>
    <t xml:space="preserve">Spray energy + one technician per vessel for the season. Charter includes crew and hull.</t>
  </si>
  <si>
    <t xml:space="preserve">Cost per heatwave (chartered, incl. row 22)</t>
  </si>
  <si>
    <t xml:space="preserve">Pay only for the season: bareboat charter + mounting + fuel + operating + the mounted spray train's capital share (row 22).</t>
  </si>
  <si>
    <t xml:space="preserve">Cost per hectare</t>
  </si>
  <si>
    <t xml:space="preserve">$/ha</t>
  </si>
  <si>
    <t xml:space="preserve">Linear in area; same $/ha at any scale.</t>
  </si>
  <si>
    <t xml:space="preserve">Mounted spray-train capital (event share)</t>
  </si>
  <si>
    <t xml:space="preserve">Vessels x days x tab 2 B58 (nozzles, compressors, skid, amortized per vessel-day). Included in row 20.</t>
  </si>
  <si>
    <t xml:space="preserve">Reef ROI</t>
  </si>
  <si>
    <t xml:space="preserve">Bleaching-stress relief, 2015/16 event</t>
  </si>
  <si>
    <t xml:space="preserve">Harrison et al. 2019, modeled.</t>
  </si>
  <si>
    <t xml:space="preserve">Harrison et al. 2019 (T14), p.57: "an average reduction in bleaching stress of ~50 percent in 2015/2016".</t>
  </si>
  <si>
    <t xml:space="preserve">Bleaching-stress relief, 2016/17 event</t>
  </si>
  <si>
    <t xml:space="preserve">Harrison et al. 2019 (T14), p.57: "~65 percent in 2016/2017"</t>
  </si>
  <si>
    <t xml:space="preserve">Adopted relief (Harrison)</t>
  </si>
  <si>
    <t xml:space="preserve">Average of the two events. Review 2026-10, not changed: 0.57 is relief on the T14 stress metric. On degree heating weeks, which predict mortality, the same 14 T14 reefs give ~0.45, and coral loss is a threshold function of DHW (Hughes et al. 2018, Nature 556:492, doi:10.1038/s41586-018-0041-2), so the linear scaling of relief into dollars in B10 is not supported.</t>
  </si>
  <si>
    <t xml:space="preserve">Calculated: average of the two T14 events (0.5, 0.65).</t>
  </si>
  <si>
    <t xml:space="preserve">Reef total asset value</t>
  </si>
  <si>
    <t xml:space="preserve">$ billion (USD)</t>
  </si>
  <si>
    <t xml:space="preserve">Deloitte Access Economics 2025 'At What Cost?': A$95B GBR valuation at 0.7 USD/AUD.</t>
  </si>
  <si>
    <t xml:space="preserve">Value at risk in a severe bleaching event</t>
  </si>
  <si>
    <t xml:space="preserve">Reef asset value x ~20% at risk in a severe bleaching event. A$95B already blends present + future value; no further discounting.</t>
  </si>
  <si>
    <t xml:space="preserve">Value protected</t>
  </si>
  <si>
    <t xml:space="preserve">Value at risk x implied relief.</t>
  </si>
  <si>
    <t xml:space="preserve">ROI: value protected per dollar spent</t>
  </si>
  <si>
    <t xml:space="preserve">Per heatwave event, on the chartered-fleet cost. Same-day accounting.</t>
  </si>
  <si>
    <t xml:space="preserve">GBR asset valuation (Deloitte Access Economics 2025)</t>
  </si>
  <si>
    <t xml:space="preserve">A$ billion</t>
  </si>
  <si>
    <t xml:space="preserve">Deloitte 'At What Cost?' 2025. Converted at tab 2 B8. Until 10/07 typed inside B27.</t>
  </si>
  <si>
    <t xml:space="preserve">Share of reef value at risk in a severe bleaching event</t>
  </si>
  <si>
    <t xml:space="preserve">Assumption (~20%). Until 10/07 typed inside B28. Review 2026-10, not changed: no study maps coral-cover loss to asset value. The 2024 event cut regional hard-coral cover 14-30% (AIMS 2025). Severe events have run ~0.6/yr since 2016 (6 in 10 summers), and 20% of the stock per event at that rate would exhaust it in ~8 years, so 20% per event likely overstates value at risk. Deloitte valued the reef at A$56B in 2017.</t>
  </si>
  <si>
    <t xml:space="preserve">Gut Check - Harrison et al. 2019 (Published Coupled Model)</t>
  </si>
  <si>
    <t xml:space="preserve">Harrison 2019 coupled-model gut check. Credits two effects we exclude: multi-day persistence and a mobile fleet chasing susceptible clouds.</t>
  </si>
  <si>
    <t xml:space="preserve">Event-average forcing achieved (Harrison)</t>
  </si>
  <si>
    <t xml:space="preserve">Coupled-model result: ~6.8% reef-wide dimming. RRAP conversion: 5 W/m2 ~ 1.5% reef-wide.</t>
  </si>
  <si>
    <t xml:space="preserve">Harrison et al. 2019 (T14), p.57: "reduction of around 6.7 percent of incoming shortwave solar radiation over the latitudinal extent of the Reef". File held.</t>
  </si>
  <si>
    <t xml:space="preserve">Deployment scope</t>
  </si>
  <si>
    <t xml:space="preserve">Reef-wide fleet</t>
  </si>
  <si>
    <t xml:space="preserve">Mobile fleet; vessels brighten clouds wherever conditions suit.</t>
  </si>
  <si>
    <t xml:space="preserve">Dose ratio (ours / his)</t>
  </si>
  <si>
    <t xml:space="preserve">This-deployment forcing / Harrison anchor forcing.</t>
  </si>
  <si>
    <t xml:space="preserve">Value protected if his assumptions held</t>
  </si>
  <si>
    <t xml:space="preserve">Value at risk x Harrison adopted relief.</t>
  </si>
  <si>
    <t xml:space="preserve">ROI if his assumptions held</t>
  </si>
  <si>
    <t xml:space="preserve">Optimistic end of bracket; requires Harrison persistence + mobility assumptions, on the same chartered cost.</t>
  </si>
  <si>
    <t xml:space="preserve">Alternative reef scenario: Zhao 2026 preprint</t>
  </si>
  <si>
    <t xml:space="preserve">Input / step</t>
  </si>
  <si>
    <t xml:space="preserve">Source cell</t>
  </si>
  <si>
    <t xml:space="preserve">Delivery rate (particles/s per W/m2)</t>
  </si>
  <si>
    <t xml:space="preserve">Station count</t>
  </si>
  <si>
    <t xml:space="preserve">Zhao preprint</t>
  </si>
  <si>
    <t xml:space="preserve">Zhao et al. 2026 preprint (doi:10.5194/egusphere-2026-1251), p.6: "75 source points" (EXP20).</t>
  </si>
  <si>
    <t xml:space="preserve">Station spacing (km)</t>
  </si>
  <si>
    <t xml:space="preserve">Zhao et al. 2026, p.6: source points "distributed at a fine spatial spacing of 20 km". </t>
  </si>
  <si>
    <t xml:space="preserve">Emission per station (particles/s)</t>
  </si>
  <si>
    <t xml:space="preserve">Zhao et al. 2026, p.6: "aerosol flux of the 1x10^16 particles per second... at each of 75 source points"</t>
  </si>
  <si>
    <t xml:space="preserve">Total emission (particles/s)</t>
  </si>
  <si>
    <t xml:space="preserve">Spray footprint (km2)</t>
  </si>
  <si>
    <t xml:space="preserve">Event season length (days), Harrison's window</t>
  </si>
  <si>
    <t xml:space="preserve">T14 report text</t>
  </si>
  <si>
    <t xml:space="preserve">Harrison et al. 2019 (T14), p.39: summer window "from 1 December to 30 April" = 151 days.</t>
  </si>
  <si>
    <t xml:space="preserve">Zhao's albedo increase (absolute)</t>
  </si>
  <si>
    <t xml:space="preserve">Zhao Fig. 8e: CTRL 0.48, EXP20 0.51; '+6.2%' is the relative label. 340 x 0.03 = 10.2 W/m2.</t>
  </si>
  <si>
    <t xml:space="preserve">Zhao et al. 2026, Fig. 8e: CTRL 0.48 vs EXP20 0.51 albedo.</t>
  </si>
  <si>
    <t xml:space="preserve">Cloud-top shortwave, 24-h average (W/m2)</t>
  </si>
  <si>
    <t xml:space="preserve">Assumption (24-h mean cloud-top shortwave, GBR summer)</t>
  </si>
  <si>
    <t xml:space="preserve">Forcing where it works (W/m2)</t>
  </si>
  <si>
    <t xml:space="preserve">T14 D0.0676</t>
  </si>
  <si>
    <t xml:space="preserve">Harrison et al. 2019 (T14), scenario D0.0676 basis</t>
  </si>
  <si>
    <t xml:space="preserve">Forcing target (W/m2)</t>
  </si>
  <si>
    <t xml:space="preserve">Harrison SST response (°C per W/m2)</t>
  </si>
  <si>
    <t xml:space="preserve">live: tab 5a (T14 Fig 15)</t>
  </si>
  <si>
    <t xml:space="preserve">Cooling (°C)</t>
  </si>
  <si>
    <t xml:space="preserve">One nozzle's output (particles/s)</t>
  </si>
  <si>
    <t xml:space="preserve">live: tab 1</t>
  </si>
  <si>
    <t xml:space="preserve">In-window fraction</t>
  </si>
  <si>
    <t xml:space="preserve">Nozzle array per vessel</t>
  </si>
  <si>
    <t xml:space="preserve">live: tab 2</t>
  </si>
  <si>
    <t xml:space="preserve">Spray-time fraction</t>
  </si>
  <si>
    <t xml:space="preserve">Assumption (spray uptime within events).</t>
  </si>
  <si>
    <t xml:space="preserve">Per-vessel continuous-equivalent (particles/s)</t>
  </si>
  <si>
    <t xml:space="preserve">Season particle count</t>
  </si>
  <si>
    <t xml:space="preserve">Per-vessel season particles</t>
  </si>
  <si>
    <t xml:space="preserve">Vessels needed</t>
  </si>
  <si>
    <t xml:space="preserve">Fleet identity</t>
  </si>
  <si>
    <t xml:space="preserve">Power per nozzle (W)</t>
  </si>
  <si>
    <t xml:space="preserve">Spray power per vessel (kW)</t>
  </si>
  <si>
    <t xml:space="preserve">Charter rate ($/vessel/day)</t>
  </si>
  <si>
    <t xml:space="preserve">live: tab 5c</t>
  </si>
  <si>
    <t xml:space="preserve">Weeks in the season</t>
  </si>
  <si>
    <t xml:space="preserve">Temporary mounting &amp; removal ($/vessel)</t>
  </si>
  <si>
    <t xml:space="preserve">live: tab 3b (same as tab 5c)</t>
  </si>
  <si>
    <t xml:space="preserve">Season charter cost, fleet ($)</t>
  </si>
  <si>
    <t xml:space="preserve">Mounting &amp; removal, fleet ($)</t>
  </si>
  <si>
    <t xml:space="preserve">Spray-hours per vessel per event</t>
  </si>
  <si>
    <t xml:space="preserve">Electricity price ($/kWh)</t>
  </si>
  <si>
    <t xml:space="preserve">Spray energy cost, fleet</t>
  </si>
  <si>
    <t xml:space="preserve">Technician cost ($/vessel-year)</t>
  </si>
  <si>
    <t xml:space="preserve">live: tab 3b</t>
  </si>
  <si>
    <t xml:space="preserve">Technician cost, fleet</t>
  </si>
  <si>
    <t xml:space="preserve">Total season cost of chartering and running the fleet (incl. row 47)</t>
  </si>
  <si>
    <t xml:space="preserve">Mounted spray-train capital, fleet ($)</t>
  </si>
  <si>
    <t xml:space="preserve">Harrison anchor forcing (W/m2)</t>
  </si>
  <si>
    <t xml:space="preserve">Harrison relief at anchor</t>
  </si>
  <si>
    <t xml:space="preserve">Value at risk ($)</t>
  </si>
  <si>
    <t xml:space="preserve">Relief (fraction of damage averted)</t>
  </si>
  <si>
    <t xml:space="preserve">Damage averted ($)</t>
  </si>
  <si>
    <t xml:space="preserve">Implied price of 10^16 particles ($)</t>
  </si>
  <si>
    <t xml:space="preserve">ROI</t>
  </si>
  <si>
    <t xml:space="preserve">Local Benefits: Heat-Death Reduction (City Cooling)</t>
  </si>
  <si>
    <t xml:space="preserve">Same cooling model as 5c; here a degree buys lives, not bleaching relief. Chartered seasonal fleet. Order-of-magnitude only.</t>
  </si>
  <si>
    <t xml:space="preserve">Local on-target delivery factor (applies to both profiles)</t>
  </si>
  <si>
    <t xml:space="preserve">Fraction of sprayed cooling that reaches the target city (rest drifts off). Same factor on tab 5c.</t>
  </si>
  <si>
    <t xml:space="preserve">Assumption (same factor as 5c).</t>
  </si>
  <si>
    <t xml:space="preserve">Heat mortality +5.7% per 1C above threshold (RR 1.057, 326-city study). European heat plans bound the deliverable benefit (~25% reduction).</t>
  </si>
  <si>
    <t xml:space="preserve">City area to cool</t>
  </si>
  <si>
    <t xml:space="preserve">hectares</t>
  </si>
  <si>
    <t xml:space="preserve">A large metro core (500 km2).</t>
  </si>
  <si>
    <t xml:space="preserve">Assumption (large metro core; 50,000 ha = 500 km2).</t>
  </si>
  <si>
    <t xml:space="preserve">Cooling under brightened cloud (24-h mean, from 5a)</t>
  </si>
  <si>
    <t xml:space="preserve">degC</t>
  </si>
  <si>
    <t xml:space="preserve">5a local forcing (24-h mean) x 5a temperature sensitivity (Harrison 2019 T14, 0.0225 degC per W/m2). Changed 2026-10: was a typed 0.8 degC "peak" with no source; the 5a chain gives ~0.18 degC.</t>
  </si>
  <si>
    <t xml:space="preserve">Tab 5a chain (Harrison et al. 2019 T14 sensitivity).</t>
  </si>
  <si>
    <t xml:space="preserve">Extreme-heat days per year</t>
  </si>
  <si>
    <t xml:space="preserve">Average heatwave days (~13.7/yr in 2010s globally).</t>
  </si>
  <si>
    <t xml:space="preserve">Assumption (~14 days). Review 2026-10: the "13.7 heatwave days/yr" citation had no source. The P95 definition in Kephart et al. 2022 implies ~18 days/yr.</t>
  </si>
  <si>
    <t xml:space="preserve">Tonnes per season</t>
  </si>
  <si>
    <t xml:space="preserve">Area / coverage per tonne x 3-day aerosol cycles over the heat days / delivery factor.</t>
  </si>
  <si>
    <t xml:space="preserve">Per-vessel output during season</t>
  </si>
  <si>
    <t xml:space="preserve">Equipment-basis annual production (tab 2 B15) x season fraction x 95% in-event spray time (5c-alt B27). Changed 2026-10: was 3a B22 (already x 33% year-round spray share) x season fraction.</t>
  </si>
  <si>
    <t xml:space="preserve">Vessels required for the season</t>
  </si>
  <si>
    <t xml:space="preserve">Whole vessels, at least one, chartered for the heat days. Changed 2026-10: was a fraction (0.106 of a vessel for 14 days). Heat days are not known in advance, so a standby charter for the whole hot season would cost several times more.</t>
  </si>
  <si>
    <t xml:space="preserve">Charter rate, bareboat workboat class</t>
  </si>
  <si>
    <t xml:space="preserve">Pulled from tab 2 B56. Hull and crew only; mounted gear is row 20.</t>
  </si>
  <si>
    <t xml:space="preserve">Assumption: no market quote </t>
  </si>
  <si>
    <t xml:space="preserve">Vessels x weeks of extreme heat x rate.</t>
  </si>
  <si>
    <t xml:space="preserve">Cost per season (chartered, incl. row 20)</t>
  </si>
  <si>
    <t xml:space="preserve">Pay only for the season: charter + mounting + seasonal operating. Same chartered-fleet frame as 5c.</t>
  </si>
  <si>
    <t xml:space="preserve">Mounted spray-train capital (season share)</t>
  </si>
  <si>
    <t xml:space="preserve">Vessels x heat days x tab 2 B58. Included in row 18. Until 10/07 the city fleet carried no spray-train capital at all.</t>
  </si>
  <si>
    <t xml:space="preserve">City ROI</t>
  </si>
  <si>
    <t xml:space="preserve">City population</t>
  </si>
  <si>
    <t xml:space="preserve">A mid-large city.</t>
  </si>
  <si>
    <t xml:space="preserve">Assumption (mid-large city).</t>
  </si>
  <si>
    <t xml:space="preserve">Baseline heat deaths / extreme season</t>
  </si>
  <si>
    <t xml:space="preserve">deaths</t>
  </si>
  <si>
    <t xml:space="preserve">Excess deaths in the city during the dangerous season, pre-intervention.</t>
  </si>
  <si>
    <t xml:space="preserve">Assumption (200 excess deaths). Review 2026-10: published heat burdens for a 2M city give ~63-205, central ~100-137: Kephart et al. 2022 heat excess-death fraction 0.67% -&gt; ~101; Zhao et al. 2021 (Lancet Planet. Health, doi:10.1016/S2542-5196(21)00081-4) 0.91% -&gt; ~137; Gasparrini et al. 2015 (Lancet) -&gt; ~63. 200 is at the top of the range.</t>
  </si>
  <si>
    <t xml:space="preserve">Mortality rise per degC</t>
  </si>
  <si>
    <t xml:space="preserve">per degC</t>
  </si>
  <si>
    <t xml:space="preserve">RR 1.057 per 1C above threshold (326-city study).</t>
  </si>
  <si>
    <t xml:space="preserve">Kephart et al. 2022, Nat. Med. 28:1700-1705 (doi:10.1038/s41591-022-01872-6): RR 1.057 (95% CI 1.046-1.067) per 1 degC of daily mean above the city P95, 326 Latin American cities.</t>
  </si>
  <si>
    <t xml:space="preserve">Daily-mean realized cooling (RR basis)</t>
  </si>
  <si>
    <t xml:space="preserve">24-h mean cooling under brightened cloud x cloud availability (5a B21). The 5a forcing is a 24-h mean, so no peak-to-mean conversion (B30) is needed. Changed 2026-10: was 0.8 x 0.44 with no cloud availability.</t>
  </si>
  <si>
    <t xml:space="preserve">Deaths averted per season</t>
  </si>
  <si>
    <t xml:space="preserve">All deaths on the heat days (B40) x mortality reduction at the realized daily-mean cooling. The RR is per degC on all-cause deaths, so it multiplies every death that day, not only the excess. Changed 2026-10: was applied to the 200 excess deaths only (conservative), and the old note said cloud availability was already inside 5a, which was not true for this tab.</t>
  </si>
  <si>
    <t xml:space="preserve">Value of a statistical life</t>
  </si>
  <si>
    <t xml:space="preserve">$/life</t>
  </si>
  <si>
    <t xml:space="preserve">Assumption: US federal range.</t>
  </si>
  <si>
    <t xml:space="preserve">Assumption (US-federal-range VSL). Review 2026-10: EPA central $7.4M (2006$, updated to analysis year); DOT $13.2M (2023$). Fits US cities only; income-adjusted values for lower-income cities are far lower (Viscusi &amp; Masterman 2017, doi:10.1017/bca.2017.12).</t>
  </si>
  <si>
    <t xml:space="preserve">Deaths averted x statistical-life value.</t>
  </si>
  <si>
    <t xml:space="preserve">Per extreme-heat season, on the chartered-fleet cost.</t>
  </si>
  <si>
    <t xml:space="preserve">Peak to daily-mean conversion</t>
  </si>
  <si>
    <t xml:space="preserve">Not used since 2026-10: the 5a forcing is now a 24-h mean, so the 5a chain already gives a daily-mean dose. Kept for reference. Until 10/07 typed inside B25.</t>
  </si>
  <si>
    <t xml:space="preserve">Gut Check - Comparison Anchors</t>
  </si>
  <si>
    <t xml:space="preserve">No published targeted city cooling by MCB; first-of-kind profile. Two anchors bracket below: urban cooling economics; geoengineering epidemiology.</t>
  </si>
  <si>
    <t xml:space="preserve">Urban passive cooling, benefit-cost range</t>
  </si>
  <si>
    <t xml:space="preserve">1.5 - 15.2</t>
  </si>
  <si>
    <t xml:space="preserve">$ per $1</t>
  </si>
  <si>
    <t xml:space="preserve">Estrada et al. 2017 (1,692 cities), via World Bank Cool Cities primer. Net benefit per $1 of passive cooling.</t>
  </si>
  <si>
    <t xml:space="preserve">Estrada et al. 2017, Nat. Clim. Change 7:403-406, p.2: Policy B BCR &amp;quot;ranging from US$6.00 without GCC to US$15.24 under RCP8.5&amp;quot;; Policy D &amp;quot;between US$1.59 and US$3.96&amp;quot;. Via World Bank Cool Cities primer.  Primer link: https://openknowledge.worldbank.org/handle/10986/34218</t>
  </si>
  <si>
    <t xml:space="preserve">Solar geoengineering mortality benefit:risk</t>
  </si>
  <si>
    <t xml:space="preserve">Harding, Keith, Vecchi &amp; Yang 2024 (PNAS): stratospheric sulfate, mortality benefits vs risks. Only other published cooling-for-lives number.</t>
  </si>
  <si>
    <t xml:space="preserve">Harding, Vecchi, Yang &amp; Keith 2024, PNAS 121(52):e2401801121 (doi:10.1073/pnas.2401801121). Review 2026-10: 13x is mortality benefit vs risk for stratospheric sulfate (61% probability), not benefit vs cost, and not MCB.</t>
  </si>
  <si>
    <t xml:space="preserve">This profile, benefit-cost at $10M statistical life</t>
  </si>
  <si>
    <t xml:space="preserve">Benefit-cost at $10M per statistical life, on the daily-mean realized dose and the chartered cost.</t>
  </si>
  <si>
    <t xml:space="preserve">Crude death rate (added 2026-10)</t>
  </si>
  <si>
    <t xml:space="preserve">per 1,000 per yr</t>
  </si>
  <si>
    <t xml:space="preserve">Converts population to all-cause deaths on heat days for the RR in B26. City age structure can move this +/-50%.</t>
  </si>
  <si>
    <t xml:space="preserve">World Bank WDI, Death rate, crude (SP.DYN.CDRT.IN), World 2024: 7.55 per 1,000.</t>
  </si>
  <si>
    <t xml:space="preserve">All-cause deaths on heat days</t>
  </si>
  <si>
    <t xml:space="preserve">Expected deaths on the heat days at the baseline rate, plus the heat excess in B23. B26 applies the RR to this.</t>
  </si>
  <si>
    <t xml:space="preserve">Global Cooling Model: Tonnage to Cooling via Earth-System Models</t>
  </si>
  <si>
    <t xml:space="preserve">Tonnes of sea salt per year into global cooling, via published regional simulations from three ESMs seeding real ocean regions. Includes cloud adjustments and feedbacks the bottom-up model omits.</t>
  </si>
  <si>
    <t xml:space="preserve">Basis conversion: CESM2/E3SMv2 emit 94.2 nm, UKESM1 171.8 nm volume-mean diameter (Hirasawa 2026 preprint, Table 1; the J. Climate text rounds these to 90/172 nm). Restate tonnages at our 150 nm by (d_ours/d_model)^3 x (model CCN fraction / our CCN fraction), both CCN fractions taken as the share activating at 0.1% supersaturation, so we match cloud droplets, not raw particle counts. Then gross up for near-source plume loss; ESMs emit diffuse fluxes, ours is a point source. Assumes (1) forcing is mostly cloud forcing, roughly true for CESM2 (direct scattering is ~40% of forcing in E3SMv2 and ~59% in UKESM1 at -2 W/m2, Hirasawa preprint Table 2), and (2) our 150 nm and the models' 94/172 nm particles stay airborne equally long.</t>
  </si>
  <si>
    <t xml:space="preserve">A. Published region-to-global conversion</t>
  </si>
  <si>
    <t xml:space="preserve">Hirasawa et al. 2026, J. Climate 39(2): 14 regions, 3 models, equal-forcing emissions. Midlatitude oceans beat the classic subtropical stratocumulus trio in all three models: stronger forcing per ton, better feedbacks, no remote warming patches.</t>
  </si>
  <si>
    <t xml:space="preserve">Strategy</t>
  </si>
  <si>
    <t xml:space="preserve">Model</t>
  </si>
  <si>
    <t xml:space="preserve">Emission (Tg/yr)</t>
  </si>
  <si>
    <t xml:space="preserve">Global cooling (K)</t>
  </si>
  <si>
    <t xml:space="preserve">Efficiency (K per Tg/yr)</t>
  </si>
  <si>
    <t xml:space="preserve">Subtropical (3 regions)</t>
  </si>
  <si>
    <t xml:space="preserve">CESM2</t>
  </si>
  <si>
    <t xml:space="preserve">Optimistic end. CESM2 sits at the upper end of CMIP6 aerosol-cloud forcing.</t>
  </si>
  <si>
    <t xml:space="preserve">E3SMv2</t>
  </si>
  <si>
    <t xml:space="preserve">Middle of the envelope.</t>
  </si>
  <si>
    <t xml:space="preserve">UKESM1.0</t>
  </si>
  <si>
    <t xml:space="preserve">Pessimistic end. Emits 172nm particles, closest to our 150nm design point.</t>
  </si>
  <si>
    <t xml:space="preserve">Midlatitude (5 regions)</t>
  </si>
  <si>
    <t xml:space="preserve">Strongest efficiency in the study. Hirasawa et al. 2026 J. Climate reports 0.231 K per Tg/yr; D10/C10 rounds to 0.236. Changed 2026-10 from a typed 0.236.</t>
  </si>
  <si>
    <t xml:space="preserve">CESM2-Ghosh</t>
  </si>
  <si>
    <t xml:space="preserve">Scaled from CESM2 (E10 x C13) by the equal-tonnage forcing ratio at 30 Tg/yr: ERFtot -3.34 (CESM2-Ghosh) vs -2.62 W/m2 (CESM2), 1.27x (Hirasawa 2026 preprint, Table 2). Was 12.9/7.21 = 1.79x, the equal-forcing mass ratio, which overstates the gain at fixed tonnage because ERFaci is log-shaped. Table 2 is a subtropical experiment, applied here to midlatitude seeding. Same model and particles, newer activation scheme (Ghosh et al. 2025, GMD 18:4899). Cooling is scaled, not a simulated run. Changed 2026-10.</t>
  </si>
  <si>
    <t xml:space="preserve">B. The 20-30x climate model spread</t>
  </si>
  <si>
    <t xml:space="preserve">Models disagree ~order-of-magnitude on tons for equal forcing (2.5 vs 50 Tg/yr per region). Part cloud susceptibility, part particle size: count per ton scales 1/d^3.</t>
  </si>
  <si>
    <t xml:space="preserve">CESM2 emitted size</t>
  </si>
  <si>
    <t xml:space="preserve">CCN fraction</t>
  </si>
  <si>
    <t xml:space="preserve">CCN fraction at S=0.1%: Hirasawa 2026 preprint, Table 1. Size: volume-mean diameter 94.2 nm (2 x iSSA volume radius, same Table 1), the right basis for particles per tonne. Was 90 nm, closer to a count median. Changed 2026-10.</t>
  </si>
  <si>
    <t xml:space="preserve"> CESM2-Ghosh emitted size</t>
  </si>
  <si>
    <t xml:space="preserve">E3SMv2 emitted size</t>
  </si>
  <si>
    <t xml:space="preserve">UKESM1.0 emitted size</t>
  </si>
  <si>
    <t xml:space="preserve">CCN fraction at S=0.1%: Hirasawa 2026 preprint, Table 1. Size: volume-mean diameter 171.8 nm (2 x iSSA volume radius). Was 172. Changed 2026-10.</t>
  </si>
  <si>
    <t xml:space="preserve">Our design point</t>
  </si>
  <si>
    <t xml:space="preserve">CCN fraction (activated at S=0.1%, estimate)</t>
  </si>
  <si>
    <t xml:space="preserve">Estimate, review 2026-10. Same definition as D16:D19: share of particles that activate at 0.1% supersaturation. Hirasawa 2026 preprint Table 1 back-solves to a dry cutoff of ~108.5 nm across CESM2/E3SMv2/UKESM1. Fitting a lognormal to our nozzle: (a) 71% in 30-1000 nm and 150 nm volume-mean gives sigma_g 2.38, CMD 48.5 nm, 18% above 108.5 nm; (b) 40 nm count mode (CS-06 p.24) and 150 nm volume-mean gives sigma_g 2.07, CMD 67.9 nm, 26%. 0.22 is the midpoint. Was 0.71 (tab 1 B9), the share in the 30-1000 nm production window, which is a looser size cut than the models use.</t>
  </si>
  <si>
    <t xml:space="preserve">C. Bottom up gut check</t>
  </si>
  <si>
    <t xml:space="preserve">Our bottom-up chain implies a global forcing per Tg/yr. Compare with each model's per-region efficiency (about -0.6 W/m2 per region at nominal):</t>
  </si>
  <si>
    <t xml:space="preserve">Our forcing per Tg/yr (delivery- and activation-adjusted)</t>
  </si>
  <si>
    <t xml:space="preserve">ESM restated at our basis</t>
  </si>
  <si>
    <t xml:space="preserve">Local forcing x area / Earth area x lifetime. Now includes the realization factor, so apples-to-apples with the published all-weather efficiencies.</t>
  </si>
  <si>
    <t xml:space="preserve">CESM2 implied forcing efficiency</t>
  </si>
  <si>
    <t xml:space="preserve">x (d_model/d_ours)^3 x (our CCN fraction / model CCN fraction): a tonne of 94.2 nm holds (150/94.2)^3 = 4.0x more particles than 150 nm, and 15.7% of CESM2's activate at 0.1% S vs ~22% of ours.</t>
  </si>
  <si>
    <t xml:space="preserve">E3SMv2 implied forcing efficiency</t>
  </si>
  <si>
    <t xml:space="preserve">UKESM1.0 implied forcing efficiency</t>
  </si>
  <si>
    <t xml:space="preserve">Rasch et al. 2024 GMD (doi:10.5194/gmd-17-7963-2024): Table A1 -2.42 W/m2 at 50 Tg/yr/region -&gt; 0.016; Table 5 -1.7 W/m2 at 25 Tg/yr/region -&gt; 0.023; Hirasawa preprint 2/95.7 = 0.021. 0.019 is the midpoint of the Rasch range. Was 0.012 (1.8/150). Gut check only, does not feed the BCRs. Changed 2026-10.</t>
  </si>
  <si>
    <t xml:space="preserve">D. Aerosol required for 1 K of global cooling</t>
  </si>
  <si>
    <t xml:space="preserve">Targeted spraying bonus</t>
  </si>
  <si>
    <t xml:space="preserve">100% is neutral. The study assume even spraying over the region. There is likely some benefit of targeted spraying.</t>
  </si>
  <si>
    <t xml:space="preserve">Structural default (neutral; no targeting bonus).</t>
  </si>
  <si>
    <t xml:space="preserve">Target global cooling</t>
  </si>
  <si>
    <t xml:space="preserve">K</t>
  </si>
  <si>
    <t xml:space="preserve">Structural default (target cooling 1 K).</t>
  </si>
  <si>
    <t xml:space="preserve">Plume survival to cloud base (scenario)</t>
  </si>
  <si>
    <t xml:space="preserve">Near-source plume loss only: in-plume coagulation and deposition before cloud base, which ESMs do not simulate (same basis as tab 5a B5; Stuart et al. 2013, doi:10.5194/acp-13-10385-2013). Activation (particles too small to become droplets) is handled by the CCN fraction in D20, so it is not counted here. Range 0.1-0.5, an assumption.</t>
  </si>
  <si>
    <t xml:space="preserve">Hot-model sensitivity (added 2026-10, not applied to the headline)</t>
  </si>
  <si>
    <t xml:space="preserve">Tg/yr (model size basis)</t>
  </si>
  <si>
    <t xml:space="preserve">Tons/yr (model basis)</t>
  </si>
  <si>
    <t xml:space="preserve">Emitted size (nm)</t>
  </si>
  <si>
    <t xml:space="preserve"> Size factor (150/d)^3 x CCN ratio</t>
  </si>
  <si>
    <t xml:space="preserve">Tg/yr at our basis</t>
  </si>
  <si>
    <t xml:space="preserve">Tg/yr / survival</t>
  </si>
  <si>
    <t xml:space="preserve">Tons/yr (our basis)</t>
  </si>
  <si>
    <t xml:space="preserve">Model TCR (K)</t>
  </si>
  <si>
    <t xml:space="preserve">AR6 TCR / model TCR</t>
  </si>
  <si>
    <t xml:space="preserve">Tons/yr if cooling rescaled to AR6 TCR</t>
  </si>
  <si>
    <t xml:space="preserve">Meehl et al. 2020 Sci. Adv. (doi:10.1126/sciadv.aba1981): CESM2 TCR ~2.0 K</t>
  </si>
  <si>
    <t xml:space="preserve">Same model as CESM2</t>
  </si>
  <si>
    <t xml:space="preserve">Golaz et al. 2022 JAMES (doi:10.1029/2022MS003156): E3SMv2 ECS 4.0 K; TCR 2.4 K used here (review estimate)</t>
  </si>
  <si>
    <t xml:space="preserve">Meehl et al. 2020: UKESM1 TCR ~2.8 K</t>
  </si>
  <si>
    <t xml:space="preserve">Note: Not accounting for direct aerosol forcing scales with salt mass, not droplets; significant above ~50 Tg/yr, dominant above ~200 Tg/yr.</t>
  </si>
  <si>
    <t xml:space="preserve">D. What a degree-year of cooling is worth (inputs; tabs 6b and 6c read these)</t>
  </si>
  <si>
    <t xml:space="preserve">Global GDP</t>
  </si>
  <si>
    <t xml:space="preserve">$ trillion</t>
  </si>
  <si>
    <t xml:space="preserve">World GDP ~$110T (2025).</t>
  </si>
  <si>
    <t xml:space="preserve">Damage: low (older IAM / Nordhaus-style)</t>
  </si>
  <si>
    <t xml:space="preserve">% GDP per degC</t>
  </si>
  <si>
    <t xml:space="preserve">DICE-2016R (Nordhaus 2017, w22933): 0.227% GDP per degC^2 ≈ 3.6% at 4C</t>
  </si>
  <si>
    <t xml:space="preserve">Damage: central (statistical class; Burke et al. 2015 anchor)</t>
  </si>
  <si>
    <t xml:space="preserve">Central 3.3%/degC has no single source; it sits inside Kalkuhl &amp; Wenz 2020 (JEEM 103:102360, doi:10.1016/j.jeem.2020.102360), 2-4%/degC for a permanent level effect. Burke, Hsiang &amp; Miguel 2015 (Nature 527:235) implies ~6%/degC; Kahn et al. 2021 ~2.5%. Replaces Kotz 2024, retracted Dec 2025. All anchors are long-run losses from lasting warming, not annual flows per degree-year. Updated 2026-10.</t>
  </si>
  <si>
    <t xml:space="preserve">Damage: high (Bilal-Kanzig 2026)</t>
  </si>
  <si>
    <t xml:space="preserve">Bilal &amp; Kanzig, Quarterly Journal of Economics (2026); numbers from NBER w32450 rev. Jan 2026 (doi:10.3386/w32450): peak GDP loss 14% (95% CI 6-22%) six years after a 1 degC global temperature shock; permanent 1 degC warming 20-34% long run; a one-off transitory 1 degC ~4%. The transitory 4% is the closest analogue to one degree-year of cooling. Was 12% (2024 version). Updated 2026-10.</t>
  </si>
  <si>
    <t xml:space="preserve">Response lag factor (added 2026-10)</t>
  </si>
  <si>
    <t xml:space="preserve">1.0 = no lag (the original basis). With a ~4-yr e-folding ocean response over a 50-yr program the realized share is 0.86 at a 3% discount rate and 0.72 at 10% (0.75-0.93 for 2-8 yr e-folding; computed in review). Termination: aerosol lifetime is days, so stopping returns most of the masked warming within ~5-10 yr (Parker &amp; Irvine 2018, Earth's Future, doi:10.1002/2017EF000735). A spare fleet for redundancy is not costed. Multiplies the value of cooling in 6b/6c.</t>
  </si>
  <si>
    <t xml:space="preserve">SAI cost per degree-year (comparison)</t>
  </si>
  <si>
    <t xml:space="preserve">$B per K per yr</t>
  </si>
  <si>
    <t xml:space="preserve">Smith 2020, Environ. Res. Lett. 15:114004 (doi:10.1088/1748-9326/aba7e7): ~$18B/yr per degC of warming avoided (2020 USD). Used only for the comparison column in 6b/6c.</t>
  </si>
  <si>
    <t xml:space="preserve">World merchant fleet (comparison)</t>
  </si>
  <si>
    <t xml:space="preserve">UNCTAD Review of Maritime Transport 2024: ~109,000 ships of 100 GT and above. Used only for the feasibility block in 6b.</t>
  </si>
  <si>
    <t xml:space="preserve">World shipping CO2 (comparison)</t>
  </si>
  <si>
    <t xml:space="preserve">Mt CO2/yr</t>
  </si>
  <si>
    <t xml:space="preserve">IMO Fourth GHG Study 2020: total shipping emissions 1,056 Mt CO2 in 2018.</t>
  </si>
  <si>
    <t xml:space="preserve">IPCC AR6 assessed TCR (sensitivity)</t>
  </si>
  <si>
    <t xml:space="preserve">IPCC AR6 WG1 Ch. 7 (Forster et al. 2021, doi:10.1017/9781009157896.009): TCR 1.8 K, likely 1.4-2.2. Used only for the hot-model sensitivity in J33:L37 and the sensitivity column in 6b/6c.</t>
  </si>
  <si>
    <t xml:space="preserve">Global Cooling via Dedicated Vessel: Cost and Benefit-Cost</t>
  </si>
  <si>
    <t xml:space="preserve">One cost basis here: the dedicated spray vessel, levelized on 3a. Tonnage from 6a; the cheaper piggyback case is 6c.</t>
  </si>
  <si>
    <t xml:space="preserve">A. Cost to cool the planet (dedicated vessel)</t>
  </si>
  <si>
    <t xml:space="preserve">Cost per tonne (dedicated vessel, tab 3a base)</t>
  </si>
  <si>
    <t xml:space="preserve">Tonnage per model from 6a (midlatitude), restated at 150 nm and grossed up for survival; cost at 3a dedicated-vessel levelized.</t>
  </si>
  <si>
    <t xml:space="preserve">Tg/yr (150 nm basis)</t>
  </si>
  <si>
    <t xml:space="preserve">Tons/yr (150 nm, post-survival)</t>
  </si>
  <si>
    <t xml:space="preserve">Diesel CO2 at tab 2 carbon price ($/yr)</t>
  </si>
  <si>
    <t xml:space="preserve">B. What a degree-year of cooling is worth</t>
  </si>
  <si>
    <t xml:space="preserve">Damage-function lookup: do not reinvent, look up damage per degree and multiply. Low/central/high band: the three anchors are different kinds of quantity, so read the band as scenario spread, not a confidence interval. Break-even depends on the cost scenario.</t>
  </si>
  <si>
    <t xml:space="preserve">Pulled from tab 6a (B42).</t>
  </si>
  <si>
    <t xml:space="preserve">Target global cooling (from A above)</t>
  </si>
  <si>
    <t xml:space="preserve">Damage estimate</t>
  </si>
  <si>
    <t xml:space="preserve">$B/degC-yr</t>
  </si>
  <si>
    <t xml:space="preserve">Value of target cooling ($B/yr)</t>
  </si>
  <si>
    <t xml:space="preserve">Low (older IAM / Nordhaus-style)</t>
  </si>
  <si>
    <t xml:space="preserve">Pulled from tab 6a (B43); source there.</t>
  </si>
  <si>
    <t xml:space="preserve">Central (statistical class; Burke et al. 2015 anchor)</t>
  </si>
  <si>
    <t xml:space="preserve">Pulled from tab 6a (B44); source there.</t>
  </si>
  <si>
    <t xml:space="preserve">High (Bilal-Kanzig 2026)</t>
  </si>
  <si>
    <t xml:space="preserve">Pulled from tab 6a (B45); source there.</t>
  </si>
  <si>
    <t xml:space="preserve">All values $B/yr: global GDP ($110T) x damage %/degC. One degree-year ~ $700B low, $3,600B central, $15,400B high. Central 3.3%/degC sits within Kalkuhl &amp; Wenz 2020 (2-4%), post-Kotz retraction. Value column multiplies by the response lag factor (6a B46, default 1.0).</t>
  </si>
  <si>
    <t xml:space="preserve">C. Benefit-cost ratio</t>
  </si>
  <si>
    <t xml:space="preserve">Value of the cooling (section B, central damage estimate) divided by its cost (section A).</t>
  </si>
  <si>
    <t xml:space="preserve">Cost case (model)</t>
  </si>
  <si>
    <t xml:space="preserve">Cost ($B/yr)</t>
  </si>
  <si>
    <t xml:space="preserve">Value ($B/yr, central damage)</t>
  </si>
  <si>
    <t xml:space="preserve">Benefit-cost ratio</t>
  </si>
  <si>
    <t xml:space="preserve">BCR excl. diesel CO2</t>
  </si>
  <si>
    <t xml:space="preserve">BCR if cooling rescaled to AR6 TCR (sensitivity)</t>
  </si>
  <si>
    <t xml:space="preserve">CESM2 (optimistic)</t>
  </si>
  <si>
    <t xml:space="preserve">CESM2-Ghosh (most optimistic)</t>
  </si>
  <si>
    <t xml:space="preserve">E3SMv2 (central)</t>
  </si>
  <si>
    <t xml:space="preserve">UKESM1 (pessimistic, our size)</t>
  </si>
  <si>
    <t xml:space="preserve">Benefit-cost at the dedicated-vessel cost from tab 3a plus diesel CO2 at the tab 2 carbon price (column E leaves it out). Column F rescales cooling to the IPCC AR6 TCR (6a J33:L37). Piggyback scenario and fleet numbers on 6c. Feasibility and SAI comparison in section D.</t>
  </si>
  <si>
    <t xml:space="preserve">D. Feasibility and comparison (added 2026-10)</t>
  </si>
  <si>
    <t xml:space="preserve">What 1 K takes with dedicated vessels, and cost per degree-year vs stratospheric aerosol injection (SAI). MCB's benefit-cost above is against doing nothing, not against SAI.</t>
  </si>
  <si>
    <t xml:space="preserve">Share of world fleet</t>
  </si>
  <si>
    <t xml:space="preserve">Diesel fuel (Mt/yr)</t>
  </si>
  <si>
    <t xml:space="preserve">Diesel CO2 (Gt/yr)</t>
  </si>
  <si>
    <t xml:space="preserve">Spray energy (TWh/yr)</t>
  </si>
  <si>
    <t xml:space="preserve">Fleet capex ($T)</t>
  </si>
  <si>
    <t xml:space="preserve">Cost per K-yr vs SAI (x)</t>
  </si>
  <si>
    <t xml:space="preserve">Context: all world shipping emitted ~1,056 Mt CO2 in 2018 (IMO 4th GHG Study, 6a B49); the world fleet is ~109,000 ships (UNCTAD 2024, 6a B48). SAI ~$18B/yr per K (Smith 2020, 6a B47). MCB is cheaper than removing the ~2,200 Gt CO2 that 1 K corresponds to (AR6 TCRE 0.45 K per 1,000 Gt) but removes no CO2.</t>
  </si>
  <si>
    <t xml:space="preserve">Global Cooling via Container-Ship Piggyback: Cost and Benefit-Cost</t>
  </si>
  <si>
    <t xml:space="preserve">One cost basis here: the container-ship piggyback from tab 3b, read directly the way 6b reads 3a. Tonnage from 6a. Every input traces to tabs 1, 2 and 3b.</t>
  </si>
  <si>
    <t xml:space="preserve">A. Cost to cool the planet (container-ship piggyback)</t>
  </si>
  <si>
    <t xml:space="preserve">Cost per tonne (container-ship piggyback, tab 3b)</t>
  </si>
  <si>
    <t xml:space="preserve">Reads tab 3b directly. Until 10/07 this section costed its own optimistic case (0.1x power, best-case prices, 43% utilization).</t>
  </si>
  <si>
    <t xml:space="preserve">D. Fleet scale and power sensitivity</t>
  </si>
  <si>
    <t xml:space="preserve">Piggyback-only question: how many ships, and what is the nozzle power draw worth?</t>
  </si>
  <si>
    <t xml:space="preserve">Per-ship aerosol output (tab 3b host-ship train)</t>
  </si>
  <si>
    <t xml:space="preserve">t/yr</t>
  </si>
  <si>
    <t xml:space="preserve">Pulled from tab 3b (B43): the train sized to the ship's own 4.5 MW. Until 10/07 this assumed 2 MW from the host while 3b priced a 4.2 MW train.</t>
  </si>
  <si>
    <t xml:space="preserve">Annual fuel for own generation (t)</t>
  </si>
  <si>
    <t xml:space="preserve">Own gensets burn ~200 g fuel/kWh (B50); the fuel is already priced inside the tab-2 energy rate. This row is for bunkering logistics only.</t>
  </si>
  <si>
    <t xml:space="preserve">Generator fuel rate</t>
  </si>
  <si>
    <t xml:space="preserve">kg per kWh</t>
  </si>
  <si>
    <t xml:space="preserve">Until 10/07 typed inside B48.</t>
  </si>
  <si>
    <t xml:space="preserve">Fleet reference</t>
  </si>
  <si>
    <t xml:space="preserve">Fully cellular container ships (Alphaliner, Apr 2026)</t>
  </si>
  <si>
    <t xml:space="preserve">ships</t>
  </si>
  <si>
    <t xml:space="preserve">Sources: Alphaliner Apr 2026 (6,706 container ships); MDS Transmodal Apr 2025 via UNCTAD RMT 2025 (6,033); Alphaliner Monthly Monitor Jul 2024 size table (954 of 6,206 ships under 1,000 TEU).</t>
  </si>
  <si>
    <t xml:space="preserve">Eligible host ships (1,000 TEU and up)</t>
  </si>
  <si>
    <t xml:space="preserve">D54 = share of the fleet of 1,000 TEU and up, 85% by count (Alphaliner Jul 2024). A 4.5 MW own-generation train needs ~30 TEU of slots, so feeders qualify; only the smallest class is excluded.</t>
  </si>
  <si>
    <t xml:space="preserve">Climate model</t>
  </si>
  <si>
    <t xml:space="preserve">Aerosol for 1K (t/yr)</t>
  </si>
  <si>
    <t xml:space="preserve">% of eligible fleet</t>
  </si>
  <si>
    <t xml:space="preserve">Genset fuel (Mt/yr)</t>
  </si>
  <si>
    <t xml:space="preserve">Genset CO2 (Gt/yr)</t>
  </si>
  <si>
    <t xml:space="preserve">Max K with all eligible ships</t>
  </si>
  <si>
    <t xml:space="preserve">UKESM1.0 (pessimistic)</t>
  </si>
  <si>
    <t xml:space="preserve">Review 2026-10: columns F-J. Max K = target x (eligible ships x per-ship output) / tonnes needed. Genset fuel is on top of the ships' own propulsion. SAI comparison uses Smith 2020 (~$18B/yr per K, 6a B47).</t>
  </si>
  <si>
    <t xml:space="preserve">Nozzle power sensitivity</t>
  </si>
  <si>
    <t xml:space="preserve">To see this tab at a different nozzle power, change the selector on tab 1 (H17). Tab 3b re-sizes the train to the same 4.5 MW and every row above follows. Until 10/07 an energy-only approximation lived here.</t>
  </si>
  <si>
    <t xml:space="preserve">References: academic publications cited in this workbook</t>
  </si>
  <si>
    <t xml:space="preserve">Ref as cited</t>
  </si>
  <si>
    <t xml:space="preserve">Full citation</t>
  </si>
  <si>
    <t xml:space="preserve">Where used</t>
  </si>
  <si>
    <t xml:space="preserve">DOI / link</t>
  </si>
  <si>
    <t xml:space="preserve">Harrison et al. 2025</t>
  </si>
  <si>
    <t xml:space="preserve">Harrison, L. P., Medcraft, C., &amp; Harrison, D. P. (2025). Effervescent nozzle design to enable outdoor marine cloud brightening experimentation. Environmental Science: Atmospheres, 5(10), 1071-1080.</t>
  </si>
  <si>
    <t xml:space="preserve">Tabs 1 (particle output, CCN window, particle size, power, energy per tonne), 2</t>
  </si>
  <si>
    <t xml:space="preserve">https://doi.org/10.1039/d5ea00073d</t>
  </si>
  <si>
    <t xml:space="preserve">Harrison et al. 2019 / T14</t>
  </si>
  <si>
    <t xml:space="preserve">Harrison, D. P., Baird, M., Harrison, L., Utembe, S., Schofield, R., Escobar Correa, R., Mongin, M., &amp; Rizwi, F. (2019). Environmental Modelling of Large Scale Solar Radiation Management. RRAP T14 Final Report (83 pp).</t>
  </si>
  <si>
    <t xml:space="preserve">5a (local temperature sensitivity), 5c-alt (T14 scenarios, Fig 15)</t>
  </si>
  <si>
    <t xml:space="preserve">https://gbrrestoration.org/wp-content/uploads/2020/09/T14-Environmental-Modelling-of-Large-Scale-SRM_v3.03-3.pdf</t>
  </si>
  <si>
    <t xml:space="preserve">Zhao et al. 2026 (preprint)</t>
  </si>
  <si>
    <t xml:space="preserve">Zhao, W., Huang, Y., Siems, S., &amp; Harrison, D. (2026). Sensitivity of Marine Cloud Brightening over the Great Barrier Reef to Spatial Variability in Aerosol Forcing: A Case Study using convection-permitting model. EGUsphere preprint, discussion started 23 March 2026.</t>
  </si>
  <si>
    <t xml:space="preserve">5c-alt (main cooling basis), 5c</t>
  </si>
  <si>
    <t xml:space="preserve">https://doi.org/10.5194/egusphere-2026-1251</t>
  </si>
  <si>
    <t xml:space="preserve">Hernandez-Jaramillo et al. 2025 (ERL)</t>
  </si>
  <si>
    <t xml:space="preserve">Hernandez-Jaramillo, D. C., Harrison, L., Gunner, G., McGrath, A., Junkermann, W., Lieff, W., Hacker, J., Rosenfeld, D., Kelaher, B., &amp; Harrison, D. P. (2025). First generation outdoor marine cloud brightening trial increases aerosol concentration at cloud base height. Environmental Research Letters, 20(5), 054065.</t>
  </si>
  <si>
    <t xml:space="preserve">Tab 1 (particle size, particles per tonne, energy notes), 6a (plume to cloud base)</t>
  </si>
  <si>
    <t xml:space="preserve">https://doi.org/10.1088/1748-9326/adccd7</t>
  </si>
  <si>
    <t xml:space="preserve">Hernandez-Jaramillo et al. 2025a (plume review)</t>
  </si>
  <si>
    <t xml:space="preserve">Hernandez-Jaramillo, D., Kelaher, B., &amp; Harrison, D. (2025). A review of plume dispersion and measurement techniques applicable to marine cloud brightening. Frontiers in Marine Science, 12, 1450175.</t>
  </si>
  <si>
    <t xml:space="preserve">5a and 6a plume survival context (open research gap; the review gives no numeric survival fraction or activation diameter, so the 0.1-0.5 range is an assumption)</t>
  </si>
  <si>
    <t xml:space="preserve">https://doi.org/10.3389/fmars.2025.1450175</t>
  </si>
  <si>
    <t xml:space="preserve">CS-01 2025 (RRAP report)</t>
  </si>
  <si>
    <t xml:space="preserve">Harrison, D., Ristovski, Z., Ryan, R., Zhao, W., Sulo, J., Horchler, J., Huang, Y., Schofield, R., Deschaseaux, E., Harrison, L., Holloway, C., Braga, R., Rosenfeld, D., &amp; Siems, S. (2025). Reef Restoration and Adaptation Program - GBR Atmospheric Survey (CS-01) Final Report 2025 (33 pp).</t>
  </si>
  <si>
    <t xml:space="preserve">5a (cloud availability 0.2; p.11)</t>
  </si>
  <si>
    <t xml:space="preserve">https://gbrrestoration.org/wp-content/uploads/2026/06/RRAP-CS-01_FINAL-REPORT-2025.pdf</t>
  </si>
  <si>
    <t xml:space="preserve">CS-06 2025 (RRAP report)</t>
  </si>
  <si>
    <t xml:space="preserve">Harrison, D. P., Ristovski, Z., Rosenfeld, D., Holloway, C., Cleary, M., Kourmatzis, A., Harrison, L., Braga, R. C., Medcraft, C., Hernandez-Jaramillo, D. C., et al. (2025). Reef Restoration and Adaptation Program - Cloud and Sky Brightening Development (CS-06) Final Report 2025 (56 pp).</t>
  </si>
  <si>
    <t xml:space="preserve">Tab 1 (particle size, power), 5a (survival, mixing depth, background droplets p.34, droplet enhancement), 3a</t>
  </si>
  <si>
    <t xml:space="preserve">https://gbrrestoration.org/wp-content/uploads/2026/06/RRAP-CS-06_FINAL-REPORT-2025.pdf</t>
  </si>
  <si>
    <t xml:space="preserve">Latham et al. 2012</t>
  </si>
  <si>
    <t xml:space="preserve">Latham, J., Bower, K., Choularton, T., Coe, H., Connolly, P., Cooper, G., Craft, T., Foster, J., Gadian, A., et al. (2012). Marine cloud brightening. Philosophical Transactions of the Royal Society A, 370, 4217-4262.</t>
  </si>
  <si>
    <t xml:space="preserve">Tab 2 (required flux), foundational MCB concept</t>
  </si>
  <si>
    <t xml:space="preserve">https://doi.org/10.1098/rsta.2012.0086</t>
  </si>
  <si>
    <t xml:space="preserve">Hirasawa et al. 2026</t>
  </si>
  <si>
    <t xml:space="preserve">Hirasawa, H., Henry, M., Mason, E., Rasch, P. J., Doherty, S. J., Wood, R., Haywood, J., &amp; von Salzen, K. (2026). Forcing Susceptibility and Climate Sensitivity to Midlatitude Marine Cloud Brightening. Journal of Climate, 39(2), 769-784.</t>
  </si>
  <si>
    <t xml:space="preserve">6a (section A regional efficiencies, E10 0.231 K per Tg/yr)</t>
  </si>
  <si>
    <t xml:space="preserve">https://doi.org/10.1175/JCLI-D-25-0337.1</t>
  </si>
  <si>
    <t xml:space="preserve">Estrada et al. 2017</t>
  </si>
  <si>
    <t xml:space="preserve">Estrada, F., Botzen, W. J. W., &amp; Tol, R. S. J. (2017). A global economic assessment of city policies to reduce climate change impacts. Nature Climate Change, 7, 403-406.</t>
  </si>
  <si>
    <t xml:space="preserve">5d (urban passive cooling benefit-cost)</t>
  </si>
  <si>
    <t xml:space="preserve">https://doi.org/10.1038/nclimate3301</t>
  </si>
  <si>
    <t xml:space="preserve">Burke et al. 2015</t>
  </si>
  <si>
    <t xml:space="preserve">Burke, M., Hsiang, S. M., &amp; Miguel, E. (2015). Global non-linear effect of temperature on economic production. Nature, 527, 235-239.</t>
  </si>
  <si>
    <t xml:space="preserve">6b, 6c (value of a degree of cooling, central damage estimate)</t>
  </si>
  <si>
    <t xml:space="preserve">https://doi.org/10.1038/nature15725</t>
  </si>
  <si>
    <t xml:space="preserve">Hirasawa et al. 2026 (preprint)</t>
  </si>
  <si>
    <t xml:space="preserve">Hirasawa, H., von Salzen, K., Henry, M., Smith, J., Bender, F. A.-M., Wang, C., Doherty, S., Wood, R., Rasch, P. J., and Haywood, J. (2026). On the Range of Marine Cloud Brightening Radiative Forcing across Earth System Models. EGUsphere preprint.</t>
  </si>
  <si>
    <t xml:space="preserve">6a (model CCN fractions and volume-mean sizes, Table 1; CESM2-Ghosh equal-tonnage ratio and forcing efficiencies, Table 2)</t>
  </si>
  <si>
    <t xml:space="preserve">https://doi.org/10.5194/egusphere-2026-5460</t>
  </si>
  <si>
    <t xml:space="preserve">Supporting files (not directly cited)</t>
  </si>
  <si>
    <t xml:space="preserve">ARIA proposal 2025 (Woodhouse et al.)</t>
  </si>
  <si>
    <t xml:space="preserve">Woodhouse, Middleton, Fitzgerald, Hunt, Hoffmann, Ristovski, Miljevic, Harrison, D. P., &amp; Lemckert (2025). Marine Cloud Brightening in a complex world - moving beyond the Twomey effect. Proposal to the Advanced Research + Invention Agency: Exploring Climate Cooling Programme. Southern Cross University. (Funding proposal, not peer reviewed.)</t>
  </si>
  <si>
    <t xml:space="preserve">Corroborates tab-1 nozzle specs (640 nozzles, ~10^15/s)</t>
  </si>
  <si>
    <t xml:space="preserve">https://doi.org/10.25918/misc.469</t>
  </si>
  <si>
    <t xml:space="preserve">PhD thesis 2024</t>
  </si>
  <si>
    <t xml:space="preserve">Hernandez Jaramillo, D. C. (2024). Characterisation and dispersion of particle emissions for marine cloud brightening over the Great Barrier Reef. PhD thesis, Southern Cross University.</t>
  </si>
  <si>
    <t xml:space="preserve">Background on sprayer generations and plume measurements</t>
  </si>
  <si>
    <t xml:space="preserve">https://doi.org/10.25918/thesis.426</t>
  </si>
  <si>
    <t xml:space="preserve">Non-academic sources (websites, not downloaded)</t>
  </si>
  <si>
    <t xml:space="preserve">Nozzle price listing</t>
  </si>
  <si>
    <t xml:space="preserve">Alibaba product listing for effervescent nozzle hardware.</t>
  </si>
  <si>
    <t xml:space="preserve">Tab 2 (nozzle price)</t>
  </si>
  <si>
    <t xml:space="preserve">https://www.alibaba.com/product-detail/Two-fluid-Nozzle-Fuel-Burner-Gas_1601145712214.html</t>
  </si>
  <si>
    <t xml:space="preserve">Vessel charter / ship sizing</t>
  </si>
  <si>
    <t xml:space="preserve">Charter-market and vessel-spec websites used for ship sizing and charter rates.</t>
  </si>
  <si>
    <t xml:space="preserve">Tab 2, 3a-3d</t>
  </si>
  <si>
    <t xml:space="preserve">https://horizonoffshoreservices.com/wp-content/uploads/2024/07/HOS269.pdf ; https://www.rivieramm.com/news-content-hub/sticker-shock-price-of-psv-newbuildings-up-68-since-2016-79964</t>
  </si>
  <si>
    <t xml:space="preserve">World Bank Cool Cities primer</t>
  </si>
  <si>
    <t xml:space="preserve">Energy Sector Management Assistance Program / World Bank (2020). Primer for Cool Cities: Reducing Excessive Urban Heat - With a Focus on Passive Measures. doi:10.1596/34218.</t>
  </si>
  <si>
    <t xml:space="preserve">https://openknowledge.worldbank.org/handle/10986/34218</t>
  </si>
  <si>
    <t xml:space="preserve">Added in review 2026-10</t>
  </si>
  <si>
    <t xml:space="preserve">RRAP CS-07 2025</t>
  </si>
  <si>
    <t xml:space="preserve">RRAP (2025). Cloud and Sky Brightening: Fogging Development (CS-07) Final Report 2025. Reef Restoration and Adaptation Program.</t>
  </si>
  <si>
    <t xml:space="preserve">Tab 2 (nozzle cost bracket $10-$1,000, p.31; MeeFog $50/nozzle, p.35)</t>
  </si>
  <si>
    <t xml:space="preserve">https://gbrrestoration.org/wp-content/uploads/2026/06/RRAP-CS-07_FINAL-REPORT-2025.pdf</t>
  </si>
  <si>
    <t xml:space="preserve">Deloitte 2025, 2017</t>
  </si>
  <si>
    <t xml:space="preserve">Deloitte Access Economics (2025). At What Cost? Safeguarding the Great Barrier Reef's Role in Australia's Economy. Great Barrier Reef Foundation. Earlier: Deloitte Access Economics (2017). At what price? The economic, social and icon value of the Great Barrier Reef.</t>
  </si>
  <si>
    <t xml:space="preserve">5c (A$95B reef value; 2017 figure A$56B)</t>
  </si>
  <si>
    <t xml:space="preserve">https://globalfundcoralreefs.org/reef-plus/knowledge/at-what-cost-safeguarding-the-great-barrier-reef-s-role-in-australia-s-economy/</t>
  </si>
  <si>
    <t xml:space="preserve">AIMS 2025</t>
  </si>
  <si>
    <t xml:space="preserve">Australian Institute of Marine Science (2025). Annual Summary Report of Coral Reef Condition 2024/2025.</t>
  </si>
  <si>
    <t xml:space="preserve">5c (event frequency, 2024 coral-cover loss)</t>
  </si>
  <si>
    <t xml:space="preserve">https://web.archive.org/web/20260101034222/https://www.aims.gov.au/monitoring-great-barrier-reef/gbr-condition-summary-2024-25</t>
  </si>
  <si>
    <t xml:space="preserve">Hughes et al. 2018</t>
  </si>
  <si>
    <t xml:space="preserve">Hughes, T. P., Kerry, J. T., Baird, A. H., Connolly, S. R., et al. (2018). Global warming transforms coral reef assemblages. Nature, 556, 492-496.</t>
  </si>
  <si>
    <t xml:space="preserve">5c (DHW threshold note)</t>
  </si>
  <si>
    <t xml:space="preserve">https://doi.org/10.1038/s41586-018-0041-2</t>
  </si>
  <si>
    <t xml:space="preserve">Harding et al. 2024</t>
  </si>
  <si>
    <t xml:space="preserve">Harding, A. R., Vecchi, G. A., Yang, W., &amp; Keith, D. W. (2024). Impact of solar geoengineering on temperature-attributable mortality. PNAS, 121(52), e2401801121.</t>
  </si>
  <si>
    <t xml:space="preserve">5d (13x benefit:risk anchor)</t>
  </si>
  <si>
    <t xml:space="preserve">https://doi.org/10.1073/pnas.2401801121</t>
  </si>
  <si>
    <t xml:space="preserve">Kephart et al. 2022</t>
  </si>
  <si>
    <t xml:space="preserve">Kephart, J. L., Sanchez, B. N., Moore, J., Schinasi, L. H., et al. (2022). City-level impact of extreme temperatures and mortality in Latin America. Nature Medicine, 28, 1700-1705.</t>
  </si>
  <si>
    <t xml:space="preserve">5d (RR 1.057 per degC, 326 cities; baseline deaths)</t>
  </si>
  <si>
    <t xml:space="preserve">https://doi.org/10.1038/s41591-022-01872-6</t>
  </si>
  <si>
    <t xml:space="preserve">Zhao Q. et al. 2021; Gasparrini et al. 2015</t>
  </si>
  <si>
    <t xml:space="preserve">Zhao, Q., Guo, Y., Ye, T., Gasparrini, A., et al. (2021). Lancet Planetary Health, 5, e415-e425. Gasparrini, A., Guo, Y., Hashizume, M., et al. (2015). Lancet, 386, 369-375.</t>
  </si>
  <si>
    <t xml:space="preserve">5d (baseline heat-death range)</t>
  </si>
  <si>
    <t xml:space="preserve">https://doi.org/10.1016/S2542-5196(21)00081-4 ; https://doi.org/10.1016/S0140-6736(14)62114-0</t>
  </si>
  <si>
    <t xml:space="preserve">World Bank WDI; EPA/DOT VSL</t>
  </si>
  <si>
    <t xml:space="preserve">World Bank, World Development Indicators, SP.DYN.CDRT.IN (2024). US EPA, Mortality Risk Valuation. US DOT (2024), Departmental Guidance on Valuation of a Statistical Life. Viscusi &amp; Masterman (2017), J. Benefit-Cost Analysis 8:226-250.</t>
  </si>
  <si>
    <t xml:space="preserve">5d (crude death rate, VSL)</t>
  </si>
  <si>
    <t xml:space="preserve">https://api.worldbank.org/v2/country/WLD/indicator/SP.DYN.CDRT.IN ; https://doi.org/10.1017/bca.2017.12</t>
  </si>
  <si>
    <t xml:space="preserve">Nordhaus 2016 (DICE-2016R)</t>
  </si>
  <si>
    <t xml:space="preserve">Nordhaus, W. D. (2016). Projections and Uncertainties About Climate Change in an Era of Minimal Climate Policies. NBER Working Paper 22933.</t>
  </si>
  <si>
    <t xml:space="preserve">6a (low damage, 0.227% GDP per degC^2)</t>
  </si>
  <si>
    <t xml:space="preserve">https://doi.org/10.3386/w22933</t>
  </si>
  <si>
    <t xml:space="preserve">Bilal &amp; Kanzig 2026</t>
  </si>
  <si>
    <t xml:space="preserve">Bilal, A., &amp; Kanzig, D. R. (2026). The Macroeconomic Impact of Climate Change: Global vs. Local Temperature. Quarterly Journal of Economics (NBER Working Paper 32450, rev. Jan 2026).</t>
  </si>
  <si>
    <t xml:space="preserve">6a (high damage, 14% peak)</t>
  </si>
  <si>
    <t xml:space="preserve">https://doi.org/10.3386/w32450</t>
  </si>
  <si>
    <t xml:space="preserve">Kalkuhl &amp; Wenz 2020</t>
  </si>
  <si>
    <t xml:space="preserve">Kalkuhl, M., &amp; Wenz, L. (2020). The impact of climate conditions on economic production. Evidence from a global panel of regions. Journal of Environmental Economics and Management, 103, 102360.</t>
  </si>
  <si>
    <t xml:space="preserve">6a (central damage range 2-4%/degC)</t>
  </si>
  <si>
    <t xml:space="preserve">https://doi.org/10.1016/j.jeem.2020.102360</t>
  </si>
  <si>
    <t xml:space="preserve">Kahn et al. 2021</t>
  </si>
  <si>
    <t xml:space="preserve">Kahn, M. E., Mohaddes, K., Ng, R. N. C., Pesaran, M. H., Raissi, M., &amp; Yang, J.-C. (2021). Long-term macroeconomic effects of climate change: A cross-country analysis. Energy Economics (NBER w26167).</t>
  </si>
  <si>
    <t xml:space="preserve">6a (central damage context)</t>
  </si>
  <si>
    <t xml:space="preserve">https://doi.org/10.3386/w26167</t>
  </si>
  <si>
    <t xml:space="preserve">Kotz et al. 2024 (retracted)</t>
  </si>
  <si>
    <t xml:space="preserve">Kotz, M., Levermann, A., &amp; Wenz, L. (2024). The economic commitment of climate change. Nature, 628, 551-557. RETRACTED Dec 2025.</t>
  </si>
  <si>
    <t xml:space="preserve">6a (no longer used)</t>
  </si>
  <si>
    <t xml:space="preserve">https://doi.org/10.1038/s41586-025-09726-0</t>
  </si>
  <si>
    <t xml:space="preserve">Ghosh et al. 2025</t>
  </si>
  <si>
    <t xml:space="preserve">Ghosh, Evans, Grosvenor, Kang, Mahajan, Xu, Zhang, &amp; Gordon (2025). Assessing modifications to the Abdul-Razzak and Ghan aerosol activation parameterization (version ARG2000) in the UK Met Office Unified Model (UM 13.0). Geoscientific Model Development, 18, 4899-4913. (Reference as printed in the Hirasawa preprint.)</t>
  </si>
  <si>
    <t xml:space="preserve">6a (CESM2-Ghosh activation scheme)</t>
  </si>
  <si>
    <t xml:space="preserve">https://doi.org/10.5194/gmd-18-4899-2025</t>
  </si>
  <si>
    <t xml:space="preserve">Rasch et al. 2024</t>
  </si>
  <si>
    <t xml:space="preserve">Rasch, P. J., Hirasawa, H., Wu, M., Doherty, S. J., Wood, R., Wang, H., Jones, A., Haywood, J., &amp; Singh, H. (2024). A protocol for model intercomparison of impacts of marine cloud brightening climate intervention. Geoscientific Model Development, 17, 7963-7994.</t>
  </si>
  <si>
    <t xml:space="preserve">6a (UKESM1 forcing efficiency, Tables 5 and A1)</t>
  </si>
  <si>
    <t xml:space="preserve">https://doi.org/10.5194/gmd-17-7963-2024</t>
  </si>
  <si>
    <t xml:space="preserve">Wood 2021</t>
  </si>
  <si>
    <t xml:space="preserve">Wood, R. (2021). Assessing the potential efficacy of marine cloud brightening for cooling Earth using a simple heuristic model. Atmospheric Chemistry and Physics, 21, 14507-14533.</t>
  </si>
  <si>
    <t xml:space="preserve">5a (24-h mean cloud-top shortwave, no extra diurnal factor), 5b</t>
  </si>
  <si>
    <t xml:space="preserve">https://doi.org/10.5194/acp-21-14507-2021</t>
  </si>
  <si>
    <t xml:space="preserve">Stuart et al. 2013</t>
  </si>
  <si>
    <t xml:space="preserve">Stuart, G. S., Stevens, R. G., Partanen, A.-I., et al. (2013). Reduced efficacy of marine cloud brightening geoengineering due to in-plume aerosol coagulation. Atmospheric Chemistry and Physics, 13, 10385-10396.</t>
  </si>
  <si>
    <t xml:space="preserve">6a (plume survival basis)</t>
  </si>
  <si>
    <t xml:space="preserve">https://doi.org/10.5194/acp-13-10385-2013</t>
  </si>
  <si>
    <t xml:space="preserve">Smith 2020</t>
  </si>
  <si>
    <t xml:space="preserve">Smith, W. (2020). The cost of stratospheric aerosol injection through 2100. Environmental Research Letters, 15, 114004.</t>
  </si>
  <si>
    <t xml:space="preserve">6a/6b/6c (SAI cost per degree-year comparison)</t>
  </si>
  <si>
    <t xml:space="preserve">https://doi.org/10.1088/1748-9326/aba7e7</t>
  </si>
  <si>
    <t xml:space="preserve">Parker &amp; Irvine 2018</t>
  </si>
  <si>
    <t xml:space="preserve">Parker, A., &amp; Irvine, P. J. (2018). The risk of termination shock from solar geoengineering. Earth's Future, 6, 456-467.</t>
  </si>
  <si>
    <t xml:space="preserve">6a (response lag and termination note)</t>
  </si>
  <si>
    <t xml:space="preserve">https://doi.org/10.1002/2017EF000735</t>
  </si>
  <si>
    <t xml:space="preserve">IPCC AR6 WG1 Ch. 7</t>
  </si>
  <si>
    <t xml:space="preserve">Forster, P., Storelvmo, T., Armour, K., et al. (2021). The Earth's Energy Budget, Climate Feedbacks, and Climate Sensitivity. In Climate Change 2021: The Physical Science Basis. Cambridge University Press.</t>
  </si>
  <si>
    <t xml:space="preserve">6a (assessed TCR 1.8 K, hot-model sensitivity)</t>
  </si>
  <si>
    <t xml:space="preserve">https://doi.org/10.1017/9781009157896.009</t>
  </si>
  <si>
    <t xml:space="preserve">Meehl et al. 2020; Golaz et al. 2022</t>
  </si>
  <si>
    <t xml:space="preserve">Meehl, G. A., Senior, C. A., Eyring, V., et al. (2020). Sci. Adv., 6, eaba1981. Golaz, J.-C., et al. (2022). The DOE E3SM Model Version 2. JAMES, 14, e2022MS003156.</t>
  </si>
  <si>
    <t xml:space="preserve">6a (model TCR/ECS)</t>
  </si>
  <si>
    <t xml:space="preserve">https://doi.org/10.1126/sciadv.aba1981 ; https://doi.org/10.1029/2022MS003156</t>
  </si>
  <si>
    <t xml:space="preserve">EPA 2023; IWG 2021 (social cost of CO2)</t>
  </si>
  <si>
    <t xml:space="preserve">US EPA (2023). Report on the Social Cost of Greenhouse Gases, Table ES.1. Interagency Working Group (2021). Technical Support Document: Social Cost of Carbon, Methane, and Nitrous Oxide, Table ES-1.</t>
  </si>
  <si>
    <t xml:space="preserve">Tab 2 B63 (carbon price $190; alt $51)</t>
  </si>
  <si>
    <t xml:space="preserve">https://web.archive.org/web/20241230213521/https://www.epa.gov/system/files/documents/2023-12/epa_scghg_2023_report_final.pdf</t>
  </si>
  <si>
    <t xml:space="preserve">IMO Fourth GHG Study 2020</t>
  </si>
  <si>
    <t xml:space="preserve">Faber, J., et al. (2020). Fourth IMO Greenhouse Gas Study 2020. International Maritime Organization, London.</t>
  </si>
  <si>
    <t xml:space="preserve">Tab 2 (CO2 factor 3.206, genset SFC), 6a (shipping CO2 1,056 Mt)</t>
  </si>
  <si>
    <t xml:space="preserve">https://ghgsmart.imo.org/wp-content/uploads/2023/05/Fourth-IMO-GHG-Study-2020-Full-report-and-annexes_compressed.pdf</t>
  </si>
  <si>
    <t xml:space="preserve">UNCTAD RMT 2024, 2025; Alphaliner</t>
  </si>
  <si>
    <t xml:space="preserve">UNCTAD (2024, 2025). Review of Maritime Transport. Alphaliner Monthly Monitor (Jul 2024) and Global Fleet Snapshot (Mar/Apr 2026).</t>
  </si>
  <si>
    <t xml:space="preserve">6a (world fleet ~109,000), 6c (6,706 container ships; 85% &gt;= 1,000 TEU)</t>
  </si>
  <si>
    <t xml:space="preserve">https://unctad.org/system/files/official-document/rmt2024_en.pdf</t>
  </si>
  <si>
    <t xml:space="preserve">NREL ORBIT; BVG Associates 2023</t>
  </si>
  <si>
    <t xml:space="preserve">NREL/WISDEM ORBIT cable library (Nunemaker et al. 2020, NREL/TP-5000-77081). BVG Associates (2023). Guide to a Floating Offshore Wind Farm.</t>
  </si>
  <si>
    <t xml:space="preserve">3c (array-class cable cost, install markup)</t>
  </si>
  <si>
    <t xml:space="preserve">https://github.com/WISDEM/ORBIT/tree/main/library/cables</t>
  </si>
  <si>
    <t xml:space="preserve">Transport Canada 2015</t>
  </si>
  <si>
    <t xml:space="preserve">Transport Canada (2015). Transactions on Ballast Water Treatment Systems for the Great Lakes-St. Lawrence Seaway System.</t>
  </si>
  <si>
    <t xml:space="preserve">Tab 2 (seawater skid comparator)</t>
  </si>
  <si>
    <t xml:space="preserve">https://www.tc.canada.ca/sites/default/files/migrated/transactions_for_bwts_on_the_great_lakes___transport_canada.pdf</t>
  </si>
  <si>
    <t xml:space="preserve">Compressor listing; Riviera/Clarksons; Hornbeck UT 755L; Vianna et al. 2025</t>
  </si>
  <si>
    <t xml:space="preserve">Used Ariel JGQ/2 200 hp compressor package listing (freeoilfieldquote.com). Riviera Maritime Media (14 Mar 2024), Sticker shock: price of PSV newbuildings up 68% since 2016 (Clarksons). Hornbeck Offshore HOS269 UT 755L spec sheet. Vianna et al. (2025), J. Mar. Sci. Eng. 13(4):686.</t>
  </si>
  <si>
    <t xml:space="preserve">Tab 2 (compressor $/kW, vessel price, fuel burn)</t>
  </si>
  <si>
    <t xml:space="preserve">https://www.rivieramm.com/news-content-hub/sticker-shock-price-of-psv-newbuildings-up-68-since-2016-79964 ; https://www.mdpi.com/2077-1312/13/4/686</t>
  </si>
  <si>
    <t xml:space="preserve">Review changes 2026-10: every cell changed in this revision</t>
  </si>
  <si>
    <t xml:space="preserve">One row per changed cell. "Old" is the formula or value before the change, with its computed value. "New value (live)" links to the cell, so it stays current. Finding IDs refer to review/claims_and_citations_2026-10.xlsx in the repo. Headline before/after table at the bottom.</t>
  </si>
  <si>
    <t xml:space="preserve">Sheet</t>
  </si>
  <si>
    <t xml:space="preserve">Cell</t>
  </si>
  <si>
    <t xml:space="preserve">Finding</t>
  </si>
  <si>
    <t xml:space="preserve">Old formula or value</t>
  </si>
  <si>
    <t xml:space="preserve">Old computed value</t>
  </si>
  <si>
    <t xml:space="preserve">New formula or value</t>
  </si>
  <si>
    <t xml:space="preserve">New value (live)</t>
  </si>
  <si>
    <t xml:space="preserve">Reason</t>
  </si>
  <si>
    <t xml:space="preserve">5a. Cooling Model - Local</t>
  </si>
  <si>
    <t xml:space="preserve">A16</t>
  </si>
  <si>
    <t xml:space="preserve">F02</t>
  </si>
  <si>
    <t xml:space="preserve">Cloud-top shortwave (daytime)</t>
  </si>
  <si>
    <t xml:space="preserve">Label: B16 is a 24-h mean, not a daytime value.</t>
  </si>
  <si>
    <t xml:space="preserve">B16</t>
  </si>
  <si>
    <t xml:space="preserve">475</t>
  </si>
  <si>
    <t xml:space="preserve">380</t>
  </si>
  <si>
    <t xml:space="preserve">475 was the DJF 24-h mean at the top of the atmosphere; at cloud top the 24-h mean is ~380. Paired with B20 = 1.0 so the diurnal cycle is counted once.</t>
  </si>
  <si>
    <t xml:space="preserve">Wood 2021 ACP doi:10.5194/acp-21-14507-2021; NASA POWER CERES SYN1deg TOA_SW_DWN; solar geometry computed</t>
  </si>
  <si>
    <t xml:space="preserve">D16</t>
  </si>
  <si>
    <t xml:space="preserve">Downwelling SW at cloud top, daytime marine. 24h-mean is lower; this is the active-cooling value.</t>
  </si>
  <si>
    <t xml:space="preserve">Note rewritten to match the new value.</t>
  </si>
  <si>
    <t xml:space="preserve">H16</t>
  </si>
  <si>
    <t xml:space="preserve">Assumption (daytime marine cloud-top shortwave)</t>
  </si>
  <si>
    <t xml:space="preserve">Source for B16.</t>
  </si>
  <si>
    <t xml:space="preserve">A20</t>
  </si>
  <si>
    <t xml:space="preserve">Daytime averaging</t>
  </si>
  <si>
    <t xml:space="preserve">Label.</t>
  </si>
  <si>
    <t xml:space="preserve">B20</t>
  </si>
  <si>
    <t xml:space="preserve">0.4</t>
  </si>
  <si>
    <t xml:space="preserve">1</t>
  </si>
  <si>
    <t xml:space="preserve">B16 is already a 24-h mean, so no extra day/night factor. Was 0.4 (double count).</t>
  </si>
  <si>
    <t xml:space="preserve">Wood 2021 ACP doi:10.5194/acp-21-14507-2021</t>
  </si>
  <si>
    <t xml:space="preserve">D20</t>
  </si>
  <si>
    <t xml:space="preserve">Daytime averaging ~0.4: brightening only reflects sun by day, so 24-h forcing is ~0.3-0.5 of peak.</t>
  </si>
  <si>
    <t xml:space="preserve">Note rewritten.</t>
  </si>
  <si>
    <t xml:space="preserve">H20</t>
  </si>
  <si>
    <t xml:space="preserve">Assumption (daytime-averaging factor ~0.4).</t>
  </si>
  <si>
    <t xml:space="preserve">Source.</t>
  </si>
  <si>
    <t xml:space="preserve">D22</t>
  </si>
  <si>
    <t xml:space="preserve">Daytime averaging x cloud availability</t>
  </si>
  <si>
    <t xml:space="preserve">Label follows B20.</t>
  </si>
  <si>
    <t xml:space="preserve">D10</t>
  </si>
  <si>
    <t xml:space="preserve">F20</t>
  </si>
  <si>
    <t xml:space="preserve">Spray up to the measured ceiling: 200 total - 100 background = add 100/cm3. Ceiling measured, CS-06 p.34.</t>
  </si>
  <si>
    <t xml:space="preserve">Stale note said +100/cm3; the cell gives +30.</t>
  </si>
  <si>
    <t xml:space="preserve">D17</t>
  </si>
  <si>
    <t xml:space="preserve">Stratocumulus deck albedo, ~0.5.</t>
  </si>
  <si>
    <t xml:space="preserve">Stale note said ~0.5; cell is 0.4. Added the GBR range (F21).</t>
  </si>
  <si>
    <t xml:space="preserve">Harrison et al. 2019 RRAP T14 report (gbrrestoration.org); Wood 2021 ACP doi:10.5194/acp-21-14507-2021</t>
  </si>
  <si>
    <t xml:space="preserve">D18</t>
  </si>
  <si>
    <t xml:space="preserve">F20/F24</t>
  </si>
  <si>
    <t xml:space="preserve">Droplet-number enhancement vs background, capped at the measured ~200/cm3 ceiling (CS-06 p.34) = 200/background = 2.0x here.</t>
  </si>
  <si>
    <t xml:space="preserve">Stale note said 2.0x; the cell is 1.3.</t>
  </si>
  <si>
    <t xml:space="preserve">Zhao et al. 2026 EGUsphere preprint doi:10.5194/egusphere-2026-1251</t>
  </si>
  <si>
    <t xml:space="preserve">5b. Cooling-Value Sensitivity</t>
  </si>
  <si>
    <t xml:space="preserve">B12</t>
  </si>
  <si>
    <t xml:space="preserve">400</t>
  </si>
  <si>
    <t xml:space="preserve">340</t>
  </si>
  <si>
    <t xml:space="preserve">Bounds re-centred on the 24-h mean (380): 340 (5c-alt basis) to 420.</t>
  </si>
  <si>
    <t xml:space="preserve">D12</t>
  </si>
  <si>
    <t xml:space="preserve">550</t>
  </si>
  <si>
    <t xml:space="preserve">420</t>
  </si>
  <si>
    <t xml:space="preserve">Upper bound: DJF TOA 475-491 x 0.85-0.87.</t>
  </si>
  <si>
    <t xml:space="preserve">I12</t>
  </si>
  <si>
    <t xml:space="preserve">Sensitivity bounds around the tab 5a base cloud-top shortwave; see tab 5a Sources.</t>
  </si>
  <si>
    <t xml:space="preserve">Note.</t>
  </si>
  <si>
    <t xml:space="preserve">B13</t>
  </si>
  <si>
    <t xml:space="preserve">F24</t>
  </si>
  <si>
    <t xml:space="preserve">2</t>
  </si>
  <si>
    <t xml:space="preserve">1.14</t>
  </si>
  <si>
    <t xml:space="preserve">Zhao 2026 low end; old bounds (2, 4) both sat above the 1.3 base.</t>
  </si>
  <si>
    <t xml:space="preserve">D13</t>
  </si>
  <si>
    <t xml:space="preserve">4</t>
  </si>
  <si>
    <t xml:space="preserve">1.73</t>
  </si>
  <si>
    <t xml:space="preserve">Zhao 2026 high end.</t>
  </si>
  <si>
    <t xml:space="preserve">E13</t>
  </si>
  <si>
    <t xml:space="preserve">='5a. Cooling Model - Local'!$B$34*(LN('5a. Cooling Model - Local'!$B$18)/LN(B13))</t>
  </si>
  <si>
    <t xml:space="preserve">='5a. Cooling Model - Local'!$B$34*((LN('5a. Cooling Model - Local'!$B$18)/('5a. Cooling Model - Local'!$B$18-1))/(LN(B13)/(B13-1)))</t>
  </si>
  <si>
    <t xml:space="preserve">Include the area-per-tonne term (5a B11 ~ 1/(r-1)); cooling per tonne scales as ln(r)/(r-1), not ln(r).</t>
  </si>
  <si>
    <t xml:space="preserve">G13</t>
  </si>
  <si>
    <t xml:space="preserve">='5a. Cooling Model - Local'!$B$34*(LN('5a. Cooling Model - Local'!$B$18)/LN(D13))</t>
  </si>
  <si>
    <t xml:space="preserve">='5a. Cooling Model - Local'!$B$34*((LN('5a. Cooling Model - Local'!$B$18)/('5a. Cooling Model - Local'!$B$18-1))/(LN(D13)/(D13-1)))</t>
  </si>
  <si>
    <t xml:space="preserve">Same as E13 for the upper bound.</t>
  </si>
  <si>
    <t xml:space="preserve">I13</t>
  </si>
  <si>
    <t xml:space="preserve">(empty)</t>
  </si>
  <si>
    <t xml:space="preserve">5c. Benefit - Local - Reef</t>
  </si>
  <si>
    <t xml:space="preserve">F03</t>
  </si>
  <si>
    <t xml:space="preserve">='3a. Outputs - Dedicated Vessel'!$B$22*(B7/365)</t>
  </si>
  <si>
    <t xml:space="preserve">='2. Cost Inputs'!$B$15*(B7/365)*'5c-alt. Benefit - Reef (Zhao)'!$B$27</t>
  </si>
  <si>
    <t xml:space="preserve">Per-vessel event output from equipment-basis production x event fraction x 95% in-event spray time. 3a B22 already carries the 33% year-round spray share, so the season was counted twice.</t>
  </si>
  <si>
    <t xml:space="preserve">Annual per-vessel-unit production (3a, 33% utilization) x event fraction. Vessel-unit = tab-2 layout (~5,780 nozzles).</t>
  </si>
  <si>
    <t xml:space="preserve">D26</t>
  </si>
  <si>
    <t xml:space="preserve">F26</t>
  </si>
  <si>
    <t xml:space="preserve">Average of the two events.</t>
  </si>
  <si>
    <t xml:space="preserve">Caveat on the relief-to-dollars mapping.</t>
  </si>
  <si>
    <t xml:space="preserve">Harrison et al. 2019 RRAP T14 report (gbrrestoration.org); Hughes et al. 2018 doi:10.1038/s41586-018-0041-2</t>
  </si>
  <si>
    <t xml:space="preserve">D32</t>
  </si>
  <si>
    <t xml:space="preserve">F25</t>
  </si>
  <si>
    <t xml:space="preserve">Assumption (~20%). Until 10/07 typed inside B28.</t>
  </si>
  <si>
    <t xml:space="preserve">Caveat on value at risk.</t>
  </si>
  <si>
    <t xml:space="preserve">AIMS Annual Summary Report of Coral Reef Condition 2024/25; Deloitte Access Economics 2017, 2025</t>
  </si>
  <si>
    <t xml:space="preserve">5d. Benefit - Local - City</t>
  </si>
  <si>
    <t xml:space="preserve">A8</t>
  </si>
  <si>
    <t xml:space="preserve">F01</t>
  </si>
  <si>
    <t xml:space="preserve">Peak cooling delivered</t>
  </si>
  <si>
    <t xml:space="preserve">B8</t>
  </si>
  <si>
    <t xml:space="preserve">0.8</t>
  </si>
  <si>
    <t xml:space="preserve">='5a. Cooling Model - Local'!B19*'5a. Cooling Model - Local'!B25</t>
  </si>
  <si>
    <t xml:space="preserve">Derive cooling from the 5a chain (24-h mean forcing x temperature sensitivity) instead of a typed 0.8 degC with no source.</t>
  </si>
  <si>
    <t xml:space="preserve">Harrison et al. 2019 RRAP T14 report (gbrrestoration.org)</t>
  </si>
  <si>
    <t xml:space="preserve">D8</t>
  </si>
  <si>
    <t xml:space="preserve">Temperature shaved off the hottest part of extreme days.</t>
  </si>
  <si>
    <t xml:space="preserve">G8</t>
  </si>
  <si>
    <t xml:space="preserve">Assumption (peak cooling shaved on hottest days).</t>
  </si>
  <si>
    <t xml:space="preserve">G9</t>
  </si>
  <si>
    <t xml:space="preserve">F28/F30</t>
  </si>
  <si>
    <t xml:space="preserve">Literature-scale value: ~13.7 heatwave days/yr global average in 2010s ().</t>
  </si>
  <si>
    <t xml:space="preserve">Unsourced citation flagged.</t>
  </si>
  <si>
    <t xml:space="preserve">Kephart et al. 2022 Nat. Med. doi:10.1038/s41591-022-01872-6</t>
  </si>
  <si>
    <t xml:space="preserve">='3a. Outputs - Dedicated Vessel'!$B$22*(B9/365)</t>
  </si>
  <si>
    <t xml:space="preserve">='2. Cost Inputs'!$B$15*(B9/365)*'5c-alt. Benefit - Reef (Zhao)'!$B$27</t>
  </si>
  <si>
    <t xml:space="preserve">Same season double count as 5c B13.</t>
  </si>
  <si>
    <t xml:space="preserve">Annual per-vessel production (tab 2, at 33% utilization) x season fraction of year.</t>
  </si>
  <si>
    <t xml:space="preserve">=B11/B12</t>
  </si>
  <si>
    <t xml:space="preserve">=MAX(1,ROUNDUP(B11/B12,0))</t>
  </si>
  <si>
    <t xml:space="preserve">Charter whole vessels, at least one. Was 0.106 of a vessel.</t>
  </si>
  <si>
    <t xml:space="preserve">Season tonnage / per-vessel season output.</t>
  </si>
  <si>
    <t xml:space="preserve">A25</t>
  </si>
  <si>
    <t xml:space="preserve">Label unchanged in meaning.</t>
  </si>
  <si>
    <t xml:space="preserve">B25</t>
  </si>
  <si>
    <t xml:space="preserve">=B8*B30</t>
  </si>
  <si>
    <t xml:space="preserve">=B8*'5a. Cooling Model - Local'!B21</t>
  </si>
  <si>
    <t xml:space="preserve">24-h mean cooling x cloud availability (5a B21). Cloud availability was never applied on this tab.</t>
  </si>
  <si>
    <t xml:space="preserve">D25</t>
  </si>
  <si>
    <t xml:space="preserve">RR 1.057 is against daily-mean temperature, not peak. 0.44 converts peak shaving to the daily-mean dose the epidemiology sees.</t>
  </si>
  <si>
    <t xml:space="preserve">A26</t>
  </si>
  <si>
    <t xml:space="preserve">F28</t>
  </si>
  <si>
    <t xml:space="preserve">B26</t>
  </si>
  <si>
    <t xml:space="preserve">=B23*(1-1/(1+B24)^B25)</t>
  </si>
  <si>
    <t xml:space="preserve">=B40*(1-1/(1+B24)^B25)</t>
  </si>
  <si>
    <t xml:space="preserve">RR per degC applies to all deaths on the heat days, not only the excess deaths.</t>
  </si>
  <si>
    <t xml:space="preserve">F01/F28</t>
  </si>
  <si>
    <t xml:space="preserve">Baseline deaths x reduction at realized daily-mean cooling. Availability is already inside 5a's realization factor, so no separate availability halving.</t>
  </si>
  <si>
    <t xml:space="preserve">False note fixed.</t>
  </si>
  <si>
    <t xml:space="preserve">G23</t>
  </si>
  <si>
    <t xml:space="preserve">Assumption (baseline excess deaths per extreme season).</t>
  </si>
  <si>
    <t xml:space="preserve">Baseline flagged as high.</t>
  </si>
  <si>
    <t xml:space="preserve">Kephart et al. 2022 Nat. Med. doi:10.1038/s41591-022-01872-6; Zhao et al. 2021; Gasparrini et al. 2015</t>
  </si>
  <si>
    <t xml:space="preserve">G24</t>
  </si>
  <si>
    <t xml:space="preserve">326-city study (as noted); </t>
  </si>
  <si>
    <t xml:space="preserve">Named the 326-city study.</t>
  </si>
  <si>
    <t xml:space="preserve">G27</t>
  </si>
  <si>
    <t xml:space="preserve">Assumption (US-federal-range VSL).</t>
  </si>
  <si>
    <t xml:space="preserve">VSL scope note.</t>
  </si>
  <si>
    <t xml:space="preserve">EPA Mortality Risk Valuation; DOT VSL guidance 2024; Viscusi &amp; Masterman 2017</t>
  </si>
  <si>
    <t xml:space="preserve">D30</t>
  </si>
  <si>
    <t xml:space="preserve">Share of a peak-hour cooling that shows up in the daily mean the mortality study uses. Assumption. Until 10/07 typed inside B25.</t>
  </si>
  <si>
    <t xml:space="preserve">Cell no longer referenced.</t>
  </si>
  <si>
    <t xml:space="preserve">G35</t>
  </si>
  <si>
    <t xml:space="preserve">Harding, Keith, Vecchi &amp; Yang 2024 (PNAS),</t>
  </si>
  <si>
    <t xml:space="preserve">Citation and meaning fixed.</t>
  </si>
  <si>
    <t xml:space="preserve">Harding et al. 2024 doi:10.1073/pnas.2401801121</t>
  </si>
  <si>
    <t xml:space="preserve">A37</t>
  </si>
  <si>
    <t xml:space="preserve">=CONCATENATE("This profile (",TEXT(B29,"0.0"),"x on the daily-mean realized dose) sits at the top of the demonstrated urban-cooling range and near the global geoengineering mortality anchor. The dose basis is daily-mean, not instantaneous peak - the epidemiology does not support a peak-based dose.")</t>
  </si>
  <si>
    <t xml:space="preserve">This profile (515.8x on the daily-mean realized dose) sits at the top of the demonstrated urban-cooling range and near the global geoengineering mortality anchor. The dose basis is daily-mean, not instantaneous peak - the epidemiology does not support a peak-based dose.</t>
  </si>
  <si>
    <t xml:space="preserve">="This profile ("&amp;TEXT(B29,"0.0")&amp;"x on the daily-mean realized dose, whole-vessel charter) compares with 1.5-15.2x for urban passive cooling (Estrada et al. 2017). The 13x geoengineering anchor is benefit vs risk, not benefit vs cost, so it is not a like-for-like comparison."</t>
  </si>
  <si>
    <t xml:space="preserve">Summary sentence no longer claims a fit it no longer has.</t>
  </si>
  <si>
    <t xml:space="preserve">A39</t>
  </si>
  <si>
    <t xml:space="preserve">New input for the RR fix.</t>
  </si>
  <si>
    <t xml:space="preserve">B39</t>
  </si>
  <si>
    <t xml:space="preserve">7.55</t>
  </si>
  <si>
    <t xml:space="preserve">World 2024 crude death rate.</t>
  </si>
  <si>
    <t xml:space="preserve">World Bank WDI SP.DYN.CDRT.IN</t>
  </si>
  <si>
    <t xml:space="preserve">C39</t>
  </si>
  <si>
    <t xml:space="preserve">Unit.</t>
  </si>
  <si>
    <t xml:space="preserve">D39</t>
  </si>
  <si>
    <t xml:space="preserve">G39</t>
  </si>
  <si>
    <t xml:space="preserve">A40</t>
  </si>
  <si>
    <t xml:space="preserve">New line.</t>
  </si>
  <si>
    <t xml:space="preserve">B40</t>
  </si>
  <si>
    <t xml:space="preserve">=B22*B39/1000*B9/365+B23</t>
  </si>
  <si>
    <t xml:space="preserve">Population x crude death rate x heat days/365, plus the excess deaths (B23).</t>
  </si>
  <si>
    <t xml:space="preserve">C40</t>
  </si>
  <si>
    <t xml:space="preserve">D40</t>
  </si>
  <si>
    <t xml:space="preserve">6a. Cooling Model - Global</t>
  </si>
  <si>
    <t xml:space="preserve">F05</t>
  </si>
  <si>
    <t xml:space="preserve">90</t>
  </si>
  <si>
    <t xml:space="preserve">94.2</t>
  </si>
  <si>
    <t xml:space="preserve">Volume-mean diameter (2 x volume radius) is the right basis for particles per tonne. Was 90.</t>
  </si>
  <si>
    <t xml:space="preserve">Hirasawa et al. 2026 EGUsphere preprint doi:10.5194/egusphere-2026-5460 Table 1</t>
  </si>
  <si>
    <t xml:space="preserve">B17</t>
  </si>
  <si>
    <t xml:space="preserve">B18</t>
  </si>
  <si>
    <t xml:space="preserve">B19</t>
  </si>
  <si>
    <t xml:space="preserve">172</t>
  </si>
  <si>
    <t xml:space="preserve">171.8</t>
  </si>
  <si>
    <t xml:space="preserve">Volume-mean diameter. Was 172 (rounding).</t>
  </si>
  <si>
    <t xml:space="preserve">G16</t>
  </si>
  <si>
    <t xml:space="preserve">Model CCN fraction (Hirasawa 2026 preprint, Table 1)</t>
  </si>
  <si>
    <t xml:space="preserve">G17</t>
  </si>
  <si>
    <t xml:space="preserve">G18</t>
  </si>
  <si>
    <t xml:space="preserve">G19</t>
  </si>
  <si>
    <t xml:space="preserve">F04</t>
  </si>
  <si>
    <t xml:space="preserve">='1. Technology Description'!B9</t>
  </si>
  <si>
    <t xml:space="preserve">0.22</t>
  </si>
  <si>
    <t xml:space="preserve">Like-for-like CCN fraction: share of our particles that activate at S=0.1% (dry diameter &gt; ~108.5 nm), the same definition as the model fractions in D16:D19. Estimate from a fitted size distribution. Was 0.71 = share in the 30-1000 nm window, a looser size window.</t>
  </si>
  <si>
    <t xml:space="preserve">E20</t>
  </si>
  <si>
    <t xml:space="preserve">G20</t>
  </si>
  <si>
    <t xml:space="preserve">Derivation of the new value.</t>
  </si>
  <si>
    <t xml:space="preserve">A3</t>
  </si>
  <si>
    <t xml:space="preserve">F04/F05/F14</t>
  </si>
  <si>
    <t xml:space="preserve">Basis conversion: CESM2/E3SMv2 emit 90 nm, UKESM1 172 nm (Hirasawa 2026, J. Climate). Restate tonnages at our 150 nm by (d_ours/d_model)^3 x (model CCN fraction / our CCN fraction), so we match cloud droplets, not raw particle counts; CCN fractions from Hirasawa 2026 preprint, Table 1). Then gross up for plume survival; ESMs emit diffuse fluxes, ours is a point source.  Assumes (1) forcing is mostly cloud forcing, roughly true for CESM2, and (2) our 150 nm and the models' 90/172 nm particles stay airborne with an equally long lifetime.</t>
  </si>
  <si>
    <t xml:space="preserve">Basis text updated to match the new sizes and CCN definition.</t>
  </si>
  <si>
    <t xml:space="preserve">F04/F05</t>
  </si>
  <si>
    <t xml:space="preserve">x (d_model/d_ours)^3 x (our CCN fraction / model CCN fraction): a tonne of 90 nm holds (150/90)^3 = 4.6x more particles than 150 nm, but only 15.7% of CESM2's become droplets vs our 71%, so per tonne the two make about the same number of droplets</t>
  </si>
  <si>
    <t xml:space="preserve">Note follows the new inputs.</t>
  </si>
  <si>
    <t xml:space="preserve">B27</t>
  </si>
  <si>
    <t xml:space="preserve">F23</t>
  </si>
  <si>
    <t xml:space="preserve">0.012</t>
  </si>
  <si>
    <t xml:space="preserve">0.019</t>
  </si>
  <si>
    <t xml:space="preserve">Rasch 2024 Tables 5 and A1 imply 0.016-0.023 W/m2 per Tg/yr for UKESM1; 0.019 is the midpoint. Was 0.012. Gut check only.</t>
  </si>
  <si>
    <t xml:space="preserve">Rasch et al. 2024 GMD doi:10.5194/gmd-17-7963-2024</t>
  </si>
  <si>
    <t xml:space="preserve">D27</t>
  </si>
  <si>
    <t xml:space="preserve">E10</t>
  </si>
  <si>
    <t xml:space="preserve">F18</t>
  </si>
  <si>
    <t xml:space="preserve">-0.236</t>
  </si>
  <si>
    <t xml:space="preserve">-0.231</t>
  </si>
  <si>
    <t xml:space="preserve">Paper value 0.231 K per Tg/yr. Was typed 0.236 (= D10/C10 rounded).</t>
  </si>
  <si>
    <t xml:space="preserve">Hirasawa et al. 2026 J. Climate doi:10.1175/JCLI-D-25-0337.1</t>
  </si>
  <si>
    <t xml:space="preserve">G10</t>
  </si>
  <si>
    <t xml:space="preserve">Strongest efficiency in the study.</t>
  </si>
  <si>
    <t xml:space="preserve">B34</t>
  </si>
  <si>
    <t xml:space="preserve">0.236</t>
  </si>
  <si>
    <t xml:space="preserve">=-E10</t>
  </si>
  <si>
    <t xml:space="preserve">Link to section A instead of a typed 0.236.</t>
  </si>
  <si>
    <t xml:space="preserve">B36</t>
  </si>
  <si>
    <t xml:space="preserve">0.0372</t>
  </si>
  <si>
    <t xml:space="preserve">=-E11</t>
  </si>
  <si>
    <t xml:space="preserve">Link instead of typed value (same number).</t>
  </si>
  <si>
    <t xml:space="preserve">B37</t>
  </si>
  <si>
    <t xml:space="preserve">0.00754</t>
  </si>
  <si>
    <t xml:space="preserve">=-E12</t>
  </si>
  <si>
    <t xml:space="preserve">F22/F18</t>
  </si>
  <si>
    <t xml:space="preserve">=D10*(12.9/7.21)</t>
  </si>
  <si>
    <t xml:space="preserve">=E10*C13*(3.34/2.62)</t>
  </si>
  <si>
    <t xml:space="preserve">Equal-tonnage forcing ratio (1.27x) instead of the equal-forcing mass ratio (1.79x), applied to the paper CESM2 efficiency (E10).</t>
  </si>
  <si>
    <t xml:space="preserve">Hirasawa et al. 2026 EGUsphere preprint doi:10.5194/egusphere-2026-5460 Table 2</t>
  </si>
  <si>
    <t xml:space="preserve">F22</t>
  </si>
  <si>
    <t xml:space="preserve">Scaled from CESM2 by salt needed for -2 W/m2: CESM2 12.9 vs CESM2-Ghosh 7.21 Tg/yr (Hirasawa 2026 preprint, Table 2). Same model and particles, newer activation scheme (Ghosh et al. 2025). Cooling is scaled, not a simulated run.</t>
  </si>
  <si>
    <t xml:space="preserve">F17</t>
  </si>
  <si>
    <t xml:space="preserve">Catch-all for every loss, including particles too small to become droplets. Assumption: same basis as the tab 5a survival factor (Frontiers plume review 2025; open research gap).	</t>
  </si>
  <si>
    <t xml:space="preserve">Note no longer overlaps the CCN correction.</t>
  </si>
  <si>
    <t xml:space="preserve">G44</t>
  </si>
  <si>
    <t xml:space="preserve">F27</t>
  </si>
  <si>
    <t xml:space="preserve">Burke, Hsiang &amp; Miguel 2015 (Nature 527:235): ~23% GDP/capita at ~3.7C (~6%/degC). 3.3%/degC is conservative within the statistical class (Kahn 2021 ~2.5%; Bilal &amp; Kanzig 2024 12% peak). Replaces Kotz 2024, retracted Dec 2025.</t>
  </si>
  <si>
    <t xml:space="preserve">Kalkuhl &amp; Wenz 2020 JEEM doi:10.1016/j.jeem.2020.102360</t>
  </si>
  <si>
    <t xml:space="preserve">A45</t>
  </si>
  <si>
    <t xml:space="preserve">Damage: high (Bilal-Kanzig 2024)</t>
  </si>
  <si>
    <t xml:space="preserve">B45</t>
  </si>
  <si>
    <t xml:space="preserve">12</t>
  </si>
  <si>
    <t xml:space="preserve">14</t>
  </si>
  <si>
    <t xml:space="preserve">Current Bilal &amp; Kanzig headline: 14% peak GDP loss after a 1 degC shock. Was 12% (2024 working paper; no longer in the current version).</t>
  </si>
  <si>
    <t xml:space="preserve">Bilal &amp; Kanzig, QJE 2026 / NBER w32450 doi:10.3386/w32450</t>
  </si>
  <si>
    <t xml:space="preserve">G45</t>
  </si>
  <si>
    <t xml:space="preserve">Bilal &amp; Kanzig 2024 (w32450): 12% GDP per degC</t>
  </si>
  <si>
    <t xml:space="preserve">A46</t>
  </si>
  <si>
    <t xml:space="preserve">F15</t>
  </si>
  <si>
    <t xml:space="preserve">New input, default 1.0 = no change.</t>
  </si>
  <si>
    <t xml:space="preserve">B46</t>
  </si>
  <si>
    <t xml:space="preserve">Share of steady-state cooling value realized once ocean lag is counted. Default 1.0 keeps the original basis.</t>
  </si>
  <si>
    <t xml:space="preserve">Parker &amp; Irvine 2018 Earth's Future doi:10.1002/2017EF000735</t>
  </si>
  <si>
    <t xml:space="preserve">C46</t>
  </si>
  <si>
    <t xml:space="preserve">G46</t>
  </si>
  <si>
    <t xml:space="preserve">A47</t>
  </si>
  <si>
    <t xml:space="preserve">F11</t>
  </si>
  <si>
    <t xml:space="preserve">New comparison input.</t>
  </si>
  <si>
    <t xml:space="preserve">B47</t>
  </si>
  <si>
    <t xml:space="preserve">18</t>
  </si>
  <si>
    <t xml:space="preserve">Stratospheric aerosol injection ~$18B/yr per degC avoided.</t>
  </si>
  <si>
    <t xml:space="preserve">Smith 2020 ERL doi:10.1088/1748-9326/aba7e7</t>
  </si>
  <si>
    <t xml:space="preserve">C47</t>
  </si>
  <si>
    <t xml:space="preserve">G47</t>
  </si>
  <si>
    <t xml:space="preserve">A48</t>
  </si>
  <si>
    <t xml:space="preserve">F10</t>
  </si>
  <si>
    <t xml:space="preserve">B48</t>
  </si>
  <si>
    <t xml:space="preserve">109000</t>
  </si>
  <si>
    <t xml:space="preserve">World fleet ~109,000 ships.</t>
  </si>
  <si>
    <t xml:space="preserve">UNCTAD Review of Maritime Transport 2024</t>
  </si>
  <si>
    <t xml:space="preserve">C48</t>
  </si>
  <si>
    <t xml:space="preserve">G48</t>
  </si>
  <si>
    <t xml:space="preserve">A49</t>
  </si>
  <si>
    <t xml:space="preserve">B49</t>
  </si>
  <si>
    <t xml:space="preserve">1056</t>
  </si>
  <si>
    <t xml:space="preserve">All shipping, 2018.</t>
  </si>
  <si>
    <t xml:space="preserve">C49</t>
  </si>
  <si>
    <t xml:space="preserve">G49</t>
  </si>
  <si>
    <t xml:space="preserve">A50</t>
  </si>
  <si>
    <t xml:space="preserve">F13</t>
  </si>
  <si>
    <t xml:space="preserve">New sensitivity input.</t>
  </si>
  <si>
    <t xml:space="preserve">B50</t>
  </si>
  <si>
    <t xml:space="preserve">1.8</t>
  </si>
  <si>
    <t xml:space="preserve">AR6 best estimate TCR (likely 1.4-2.2).</t>
  </si>
  <si>
    <t xml:space="preserve">IPCC AR6 WG1 Ch. 7 (Forster et al. 2021) doi:10.1017/9781009157896.009</t>
  </si>
  <si>
    <t xml:space="preserve">C50</t>
  </si>
  <si>
    <t xml:space="preserve">G50</t>
  </si>
  <si>
    <t xml:space="preserve">J32</t>
  </si>
  <si>
    <t xml:space="preserve">New block.</t>
  </si>
  <si>
    <t xml:space="preserve">J33</t>
  </si>
  <si>
    <t xml:space="preserve">Header.</t>
  </si>
  <si>
    <t xml:space="preserve">K33</t>
  </si>
  <si>
    <t xml:space="preserve">L33</t>
  </si>
  <si>
    <t xml:space="preserve">M33</t>
  </si>
  <si>
    <t xml:space="preserve">J34</t>
  </si>
  <si>
    <t xml:space="preserve">2.0</t>
  </si>
  <si>
    <t xml:space="preserve">Model transient climate response.</t>
  </si>
  <si>
    <t xml:space="preserve">Meehl et al. 2020 Sci. Adv. doi:10.1126/sciadv.aba1981</t>
  </si>
  <si>
    <t xml:space="preserve">K34</t>
  </si>
  <si>
    <t xml:space="preserve">=$B$50/J34</t>
  </si>
  <si>
    <t xml:space="preserve">Rescale factor.</t>
  </si>
  <si>
    <t xml:space="preserve">L34</t>
  </si>
  <si>
    <t xml:space="preserve">=I34/K34</t>
  </si>
  <si>
    <t xml:space="preserve">Tonnage needed if cooling per W/m2 matched AR6.</t>
  </si>
  <si>
    <t xml:space="preserve">M34</t>
  </si>
  <si>
    <t xml:space="preserve">J35</t>
  </si>
  <si>
    <t xml:space="preserve">=J34</t>
  </si>
  <si>
    <t xml:space="preserve">Same model as CESM2.</t>
  </si>
  <si>
    <t xml:space="preserve">K35</t>
  </si>
  <si>
    <t xml:space="preserve">=$B$50/J35</t>
  </si>
  <si>
    <t xml:space="preserve">L35</t>
  </si>
  <si>
    <t xml:space="preserve">=I35/K35</t>
  </si>
  <si>
    <t xml:space="preserve">M35</t>
  </si>
  <si>
    <t xml:space="preserve">J36</t>
  </si>
  <si>
    <t xml:space="preserve">2.4</t>
  </si>
  <si>
    <t xml:space="preserve">Golaz et al. 2022 JAMES doi:10.1029/2022MS003156</t>
  </si>
  <si>
    <t xml:space="preserve">K36</t>
  </si>
  <si>
    <t xml:space="preserve">=$B$50/J36</t>
  </si>
  <si>
    <t xml:space="preserve">L36</t>
  </si>
  <si>
    <t xml:space="preserve">=I36/K36</t>
  </si>
  <si>
    <t xml:space="preserve">M36</t>
  </si>
  <si>
    <t xml:space="preserve">J37</t>
  </si>
  <si>
    <t xml:space="preserve">2.8</t>
  </si>
  <si>
    <t xml:space="preserve">K37</t>
  </si>
  <si>
    <t xml:space="preserve">=$B$50/J37</t>
  </si>
  <si>
    <t xml:space="preserve">L37</t>
  </si>
  <si>
    <t xml:space="preserve">=I37/K37</t>
  </si>
  <si>
    <t xml:space="preserve">M37</t>
  </si>
  <si>
    <t xml:space="preserve">6b. Benefit - Global - Vessel</t>
  </si>
  <si>
    <t xml:space="preserve">A22</t>
  </si>
  <si>
    <t xml:space="preserve">High (Bilal-Kanzig 2024)</t>
  </si>
  <si>
    <t xml:space="preserve">Label follows 6a A45.</t>
  </si>
  <si>
    <t xml:space="preserve">6c. Benefit - Global Piggyback</t>
  </si>
  <si>
    <t xml:space="preserve">A31</t>
  </si>
  <si>
    <t xml:space="preserve">A23</t>
  </si>
  <si>
    <t xml:space="preserve">F27/F15</t>
  </si>
  <si>
    <t xml:space="preserve">All values $B/yr: global GDP ($110T) x damage %/degC. One degree-year ≈ $700B low, $3,600B central, $13,000B high. Central = Burke 2015 at 3.3%/degC (post-Kotz retraction).</t>
  </si>
  <si>
    <t xml:space="preserve">Text follows the updated anchors.</t>
  </si>
  <si>
    <t xml:space="preserve">A32</t>
  </si>
  <si>
    <t xml:space="preserve">=C20*B17</t>
  </si>
  <si>
    <t xml:space="preserve">=C20*B17*'6a. Cooling Model - Global'!$B$46</t>
  </si>
  <si>
    <t xml:space="preserve">Apply the response lag factor (default 1.0, no change).</t>
  </si>
  <si>
    <t xml:space="preserve">D21</t>
  </si>
  <si>
    <t xml:space="preserve">=C21*B17</t>
  </si>
  <si>
    <t xml:space="preserve">=C21*B17*'6a. Cooling Model - Global'!$B$46</t>
  </si>
  <si>
    <t xml:space="preserve">=C22*B17</t>
  </si>
  <si>
    <t xml:space="preserve">=C22*B17*'6a. Cooling Model - Global'!$B$46</t>
  </si>
  <si>
    <t xml:space="preserve">D29</t>
  </si>
  <si>
    <t xml:space="preserve">=C29*B26</t>
  </si>
  <si>
    <t xml:space="preserve">=C29*B26*'6a. Cooling Model - Global'!$B$46</t>
  </si>
  <si>
    <t xml:space="preserve">=C30*B26</t>
  </si>
  <si>
    <t xml:space="preserve">=C30*B26*'6a. Cooling Model - Global'!$B$46</t>
  </si>
  <si>
    <t xml:space="preserve">D31</t>
  </si>
  <si>
    <t xml:space="preserve">=C31*B26</t>
  </si>
  <si>
    <t xml:space="preserve">=C31*B26*'6a. Cooling Model - Global'!$B$46</t>
  </si>
  <si>
    <t xml:space="preserve">2. Cost Inputs</t>
  </si>
  <si>
    <t xml:space="preserve">A60</t>
  </si>
  <si>
    <t xml:space="preserve">F08</t>
  </si>
  <si>
    <t xml:space="preserve">A61</t>
  </si>
  <si>
    <t xml:space="preserve">New input.</t>
  </si>
  <si>
    <t xml:space="preserve">B61</t>
  </si>
  <si>
    <t xml:space="preserve">3.206</t>
  </si>
  <si>
    <t xml:space="preserve">t CO2 per t marine diesel/gas oil.</t>
  </si>
  <si>
    <t xml:space="preserve">C61</t>
  </si>
  <si>
    <t xml:space="preserve">E61</t>
  </si>
  <si>
    <t xml:space="preserve">F61</t>
  </si>
  <si>
    <t xml:space="preserve">A62</t>
  </si>
  <si>
    <t xml:space="preserve">B62</t>
  </si>
  <si>
    <t xml:space="preserve">0.845</t>
  </si>
  <si>
    <t xml:space="preserve">Converts vessel fuel litres to tonnes.</t>
  </si>
  <si>
    <t xml:space="preserve">C62</t>
  </si>
  <si>
    <t xml:space="preserve">E62</t>
  </si>
  <si>
    <t xml:space="preserve">F62</t>
  </si>
  <si>
    <t xml:space="preserve">A63</t>
  </si>
  <si>
    <t xml:space="preserve">B63</t>
  </si>
  <si>
    <t xml:space="preserve">190</t>
  </si>
  <si>
    <t xml:space="preserve">EPA 2023 central social cost of CO2.</t>
  </si>
  <si>
    <t xml:space="preserve">US EPA 2023 SC-GHG report Table ES.1; IWG 2021 TSD Table ES-1</t>
  </si>
  <si>
    <t xml:space="preserve">C63</t>
  </si>
  <si>
    <t xml:space="preserve">E63</t>
  </si>
  <si>
    <t xml:space="preserve">F63</t>
  </si>
  <si>
    <t xml:space="preserve">A64</t>
  </si>
  <si>
    <t xml:space="preserve">New link.</t>
  </si>
  <si>
    <t xml:space="preserve">B64</t>
  </si>
  <si>
    <t xml:space="preserve">='6c. Benefit - Global Piggyback'!B50</t>
  </si>
  <si>
    <t xml:space="preserve">Linked to the existing 6c input (200 g/kWh).</t>
  </si>
  <si>
    <t xml:space="preserve">C64</t>
  </si>
  <si>
    <t xml:space="preserve">E64</t>
  </si>
  <si>
    <t xml:space="preserve">F64</t>
  </si>
  <si>
    <t xml:space="preserve">3a. Outputs - Dedicated Vessel</t>
  </si>
  <si>
    <t xml:space="preserve">New metric.</t>
  </si>
  <si>
    <t xml:space="preserve">G15</t>
  </si>
  <si>
    <t xml:space="preserve">=('2. Cost Inputs'!$B$24*'2. Cost Inputs'!$B$64+($B$24+$B$25)*'2. Cost Inputs'!$B$62/$B$22)/1000*'2. Cost Inputs'!$B$61</t>
  </si>
  <si>
    <t xml:space="preserve">Spray gensets (kWh/t x fuel rate) plus vessel propulsion and hotel fuel, x CO2 factor.</t>
  </si>
  <si>
    <t xml:space="preserve">H15</t>
  </si>
  <si>
    <t xml:space="preserve">A14</t>
  </si>
  <si>
    <t xml:space="preserve">New line below the total; G5 stays the private cost.</t>
  </si>
  <si>
    <t xml:space="preserve">B14</t>
  </si>
  <si>
    <t xml:space="preserve">=B13+G15*'2. Cost Inputs'!$B$63*$B$22</t>
  </si>
  <si>
    <t xml:space="preserve">Annual cost plus diesel CO2 at the tab 2 carbon price ($190 default, 0 to exclude).</t>
  </si>
  <si>
    <t xml:space="preserve">C14</t>
  </si>
  <si>
    <t xml:space="preserve">=B14/$B$22</t>
  </si>
  <si>
    <t xml:space="preserve">Per tonne. Equals G5 + G15 x carbon price.</t>
  </si>
  <si>
    <t xml:space="preserve">3b. Outputs - Ship Piggyback</t>
  </si>
  <si>
    <t xml:space="preserve">A44</t>
  </si>
  <si>
    <t xml:space="preserve">B44</t>
  </si>
  <si>
    <t xml:space="preserve">='2. Cost Inputs'!$B$24*'2. Cost Inputs'!$B$64/1000*'2. Cost Inputs'!$B$61</t>
  </si>
  <si>
    <t xml:space="preserve">Spray energy x genset fuel rate x CO2 factor. Host-ship propulsion is not charged to MCB.</t>
  </si>
  <si>
    <t xml:space="preserve">C44</t>
  </si>
  <si>
    <t xml:space="preserve">D44</t>
  </si>
  <si>
    <t xml:space="preserve">=C32+B44*'2. Cost Inputs'!$B$63</t>
  </si>
  <si>
    <t xml:space="preserve">C32 plus diesel CO2 at the tab 2 carbon price. 6c uses this.</t>
  </si>
  <si>
    <t xml:space="preserve">C45</t>
  </si>
  <si>
    <t xml:space="preserve">D45</t>
  </si>
  <si>
    <t xml:space="preserve">3c. Outputs - Fixed Platform</t>
  </si>
  <si>
    <t xml:space="preserve">A2</t>
  </si>
  <si>
    <t xml:space="preserve">F09</t>
  </si>
  <si>
    <t xml:space="preserve">Fixed platforms: stay put, run continuously, shore or renewable power, no propulsion fuel. Cable to shore not priced: beyond a few km it can rival platform capex (~$0.8-1.5M/km HVAC export, install +30-60%, 2025-26 market data).</t>
  </si>
  <si>
    <t xml:space="preserve">Text updated; the cable is now priced.</t>
  </si>
  <si>
    <t xml:space="preserve">A42</t>
  </si>
  <si>
    <t xml:space="preserve">A43</t>
  </si>
  <si>
    <t xml:space="preserve">B43</t>
  </si>
  <si>
    <t xml:space="preserve">5</t>
  </si>
  <si>
    <t xml:space="preserve">Near-shore platform.</t>
  </si>
  <si>
    <t xml:space="preserve">C43</t>
  </si>
  <si>
    <t xml:space="preserve">D43</t>
  </si>
  <si>
    <t xml:space="preserve">G43</t>
  </si>
  <si>
    <t xml:space="preserve">455000</t>
  </si>
  <si>
    <t xml:space="preserve">ORBIT central for 33-66 kV array cable.</t>
  </si>
  <si>
    <t xml:space="preserve">NREL ORBIT cable library; BVG Associates 2023</t>
  </si>
  <si>
    <t xml:space="preserve">0.45</t>
  </si>
  <si>
    <t xml:space="preserve">Midpoint of +30-60%.</t>
  </si>
  <si>
    <t xml:space="preserve">BVG Associates 2023</t>
  </si>
  <si>
    <t xml:space="preserve">=B43*B44*(1+B45)</t>
  </si>
  <si>
    <t xml:space="preserve">Length x supply x (1 + install markup).</t>
  </si>
  <si>
    <t xml:space="preserve">D46</t>
  </si>
  <si>
    <t xml:space="preserve">B24</t>
  </si>
  <si>
    <t xml:space="preserve">=B21+B22+B23</t>
  </si>
  <si>
    <t xml:space="preserve">=B21+B22+B23+B46</t>
  </si>
  <si>
    <t xml:space="preserve">Include the shore cable in purchased equipment.</t>
  </si>
  <si>
    <t xml:space="preserve">C51</t>
  </si>
  <si>
    <t xml:space="preserve">F07</t>
  </si>
  <si>
    <t xml:space="preserve">=('2. Cost Inputs'!$B$25*($B$18+$B$20)*365*'2. Cost Inputs'!$B$5)</t>
  </si>
  <si>
    <t xml:space="preserve">=$B$24+$B$25</t>
  </si>
  <si>
    <t xml:space="preserve">Vessel fuel includes hotel burn, as in B12 (was propulsion only, $810/t low).</t>
  </si>
  <si>
    <t xml:space="preserve">B31</t>
  </si>
  <si>
    <t xml:space="preserve">='2. Cost Inputs'!B15*(B53/'2. Cost Inputs'!$B$5)</t>
  </si>
  <si>
    <t xml:space="preserve">=('2. Cost Inputs'!$B$14*1000/B49)*B50*'1. Technology Description'!$B$9*'1. Technology Description'!$B$12*86400*365*B53/1000</t>
  </si>
  <si>
    <t xml:space="preserve">Power-sized production: fixed plant / W per nozzle x per-nozzle output x utilization.</t>
  </si>
  <si>
    <t xml:space="preserve">B32</t>
  </si>
  <si>
    <t xml:space="preserve">=B49*24/1000/('1. Technology Description'!B13/10^6)</t>
  </si>
  <si>
    <t xml:space="preserve">=B49*24/1000/(B50*'1. Technology Description'!$B$9*'1. Technology Description'!$B$12*86400/1000)</t>
  </si>
  <si>
    <t xml:space="preserve">Energy intensity follows both power and particle rate.</t>
  </si>
  <si>
    <t xml:space="preserve">B33</t>
  </si>
  <si>
    <t xml:space="preserve">=('2. Cost Inputs'!B13*B54+'2. Cost Inputs'!B13*B49/1000*B59+1*('2. Cost Inputs'!D42+'2. Cost Inputs'!D43+'2. Cost Inputs'!D44))*(1+'2. Cost Inputs'!B49+'2. Cost Inputs'!B50+'2. Cost Inputs'!B51+'2. Cost Inputs'!B52)</t>
  </si>
  <si>
    <t xml:space="preserve">=(('2. Cost Inputs'!$B$14*1000/B49)*B54+'2. Cost Inputs'!$B$14*B59+'2. Cost Inputs'!$D$42+B55)*(1+'2. Cost Inputs'!$B$49+'2. Cost Inputs'!$B$50+'2. Cost Inputs'!$B$52)+(('2. Cost Inputs'!$B$14*1000/B49)*B54+'2. Cost Inputs'!$B$14*B59+'2. Cost Inputs'!$D$42)*'2. Cost Inputs'!$B$51</t>
  </si>
  <si>
    <t xml:space="preserve">Capex built like tab 2 B53 (marinization on equipment only; vessel = purchase + integration).</t>
  </si>
  <si>
    <t xml:space="preserve">B38</t>
  </si>
  <si>
    <t xml:space="preserve">=1*6*B52</t>
  </si>
  <si>
    <t xml:space="preserve">='2. Cost Inputs'!$B$31*B52</t>
  </si>
  <si>
    <t xml:space="preserve">Crew count from tab 2 instead of a typed 6.</t>
  </si>
  <si>
    <t xml:space="preserve">=B51*'2. Cost Inputs'!D25*1</t>
  </si>
  <si>
    <t xml:space="preserve">=B51*'2. Cost Inputs'!$D$25</t>
  </si>
  <si>
    <t xml:space="preserve">Vessel fuel incl. hotel.</t>
  </si>
  <si>
    <t xml:space="preserve">C31</t>
  </si>
  <si>
    <t xml:space="preserve">='2. Cost Inputs'!B15*(C53/'2. Cost Inputs'!$B$5)</t>
  </si>
  <si>
    <t xml:space="preserve">=('2. Cost Inputs'!$B$14*1000/C49)*C50*'1. Technology Description'!$B$9*'1. Technology Description'!$B$12*86400*365*C53/1000</t>
  </si>
  <si>
    <t xml:space="preserve">C32</t>
  </si>
  <si>
    <t xml:space="preserve">=C49*24/1000/('1. Technology Description'!B13/10^6)</t>
  </si>
  <si>
    <t xml:space="preserve">=C49*24/1000/(C50*'1. Technology Description'!$B$9*'1. Technology Description'!$B$12*86400/1000)</t>
  </si>
  <si>
    <t xml:space="preserve">C33</t>
  </si>
  <si>
    <t xml:space="preserve">=('2. Cost Inputs'!B13*C54+'2. Cost Inputs'!B13*C49/1000*C59+1*('2. Cost Inputs'!D42+'2. Cost Inputs'!D43+'2. Cost Inputs'!D44))*(1+'2. Cost Inputs'!B49+'2. Cost Inputs'!B50+'2. Cost Inputs'!B51+'2. Cost Inputs'!B52)</t>
  </si>
  <si>
    <t xml:space="preserve">=(('2. Cost Inputs'!$B$14*1000/C49)*C54+'2. Cost Inputs'!$B$14*C59+'2. Cost Inputs'!$D$42+C55)*(1+'2. Cost Inputs'!$B$49+'2. Cost Inputs'!$B$50+'2. Cost Inputs'!$B$52)+(('2. Cost Inputs'!$B$14*1000/C49)*C54+'2. Cost Inputs'!$B$14*C59+'2. Cost Inputs'!$D$42)*'2. Cost Inputs'!$B$51</t>
  </si>
  <si>
    <t xml:space="preserve">C38</t>
  </si>
  <si>
    <t xml:space="preserve">=1*6*C52</t>
  </si>
  <si>
    <t xml:space="preserve">='2. Cost Inputs'!$B$31*C52</t>
  </si>
  <si>
    <t xml:space="preserve">=C51*'2. Cost Inputs'!D25*1</t>
  </si>
  <si>
    <t xml:space="preserve">=C51*'2. Cost Inputs'!$D$25</t>
  </si>
  <si>
    <t xml:space="preserve">='2. Cost Inputs'!B15*(D53/'2. Cost Inputs'!$B$5)</t>
  </si>
  <si>
    <t xml:space="preserve">=('2. Cost Inputs'!$B$14*1000/D49)*D50*'1. Technology Description'!$B$9*'1. Technology Description'!$B$12*86400*365*D53/1000</t>
  </si>
  <si>
    <t xml:space="preserve">=D49*24/1000/('1. Technology Description'!B13/10^6)</t>
  </si>
  <si>
    <t xml:space="preserve">=D49*24/1000/(D50*'1. Technology Description'!$B$9*'1. Technology Description'!$B$12*86400/1000)</t>
  </si>
  <si>
    <t xml:space="preserve">D33</t>
  </si>
  <si>
    <t xml:space="preserve">=('2. Cost Inputs'!B13*D54+'2. Cost Inputs'!B13*D49/1000*D59+1*('2. Cost Inputs'!D42+'2. Cost Inputs'!D43+'2. Cost Inputs'!D44))*(1+'2. Cost Inputs'!B49+'2. Cost Inputs'!B50+'2. Cost Inputs'!B51+'2. Cost Inputs'!B52)</t>
  </si>
  <si>
    <t xml:space="preserve">=(('2. Cost Inputs'!$B$14*1000/D49)*D54+'2. Cost Inputs'!$B$14*D59+'2. Cost Inputs'!$D$42+D55)*(1+'2. Cost Inputs'!$B$49+'2. Cost Inputs'!$B$50+'2. Cost Inputs'!$B$52)+(('2. Cost Inputs'!$B$14*1000/D49)*D54+'2. Cost Inputs'!$B$14*D59+'2. Cost Inputs'!$D$42)*'2. Cost Inputs'!$B$51</t>
  </si>
  <si>
    <t xml:space="preserve">D38</t>
  </si>
  <si>
    <t xml:space="preserve">=1*6*D52</t>
  </si>
  <si>
    <t xml:space="preserve">='2. Cost Inputs'!$B$31*D52</t>
  </si>
  <si>
    <t xml:space="preserve">=D51*'2. Cost Inputs'!D25*1</t>
  </si>
  <si>
    <t xml:space="preserve">=D51*'2. Cost Inputs'!$D$25</t>
  </si>
  <si>
    <t xml:space="preserve">E31</t>
  </si>
  <si>
    <t xml:space="preserve">F49</t>
  </si>
  <si>
    <t xml:space="preserve">Worst = 1.5x (degradation/losses). Best = 0.1x miracle machine (electrospray-class): same rate at one-tenth power.</t>
  </si>
  <si>
    <t xml:space="preserve">Note reflects power-based sizing.</t>
  </si>
  <si>
    <t xml:space="preserve">AK49</t>
  </si>
  <si>
    <t xml:space="preserve">Header for the new production column.</t>
  </si>
  <si>
    <t xml:space="preserve">W50</t>
  </si>
  <si>
    <t xml:space="preserve">=ROUNDUP($B$22/V50,0)</t>
  </si>
  <si>
    <t xml:space="preserve">='2. Cost Inputs'!$B$14*1000/'1. Technology Description'!$B$17</t>
  </si>
  <si>
    <t xml:space="preserve">Nozzles = fixed plant / W per nozzle (power-based sizing). Was ROUNDUP(B22/V) (old count-based sizing).</t>
  </si>
  <si>
    <t xml:space="preserve">X50</t>
  </si>
  <si>
    <t xml:space="preserve">=W50*'1. Technology Description'!$B$17/1000</t>
  </si>
  <si>
    <t xml:space="preserve">='2. Cost Inputs'!$B$14</t>
  </si>
  <si>
    <t xml:space="preserve">Plant fixed at tab 2 B14.</t>
  </si>
  <si>
    <t xml:space="preserve">AK50</t>
  </si>
  <si>
    <t xml:space="preserve">=W50*V50</t>
  </si>
  <si>
    <t xml:space="preserve">Production for this case.</t>
  </si>
  <si>
    <t xml:space="preserve">AE50</t>
  </si>
  <si>
    <t xml:space="preserve">=AD50*Q50*$B$22</t>
  </si>
  <si>
    <t xml:space="preserve">=AD50*Q50*AK50</t>
  </si>
  <si>
    <t xml:space="preserve">Energy on this case's production (was live B22).</t>
  </si>
  <si>
    <t xml:space="preserve">AF50</t>
  </si>
  <si>
    <t xml:space="preserve">=Y50*6*S50</t>
  </si>
  <si>
    <t xml:space="preserve">=Y50*'2. Cost Inputs'!$B$31*S50</t>
  </si>
  <si>
    <t xml:space="preserve">Crew count from tab 2.</t>
  </si>
  <si>
    <t xml:space="preserve">AI50</t>
  </si>
  <si>
    <t xml:space="preserve">=AC50+AE50+AF50+AG50+AH50+(('1. Technology Description'!$B$24/(U50/1000000)/1000)*'1. Technology Description'!$B$26*'2. Cost Inputs'!$D$28*$B$22)</t>
  </si>
  <si>
    <t xml:space="preserve">=AC50+AE50+AF50+AG50+AH50+(('1. Technology Description'!$B$24/(U50/1000000)/1000)*'1. Technology Description'!$B$26*'2. Cost Inputs'!$D$28*AK50)</t>
  </si>
  <si>
    <t xml:space="preserve">Seawater term on this case's production.</t>
  </si>
  <si>
    <t xml:space="preserve">AJ50</t>
  </si>
  <si>
    <t xml:space="preserve">=AI50/$B$22</t>
  </si>
  <si>
    <t xml:space="preserve">=AI50/AK50</t>
  </si>
  <si>
    <t xml:space="preserve">$/t on this case's production (was divided by live B22).</t>
  </si>
  <si>
    <t xml:space="preserve">R50</t>
  </si>
  <si>
    <t xml:space="preserve">=((K50/'2. Cost Inputs'!$B$5-$B$19+$B$20)*'2. Cost Inputs'!$B$25+(K50/'2. Cost Inputs'!$B$5+$B$20)*'2. Cost Inputs'!$B$26)*365*'2. Cost Inputs'!$B$5</t>
  </si>
  <si>
    <t xml:space="preserve">Propulsion + hotel fuel, following utilization (was propulsion only).</t>
  </si>
  <si>
    <t xml:space="preserve">W51</t>
  </si>
  <si>
    <t xml:space="preserve">=ROUNDUP($B$22/V51,0)</t>
  </si>
  <si>
    <t xml:space="preserve">='2. Cost Inputs'!$B$14*1000/J51</t>
  </si>
  <si>
    <t xml:space="preserve">X51</t>
  </si>
  <si>
    <t xml:space="preserve">=W51*J51/1000</t>
  </si>
  <si>
    <t xml:space="preserve">AK51</t>
  </si>
  <si>
    <t xml:space="preserve">=W51*V51</t>
  </si>
  <si>
    <t xml:space="preserve">AE51</t>
  </si>
  <si>
    <t xml:space="preserve">=AD51*Q51*$B$22</t>
  </si>
  <si>
    <t xml:space="preserve">=AD51*Q51*AK51</t>
  </si>
  <si>
    <t xml:space="preserve">AF51</t>
  </si>
  <si>
    <t xml:space="preserve">=Y51*6*S51</t>
  </si>
  <si>
    <t xml:space="preserve">=Y51*'2. Cost Inputs'!$B$31*S51</t>
  </si>
  <si>
    <t xml:space="preserve">AI51</t>
  </si>
  <si>
    <t xml:space="preserve">=AC51+AE51+AF51+AG51+AH51+(('1. Technology Description'!$B$24/(U51/1000000)/1000)*'1. Technology Description'!$B$26*'2. Cost Inputs'!$D$28*$B$22)</t>
  </si>
  <si>
    <t xml:space="preserve">=AC51+AE51+AF51+AG51+AH51+(('1. Technology Description'!$B$24/(U51/1000000)/1000)*'1. Technology Description'!$B$26*'2. Cost Inputs'!$D$28*AK51)</t>
  </si>
  <si>
    <t xml:space="preserve">AJ51</t>
  </si>
  <si>
    <t xml:space="preserve">=AI51/$B$22</t>
  </si>
  <si>
    <t xml:space="preserve">=AI51/AK51</t>
  </si>
  <si>
    <t xml:space="preserve">R51</t>
  </si>
  <si>
    <t xml:space="preserve">=((K51/'2. Cost Inputs'!$B$5-$B$19+$B$20)*'2. Cost Inputs'!$B$25+(K51/'2. Cost Inputs'!$B$5+$B$20)*'2. Cost Inputs'!$B$26)*365*'2. Cost Inputs'!$B$5</t>
  </si>
  <si>
    <t xml:space="preserve">W52</t>
  </si>
  <si>
    <t xml:space="preserve">=ROUNDUP($B$22/V52,0)</t>
  </si>
  <si>
    <t xml:space="preserve">='2. Cost Inputs'!$B$14*1000/J52</t>
  </si>
  <si>
    <t xml:space="preserve">X52</t>
  </si>
  <si>
    <t xml:space="preserve">=W52*J52/1000</t>
  </si>
  <si>
    <t xml:space="preserve">AK52</t>
  </si>
  <si>
    <t xml:space="preserve">=W52*V52</t>
  </si>
  <si>
    <t xml:space="preserve">AE52</t>
  </si>
  <si>
    <t xml:space="preserve">=AD52*Q52*$B$22</t>
  </si>
  <si>
    <t xml:space="preserve">=AD52*Q52*AK52</t>
  </si>
  <si>
    <t xml:space="preserve">AF52</t>
  </si>
  <si>
    <t xml:space="preserve">=Y52*6*S52</t>
  </si>
  <si>
    <t xml:space="preserve">=Y52*'2. Cost Inputs'!$B$31*S52</t>
  </si>
  <si>
    <t xml:space="preserve">AI52</t>
  </si>
  <si>
    <t xml:space="preserve">=AC52+AE52+AF52+AG52+AH52+(('1. Technology Description'!$B$24/(U52/1000000)/1000)*'1. Technology Description'!$B$26*'2. Cost Inputs'!$D$28*$B$22)</t>
  </si>
  <si>
    <t xml:space="preserve">=AC52+AE52+AF52+AG52+AH52+(('1. Technology Description'!$B$24/(U52/1000000)/1000)*'1. Technology Description'!$B$26*'2. Cost Inputs'!$D$28*AK52)</t>
  </si>
  <si>
    <t xml:space="preserve">AJ52</t>
  </si>
  <si>
    <t xml:space="preserve">=AI52/$B$22</t>
  </si>
  <si>
    <t xml:space="preserve">=AI52/AK52</t>
  </si>
  <si>
    <t xml:space="preserve">R52</t>
  </si>
  <si>
    <t xml:space="preserve">=((K52/'2. Cost Inputs'!$B$5-$B$19+$B$20)*'2. Cost Inputs'!$B$25+(K52/'2. Cost Inputs'!$B$5+$B$20)*'2. Cost Inputs'!$B$26)*365*'2. Cost Inputs'!$B$5</t>
  </si>
  <si>
    <t xml:space="preserve">W53</t>
  </si>
  <si>
    <t xml:space="preserve">=ROUNDUP($B$22/V53,0)</t>
  </si>
  <si>
    <t xml:space="preserve">X53</t>
  </si>
  <si>
    <t xml:space="preserve">=W53*'1. Technology Description'!$B$17/1000</t>
  </si>
  <si>
    <t xml:space="preserve">AK53</t>
  </si>
  <si>
    <t xml:space="preserve">=W53*V53</t>
  </si>
  <si>
    <t xml:space="preserve">AE53</t>
  </si>
  <si>
    <t xml:space="preserve">=AD53*Q53*$B$22</t>
  </si>
  <si>
    <t xml:space="preserve">=AD53*Q53*AK53</t>
  </si>
  <si>
    <t xml:space="preserve">AF53</t>
  </si>
  <si>
    <t xml:space="preserve">=Y53*6*S53</t>
  </si>
  <si>
    <t xml:space="preserve">=Y53*'2. Cost Inputs'!$B$31*S53</t>
  </si>
  <si>
    <t xml:space="preserve">AI53</t>
  </si>
  <si>
    <t xml:space="preserve">=AC53+AE53+AF53+AG53+AH53+(('1. Technology Description'!$B$24/(U53/1000000)/1000)*'1. Technology Description'!$B$26*'2. Cost Inputs'!$D$28*$B$22)</t>
  </si>
  <si>
    <t xml:space="preserve">=AC53+AE53+AF53+AG53+AH53+(('1. Technology Description'!$B$24/(U53/1000000)/1000)*'1. Technology Description'!$B$26*'2. Cost Inputs'!$D$28*AK53)</t>
  </si>
  <si>
    <t xml:space="preserve">AJ53</t>
  </si>
  <si>
    <t xml:space="preserve">=AI53/$B$22</t>
  </si>
  <si>
    <t xml:space="preserve">=AI53/AK53</t>
  </si>
  <si>
    <t xml:space="preserve">W54</t>
  </si>
  <si>
    <t xml:space="preserve">=ROUNDUP($B$22/V54,0)</t>
  </si>
  <si>
    <t xml:space="preserve">X54</t>
  </si>
  <si>
    <t xml:space="preserve">=W54*'1. Technology Description'!$B$17/1000</t>
  </si>
  <si>
    <t xml:space="preserve">AK54</t>
  </si>
  <si>
    <t xml:space="preserve">=W54*V54</t>
  </si>
  <si>
    <t xml:space="preserve">AE54</t>
  </si>
  <si>
    <t xml:space="preserve">=AD54*Q54*$B$22</t>
  </si>
  <si>
    <t xml:space="preserve">=AD54*Q54*AK54</t>
  </si>
  <si>
    <t xml:space="preserve">AF54</t>
  </si>
  <si>
    <t xml:space="preserve">=Y54*6*S54</t>
  </si>
  <si>
    <t xml:space="preserve">=Y54*'2. Cost Inputs'!$B$31*S54</t>
  </si>
  <si>
    <t xml:space="preserve">AI54</t>
  </si>
  <si>
    <t xml:space="preserve">=AC54+AE54+AF54+AG54+AH54+(('1. Technology Description'!$B$24/(U54/1000000)/1000)*'1. Technology Description'!$B$26*'2. Cost Inputs'!$D$28*$B$22)</t>
  </si>
  <si>
    <t xml:space="preserve">=AC54+AE54+AF54+AG54+AH54+(('1. Technology Description'!$B$24/(U54/1000000)/1000)*'1. Technology Description'!$B$26*'2. Cost Inputs'!$D$28*AK54)</t>
  </si>
  <si>
    <t xml:space="preserve">AJ54</t>
  </si>
  <si>
    <t xml:space="preserve">=AI54/$B$22</t>
  </si>
  <si>
    <t xml:space="preserve">=AI54/AK54</t>
  </si>
  <si>
    <t xml:space="preserve">W55</t>
  </si>
  <si>
    <t xml:space="preserve">=ROUNDUP($B$22/V55,0)</t>
  </si>
  <si>
    <t xml:space="preserve">X55</t>
  </si>
  <si>
    <t xml:space="preserve">=W55*'1. Technology Description'!$B$17/1000</t>
  </si>
  <si>
    <t xml:space="preserve">AK55</t>
  </si>
  <si>
    <t xml:space="preserve">=W55*V55</t>
  </si>
  <si>
    <t xml:space="preserve">AE55</t>
  </si>
  <si>
    <t xml:space="preserve">=AD55*Q55*$B$22</t>
  </si>
  <si>
    <t xml:space="preserve">=AD55*Q55*AK55</t>
  </si>
  <si>
    <t xml:space="preserve">AF55</t>
  </si>
  <si>
    <t xml:space="preserve">=Y55*6*S55</t>
  </si>
  <si>
    <t xml:space="preserve">=Y55*'2. Cost Inputs'!$B$31*S55</t>
  </si>
  <si>
    <t xml:space="preserve">AI55</t>
  </si>
  <si>
    <t xml:space="preserve">=AC55+AE55+AF55+AG55+AH55+(('1. Technology Description'!$B$24/(U55/1000000)/1000)*'1. Technology Description'!$B$26*'2. Cost Inputs'!$D$28*$B$22)</t>
  </si>
  <si>
    <t xml:space="preserve">=AC55+AE55+AF55+AG55+AH55+(('1. Technology Description'!$B$24/(U55/1000000)/1000)*'1. Technology Description'!$B$26*'2. Cost Inputs'!$D$28*AK55)</t>
  </si>
  <si>
    <t xml:space="preserve">AJ55</t>
  </si>
  <si>
    <t xml:space="preserve">=AI55/$B$22</t>
  </si>
  <si>
    <t xml:space="preserve">=AI55/AK55</t>
  </si>
  <si>
    <t xml:space="preserve">R55</t>
  </si>
  <si>
    <t xml:space="preserve">=((K55/'2. Cost Inputs'!$B$5-$B$19+$B$20)*'2. Cost Inputs'!$B$25+(K55/'2. Cost Inputs'!$B$5+$B$20)*'2. Cost Inputs'!$B$26)*365*'2. Cost Inputs'!$B$5</t>
  </si>
  <si>
    <t xml:space="preserve">W56</t>
  </si>
  <si>
    <t xml:space="preserve">=ROUNDUP($B$22/V56,0)</t>
  </si>
  <si>
    <t xml:space="preserve">X56</t>
  </si>
  <si>
    <t xml:space="preserve">=W56*'1. Technology Description'!$B$17/1000</t>
  </si>
  <si>
    <t xml:space="preserve">AK56</t>
  </si>
  <si>
    <t xml:space="preserve">=W56*V56</t>
  </si>
  <si>
    <t xml:space="preserve">AE56</t>
  </si>
  <si>
    <t xml:space="preserve">=AD56*Q56*$B$22</t>
  </si>
  <si>
    <t xml:space="preserve">=AD56*Q56*AK56</t>
  </si>
  <si>
    <t xml:space="preserve">AF56</t>
  </si>
  <si>
    <t xml:space="preserve">=Y56*6*S56</t>
  </si>
  <si>
    <t xml:space="preserve">=Y56*'2. Cost Inputs'!$B$31*S56</t>
  </si>
  <si>
    <t xml:space="preserve">AI56</t>
  </si>
  <si>
    <t xml:space="preserve">=AC56+AE56+AF56+AG56+AH56+(('1. Technology Description'!$B$24/(U56/1000000)/1000)*'1. Technology Description'!$B$26*'2. Cost Inputs'!$D$28*$B$22)</t>
  </si>
  <si>
    <t xml:space="preserve">=AC56+AE56+AF56+AG56+AH56+(('1. Technology Description'!$B$24/(U56/1000000)/1000)*'1. Technology Description'!$B$26*'2. Cost Inputs'!$D$28*AK56)</t>
  </si>
  <si>
    <t xml:space="preserve">AJ56</t>
  </si>
  <si>
    <t xml:space="preserve">=AI56/$B$22</t>
  </si>
  <si>
    <t xml:space="preserve">=AI56/AK56</t>
  </si>
  <si>
    <t xml:space="preserve">R56</t>
  </si>
  <si>
    <t xml:space="preserve">=((K56/'2. Cost Inputs'!$B$5-$B$19+$B$20)*'2. Cost Inputs'!$B$25+(K56/'2. Cost Inputs'!$B$5+$B$20)*'2. Cost Inputs'!$B$26)*365*'2. Cost Inputs'!$B$5</t>
  </si>
  <si>
    <t xml:space="preserve">W57</t>
  </si>
  <si>
    <t xml:space="preserve">=ROUNDUP($B$22/V57,0)</t>
  </si>
  <si>
    <t xml:space="preserve">X57</t>
  </si>
  <si>
    <t xml:space="preserve">=W57*'1. Technology Description'!$B$17/1000</t>
  </si>
  <si>
    <t xml:space="preserve">AK57</t>
  </si>
  <si>
    <t xml:space="preserve">=W57*V57</t>
  </si>
  <si>
    <t xml:space="preserve">AE57</t>
  </si>
  <si>
    <t xml:space="preserve">=AD57*Q57*$B$22</t>
  </si>
  <si>
    <t xml:space="preserve">=AD57*Q57*AK57</t>
  </si>
  <si>
    <t xml:space="preserve">AF57</t>
  </si>
  <si>
    <t xml:space="preserve">=Y57*6*S57</t>
  </si>
  <si>
    <t xml:space="preserve">=Y57*'2. Cost Inputs'!$B$31*S57</t>
  </si>
  <si>
    <t xml:space="preserve">AI57</t>
  </si>
  <si>
    <t xml:space="preserve">=AC57+AE57+AF57+AG57+AH57+(('1. Technology Description'!$B$24/(U57/1000000)/1000)*'1. Technology Description'!$B$26*'2. Cost Inputs'!$D$28*$B$22)</t>
  </si>
  <si>
    <t xml:space="preserve">=AC57+AE57+AF57+AG57+AH57+(('1. Technology Description'!$B$24/(U57/1000000)/1000)*'1. Technology Description'!$B$26*'2. Cost Inputs'!$D$28*AK57)</t>
  </si>
  <si>
    <t xml:space="preserve">AJ57</t>
  </si>
  <si>
    <t xml:space="preserve">=AI57/$B$22</t>
  </si>
  <si>
    <t xml:space="preserve">=AI57/AK57</t>
  </si>
  <si>
    <t xml:space="preserve">R57</t>
  </si>
  <si>
    <t xml:space="preserve">=((K57/'2. Cost Inputs'!$B$5-$B$19+$B$20)*'2. Cost Inputs'!$B$25+(K57/'2. Cost Inputs'!$B$5+$B$20)*'2. Cost Inputs'!$B$26)*365*'2. Cost Inputs'!$B$5</t>
  </si>
  <si>
    <t xml:space="preserve">W58</t>
  </si>
  <si>
    <t xml:space="preserve">=ROUNDUP($B$22/V58,0)</t>
  </si>
  <si>
    <t xml:space="preserve">X58</t>
  </si>
  <si>
    <t xml:space="preserve">=W58*'1. Technology Description'!$B$17/1000</t>
  </si>
  <si>
    <t xml:space="preserve">AK58</t>
  </si>
  <si>
    <t xml:space="preserve">=W58*V58</t>
  </si>
  <si>
    <t xml:space="preserve">AE58</t>
  </si>
  <si>
    <t xml:space="preserve">=AD58*Q58*$B$22</t>
  </si>
  <si>
    <t xml:space="preserve">=AD58*Q58*AK58</t>
  </si>
  <si>
    <t xml:space="preserve">AF58</t>
  </si>
  <si>
    <t xml:space="preserve">=Y58*6*S58</t>
  </si>
  <si>
    <t xml:space="preserve">=Y58*'2. Cost Inputs'!$B$31*S58</t>
  </si>
  <si>
    <t xml:space="preserve">AI58</t>
  </si>
  <si>
    <t xml:space="preserve">=AC58+AE58+AF58+AG58+AH58+(('1. Technology Description'!$B$24/(U58/1000000)/1000)*'1. Technology Description'!$B$26*'2. Cost Inputs'!$D$28*$B$22)</t>
  </si>
  <si>
    <t xml:space="preserve">=AC58+AE58+AF58+AG58+AH58+(('1. Technology Description'!$B$24/(U58/1000000)/1000)*'1. Technology Description'!$B$26*'2. Cost Inputs'!$D$28*AK58)</t>
  </si>
  <si>
    <t xml:space="preserve">AJ58</t>
  </si>
  <si>
    <t xml:space="preserve">=AI58/$B$22</t>
  </si>
  <si>
    <t xml:space="preserve">=AI58/AK58</t>
  </si>
  <si>
    <t xml:space="preserve">R58</t>
  </si>
  <si>
    <t xml:space="preserve">=((K58/'2. Cost Inputs'!$B$5-$B$19+$B$20)*'2. Cost Inputs'!$B$25+(K58/'2. Cost Inputs'!$B$5+$B$20)*'2. Cost Inputs'!$B$26)*365*'2. Cost Inputs'!$B$5</t>
  </si>
  <si>
    <t xml:space="preserve">W59</t>
  </si>
  <si>
    <t xml:space="preserve">=ROUNDUP($B$22/V59,0)</t>
  </si>
  <si>
    <t xml:space="preserve">X59</t>
  </si>
  <si>
    <t xml:space="preserve">=W59*'1. Technology Description'!$B$17/1000</t>
  </si>
  <si>
    <t xml:space="preserve">AK59</t>
  </si>
  <si>
    <t xml:space="preserve">=W59*V59</t>
  </si>
  <si>
    <t xml:space="preserve">AE59</t>
  </si>
  <si>
    <t xml:space="preserve">=AD59*Q59*$B$22</t>
  </si>
  <si>
    <t xml:space="preserve">=AD59*Q59*AK59</t>
  </si>
  <si>
    <t xml:space="preserve">AF59</t>
  </si>
  <si>
    <t xml:space="preserve">=Y59*6*S59</t>
  </si>
  <si>
    <t xml:space="preserve">=Y59*'2. Cost Inputs'!$B$31*S59</t>
  </si>
  <si>
    <t xml:space="preserve">AI59</t>
  </si>
  <si>
    <t xml:space="preserve">=AC59+AE59+AF59+AG59+AH59+(('1. Technology Description'!$B$24/(U59/1000000)/1000)*'1. Technology Description'!$B$26*'2. Cost Inputs'!$D$28*$B$22)</t>
  </si>
  <si>
    <t xml:space="preserve">=AC59+AE59+AF59+AG59+AH59+(('1. Technology Description'!$B$24/(U59/1000000)/1000)*'1. Technology Description'!$B$26*'2. Cost Inputs'!$D$28*AK59)</t>
  </si>
  <si>
    <t xml:space="preserve">AJ59</t>
  </si>
  <si>
    <t xml:space="preserve">=AI59/$B$22</t>
  </si>
  <si>
    <t xml:space="preserve">=AI59/AK59</t>
  </si>
  <si>
    <t xml:space="preserve">R59</t>
  </si>
  <si>
    <t xml:space="preserve">=((K59/'2. Cost Inputs'!$B$5-$B$19+$B$20)*'2. Cost Inputs'!$B$25+(K59/'2. Cost Inputs'!$B$5+$B$20)*'2. Cost Inputs'!$B$26)*365*'2. Cost Inputs'!$B$5</t>
  </si>
  <si>
    <t xml:space="preserve">W60</t>
  </si>
  <si>
    <t xml:space="preserve">=ROUNDUP($B$22/V60,0)</t>
  </si>
  <si>
    <t xml:space="preserve">X60</t>
  </si>
  <si>
    <t xml:space="preserve">=W60*'1. Technology Description'!$B$17/1000</t>
  </si>
  <si>
    <t xml:space="preserve">AK60</t>
  </si>
  <si>
    <t xml:space="preserve">=W60*V60</t>
  </si>
  <si>
    <t xml:space="preserve">AE60</t>
  </si>
  <si>
    <t xml:space="preserve">=AD60*Q60*$B$22</t>
  </si>
  <si>
    <t xml:space="preserve">=AD60*Q60*AK60</t>
  </si>
  <si>
    <t xml:space="preserve">AF60</t>
  </si>
  <si>
    <t xml:space="preserve">=Y60*6*S60</t>
  </si>
  <si>
    <t xml:space="preserve">=Y60*'2. Cost Inputs'!$B$31*S60</t>
  </si>
  <si>
    <t xml:space="preserve">AI60</t>
  </si>
  <si>
    <t xml:space="preserve">=AC60+AE60+AF60+AG60+AH60+(('1. Technology Description'!$B$24/(U60/1000000)/1000)*'1. Technology Description'!$B$26*'2. Cost Inputs'!$D$28*$B$22)</t>
  </si>
  <si>
    <t xml:space="preserve">=AC60+AE60+AF60+AG60+AH60+(('1. Technology Description'!$B$24/(U60/1000000)/1000)*'1. Technology Description'!$B$26*'2. Cost Inputs'!$D$28*AK60)</t>
  </si>
  <si>
    <t xml:space="preserve">AJ60</t>
  </si>
  <si>
    <t xml:space="preserve">=AI60/$B$22</t>
  </si>
  <si>
    <t xml:space="preserve">=AI60/AK60</t>
  </si>
  <si>
    <t xml:space="preserve">R60</t>
  </si>
  <si>
    <t xml:space="preserve">=((K60/'2. Cost Inputs'!$B$5-$B$19+$B$20)*'2. Cost Inputs'!$B$25+(K60/'2. Cost Inputs'!$B$5+$B$20)*'2. Cost Inputs'!$B$26)*365*'2. Cost Inputs'!$B$5</t>
  </si>
  <si>
    <t xml:space="preserve">W61</t>
  </si>
  <si>
    <t xml:space="preserve">=ROUNDUP($B$22/V61,0)</t>
  </si>
  <si>
    <t xml:space="preserve">X61</t>
  </si>
  <si>
    <t xml:space="preserve">=W61*'1. Technology Description'!$B$17/1000</t>
  </si>
  <si>
    <t xml:space="preserve">AK61</t>
  </si>
  <si>
    <t xml:space="preserve">=W61*V61</t>
  </si>
  <si>
    <t xml:space="preserve">AE61</t>
  </si>
  <si>
    <t xml:space="preserve">=AD61*Q61*$B$22</t>
  </si>
  <si>
    <t xml:space="preserve">=AD61*Q61*AK61</t>
  </si>
  <si>
    <t xml:space="preserve">AF61</t>
  </si>
  <si>
    <t xml:space="preserve">=Y61*6*S61</t>
  </si>
  <si>
    <t xml:space="preserve">=Y61*'2. Cost Inputs'!$B$31*S61</t>
  </si>
  <si>
    <t xml:space="preserve">AI61</t>
  </si>
  <si>
    <t xml:space="preserve">=AC61+AE61+AF61+AG61+AH61+(('1. Technology Description'!$B$24/(U61/1000000)/1000)*'1. Technology Description'!$B$26*'2. Cost Inputs'!$D$28*$B$22)</t>
  </si>
  <si>
    <t xml:space="preserve">=AC61+AE61+AF61+AG61+AH61+(('1. Technology Description'!$B$24/(U61/1000000)/1000)*'1. Technology Description'!$B$26*'2. Cost Inputs'!$D$28*AK61)</t>
  </si>
  <si>
    <t xml:space="preserve">AJ61</t>
  </si>
  <si>
    <t xml:space="preserve">=AI61/$B$22</t>
  </si>
  <si>
    <t xml:space="preserve">=AI61/AK61</t>
  </si>
  <si>
    <t xml:space="preserve">R61</t>
  </si>
  <si>
    <t xml:space="preserve">=((K61/'2. Cost Inputs'!$B$5-$B$19+$B$20)*'2. Cost Inputs'!$B$25+(K61/'2. Cost Inputs'!$B$5+$B$20)*'2. Cost Inputs'!$B$26)*365*'2. Cost Inputs'!$B$5</t>
  </si>
  <si>
    <t xml:space="preserve">W62</t>
  </si>
  <si>
    <t xml:space="preserve">=ROUNDUP($B$22/V62,0)</t>
  </si>
  <si>
    <t xml:space="preserve">X62</t>
  </si>
  <si>
    <t xml:space="preserve">=W62*'1. Technology Description'!$B$17/1000</t>
  </si>
  <si>
    <t xml:space="preserve">AK62</t>
  </si>
  <si>
    <t xml:space="preserve">=W62*V62</t>
  </si>
  <si>
    <t xml:space="preserve">AE62</t>
  </si>
  <si>
    <t xml:space="preserve">=AD62*Q62*$B$22</t>
  </si>
  <si>
    <t xml:space="preserve">=AD62*Q62*AK62</t>
  </si>
  <si>
    <t xml:space="preserve">AF62</t>
  </si>
  <si>
    <t xml:space="preserve">=Y62*6*S62</t>
  </si>
  <si>
    <t xml:space="preserve">=Y62*'2. Cost Inputs'!$B$31*S62</t>
  </si>
  <si>
    <t xml:space="preserve">AI62</t>
  </si>
  <si>
    <t xml:space="preserve">=AC62+AE62+AF62+AG62+AH62+(('1. Technology Description'!$B$24/(U62/1000000)/1000)*'1. Technology Description'!$B$26*'2. Cost Inputs'!$D$28*$B$22)</t>
  </si>
  <si>
    <t xml:space="preserve">=AC62+AE62+AF62+AG62+AH62+(('1. Technology Description'!$B$24/(U62/1000000)/1000)*'1. Technology Description'!$B$26*'2. Cost Inputs'!$D$28*AK62)</t>
  </si>
  <si>
    <t xml:space="preserve">AJ62</t>
  </si>
  <si>
    <t xml:space="preserve">=AI62/$B$22</t>
  </si>
  <si>
    <t xml:space="preserve">=AI62/AK62</t>
  </si>
  <si>
    <t xml:space="preserve">R62</t>
  </si>
  <si>
    <t xml:space="preserve">=((K62/'2. Cost Inputs'!$B$5-$B$19+$B$20)*'2. Cost Inputs'!$B$25+(K62/'2. Cost Inputs'!$B$5+$B$20)*'2. Cost Inputs'!$B$26)*365*'2. Cost Inputs'!$B$5</t>
  </si>
  <si>
    <t xml:space="preserve">W63</t>
  </si>
  <si>
    <t xml:space="preserve">=ROUNDUP($B$22/V63,0)</t>
  </si>
  <si>
    <t xml:space="preserve">X63</t>
  </si>
  <si>
    <t xml:space="preserve">=W63*'1. Technology Description'!$B$17/1000</t>
  </si>
  <si>
    <t xml:space="preserve">AK63</t>
  </si>
  <si>
    <t xml:space="preserve">=W63*V63</t>
  </si>
  <si>
    <t xml:space="preserve">AE63</t>
  </si>
  <si>
    <t xml:space="preserve">=AD63*Q63*$B$22</t>
  </si>
  <si>
    <t xml:space="preserve">=AD63*Q63*AK63</t>
  </si>
  <si>
    <t xml:space="preserve">AF63</t>
  </si>
  <si>
    <t xml:space="preserve">=Y63*6*S63</t>
  </si>
  <si>
    <t xml:space="preserve">=Y63*'2. Cost Inputs'!$B$31*S63</t>
  </si>
  <si>
    <t xml:space="preserve">AI63</t>
  </si>
  <si>
    <t xml:space="preserve">=AC63+AE63+AF63+AG63+AH63+(('1. Technology Description'!$B$24/(U63/1000000)/1000)*'1. Technology Description'!$B$26*'2. Cost Inputs'!$D$28*$B$22)</t>
  </si>
  <si>
    <t xml:space="preserve">=AC63+AE63+AF63+AG63+AH63+(('1. Technology Description'!$B$24/(U63/1000000)/1000)*'1. Technology Description'!$B$26*'2. Cost Inputs'!$D$28*AK63)</t>
  </si>
  <si>
    <t xml:space="preserve">AJ63</t>
  </si>
  <si>
    <t xml:space="preserve">=AI63/$B$22</t>
  </si>
  <si>
    <t xml:space="preserve">=AI63/AK63</t>
  </si>
  <si>
    <t xml:space="preserve">R63</t>
  </si>
  <si>
    <t xml:space="preserve">=((K63/'2. Cost Inputs'!$B$5-$B$19+$B$20)*'2. Cost Inputs'!$B$25+(K63/'2. Cost Inputs'!$B$5+$B$20)*'2. Cost Inputs'!$B$26)*365*'2. Cost Inputs'!$B$5</t>
  </si>
  <si>
    <t xml:space="preserve">W64</t>
  </si>
  <si>
    <t xml:space="preserve">=ROUNDUP($B$22/V64,0)</t>
  </si>
  <si>
    <t xml:space="preserve">X64</t>
  </si>
  <si>
    <t xml:space="preserve">=W64*'1. Technology Description'!$B$17/1000</t>
  </si>
  <si>
    <t xml:space="preserve">AK64</t>
  </si>
  <si>
    <t xml:space="preserve">=W64*V64</t>
  </si>
  <si>
    <t xml:space="preserve">AE64</t>
  </si>
  <si>
    <t xml:space="preserve">=AD64*Q64*$B$22</t>
  </si>
  <si>
    <t xml:space="preserve">=AD64*Q64*AK64</t>
  </si>
  <si>
    <t xml:space="preserve">AF64</t>
  </si>
  <si>
    <t xml:space="preserve">=Y64*6*S64</t>
  </si>
  <si>
    <t xml:space="preserve">=Y64*'2. Cost Inputs'!$B$31*S64</t>
  </si>
  <si>
    <t xml:space="preserve">AI64</t>
  </si>
  <si>
    <t xml:space="preserve">=AC64+AE64+AF64+AG64+AH64+(('1. Technology Description'!$B$24/(U64/1000000)/1000)*'1. Technology Description'!$B$26*'2. Cost Inputs'!$D$28*$B$22)</t>
  </si>
  <si>
    <t xml:space="preserve">=AC64+AE64+AF64+AG64+AH64+(('1. Technology Description'!$B$24/(U64/1000000)/1000)*'1. Technology Description'!$B$26*'2. Cost Inputs'!$D$28*AK64)</t>
  </si>
  <si>
    <t xml:space="preserve">AJ64</t>
  </si>
  <si>
    <t xml:space="preserve">=AI64/$B$22</t>
  </si>
  <si>
    <t xml:space="preserve">=AI64/AK64</t>
  </si>
  <si>
    <t xml:space="preserve">R64</t>
  </si>
  <si>
    <t xml:space="preserve">=((K64/'2. Cost Inputs'!$B$5-$B$19+$B$20)*'2. Cost Inputs'!$B$25+(K64/'2. Cost Inputs'!$B$5+$B$20)*'2. Cost Inputs'!$B$26)*365*'2. Cost Inputs'!$B$5</t>
  </si>
  <si>
    <t xml:space="preserve">W65</t>
  </si>
  <si>
    <t xml:space="preserve">=ROUNDUP($B$22/V65,0)</t>
  </si>
  <si>
    <t xml:space="preserve">X65</t>
  </si>
  <si>
    <t xml:space="preserve">=W65*'1. Technology Description'!$B$17/1000</t>
  </si>
  <si>
    <t xml:space="preserve">AK65</t>
  </si>
  <si>
    <t xml:space="preserve">=W65*V65</t>
  </si>
  <si>
    <t xml:space="preserve">AE65</t>
  </si>
  <si>
    <t xml:space="preserve">=AD65*Q65*$B$22</t>
  </si>
  <si>
    <t xml:space="preserve">=AD65*Q65*AK65</t>
  </si>
  <si>
    <t xml:space="preserve">AF65</t>
  </si>
  <si>
    <t xml:space="preserve">=Y65*6*S65</t>
  </si>
  <si>
    <t xml:space="preserve">=Y65*'2. Cost Inputs'!$B$31*S65</t>
  </si>
  <si>
    <t xml:space="preserve">AI65</t>
  </si>
  <si>
    <t xml:space="preserve">=AC65+AE65+AF65+AG65+AH65+(('1. Technology Description'!$B$24/(U65/1000000)/1000)*'1. Technology Description'!$B$26*'2. Cost Inputs'!$D$28*$B$22)</t>
  </si>
  <si>
    <t xml:space="preserve">=AC65+AE65+AF65+AG65+AH65+(('1. Technology Description'!$B$24/(U65/1000000)/1000)*'1. Technology Description'!$B$26*'2. Cost Inputs'!$D$28*AK65)</t>
  </si>
  <si>
    <t xml:space="preserve">AJ65</t>
  </si>
  <si>
    <t xml:space="preserve">=AI65/$B$22</t>
  </si>
  <si>
    <t xml:space="preserve">=AI65/AK65</t>
  </si>
  <si>
    <t xml:space="preserve">R65</t>
  </si>
  <si>
    <t xml:space="preserve">=((K65/'2. Cost Inputs'!$B$5-$B$19+$B$20)*'2. Cost Inputs'!$B$25+(K65/'2. Cost Inputs'!$B$5+$B$20)*'2. Cost Inputs'!$B$26)*365*'2. Cost Inputs'!$B$5</t>
  </si>
  <si>
    <t xml:space="preserve">W66</t>
  </si>
  <si>
    <t xml:space="preserve">=ROUNDUP($B$22/V66,0)</t>
  </si>
  <si>
    <t xml:space="preserve">X66</t>
  </si>
  <si>
    <t xml:space="preserve">=W66*'1. Technology Description'!$B$17/1000</t>
  </si>
  <si>
    <t xml:space="preserve">AK66</t>
  </si>
  <si>
    <t xml:space="preserve">=W66*V66</t>
  </si>
  <si>
    <t xml:space="preserve">AE66</t>
  </si>
  <si>
    <t xml:space="preserve">=AD66*Q66*$B$22</t>
  </si>
  <si>
    <t xml:space="preserve">=AD66*Q66*AK66</t>
  </si>
  <si>
    <t xml:space="preserve">AF66</t>
  </si>
  <si>
    <t xml:space="preserve">=Y66*6*S66</t>
  </si>
  <si>
    <t xml:space="preserve">=Y66*'2. Cost Inputs'!$B$31*S66</t>
  </si>
  <si>
    <t xml:space="preserve">AI66</t>
  </si>
  <si>
    <t xml:space="preserve">=AC66+AE66+AF66+AG66+AH66+(('1. Technology Description'!$B$24/(U66/1000000)/1000)*'1. Technology Description'!$B$26*'2. Cost Inputs'!$D$28*$B$22)</t>
  </si>
  <si>
    <t xml:space="preserve">=AC66+AE66+AF66+AG66+AH66+(('1. Technology Description'!$B$24/(U66/1000000)/1000)*'1. Technology Description'!$B$26*'2. Cost Inputs'!$D$28*AK66)</t>
  </si>
  <si>
    <t xml:space="preserve">AJ66</t>
  </si>
  <si>
    <t xml:space="preserve">=AI66/$B$22</t>
  </si>
  <si>
    <t xml:space="preserve">=AI66/AK66</t>
  </si>
  <si>
    <t xml:space="preserve">R66</t>
  </si>
  <si>
    <t xml:space="preserve">=((K66/'2. Cost Inputs'!$B$5-$B$19+$B$20)*'2. Cost Inputs'!$B$25+(K66/'2. Cost Inputs'!$B$5+$B$20)*'2. Cost Inputs'!$B$26)*365*'2. Cost Inputs'!$B$5</t>
  </si>
  <si>
    <t xml:space="preserve">W67</t>
  </si>
  <si>
    <t xml:space="preserve">=ROUNDUP($B$22/V67,0)</t>
  </si>
  <si>
    <t xml:space="preserve">X67</t>
  </si>
  <si>
    <t xml:space="preserve">=W67*'1. Technology Description'!$B$17/1000</t>
  </si>
  <si>
    <t xml:space="preserve">AK67</t>
  </si>
  <si>
    <t xml:space="preserve">=W67*V67</t>
  </si>
  <si>
    <t xml:space="preserve">AE67</t>
  </si>
  <si>
    <t xml:space="preserve">=AD67*Q67*$B$22</t>
  </si>
  <si>
    <t xml:space="preserve">=AD67*Q67*AK67</t>
  </si>
  <si>
    <t xml:space="preserve">AF67</t>
  </si>
  <si>
    <t xml:space="preserve">=Y67*6*S67</t>
  </si>
  <si>
    <t xml:space="preserve">=Y67*'2. Cost Inputs'!$B$31*S67</t>
  </si>
  <si>
    <t xml:space="preserve">AI67</t>
  </si>
  <si>
    <t xml:space="preserve">=AC67+AE67+AF67+AG67+AH67+(('1. Technology Description'!$B$24/(U67/1000000)/1000)*'1. Technology Description'!$B$26*'2. Cost Inputs'!$D$28*$B$22)</t>
  </si>
  <si>
    <t xml:space="preserve">=AC67+AE67+AF67+AG67+AH67+(('1. Technology Description'!$B$24/(U67/1000000)/1000)*'1. Technology Description'!$B$26*'2. Cost Inputs'!$D$28*AK67)</t>
  </si>
  <si>
    <t xml:space="preserve">AJ67</t>
  </si>
  <si>
    <t xml:space="preserve">=AI67/$B$22</t>
  </si>
  <si>
    <t xml:space="preserve">=AI67/AK67</t>
  </si>
  <si>
    <t xml:space="preserve">R67</t>
  </si>
  <si>
    <t xml:space="preserve">=((K67/'2. Cost Inputs'!$B$5-$B$19+$B$20)*'2. Cost Inputs'!$B$25+(K67/'2. Cost Inputs'!$B$5+$B$20)*'2. Cost Inputs'!$B$26)*365*'2. Cost Inputs'!$B$5</t>
  </si>
  <si>
    <t xml:space="preserve">W68</t>
  </si>
  <si>
    <t xml:space="preserve">=ROUNDUP($B$22/V68,0)</t>
  </si>
  <si>
    <t xml:space="preserve">X68</t>
  </si>
  <si>
    <t xml:space="preserve">=W68*'1. Technology Description'!$B$17/1000</t>
  </si>
  <si>
    <t xml:space="preserve">AK68</t>
  </si>
  <si>
    <t xml:space="preserve">=W68*V68</t>
  </si>
  <si>
    <t xml:space="preserve">AE68</t>
  </si>
  <si>
    <t xml:space="preserve">=AD68*Q68*$B$22</t>
  </si>
  <si>
    <t xml:space="preserve">=AD68*Q68*AK68</t>
  </si>
  <si>
    <t xml:space="preserve">AF68</t>
  </si>
  <si>
    <t xml:space="preserve">=Y68*6*S68</t>
  </si>
  <si>
    <t xml:space="preserve">=Y68*'2. Cost Inputs'!$B$31*S68</t>
  </si>
  <si>
    <t xml:space="preserve">AI68</t>
  </si>
  <si>
    <t xml:space="preserve">=AC68+AE68+AF68+AG68+AH68+(('1. Technology Description'!$B$24/(U68/1000000)/1000)*'1. Technology Description'!$B$26*'2. Cost Inputs'!$D$28*$B$22)</t>
  </si>
  <si>
    <t xml:space="preserve">=AC68+AE68+AF68+AG68+AH68+(('1. Technology Description'!$B$24/(U68/1000000)/1000)*'1. Technology Description'!$B$26*'2. Cost Inputs'!$D$28*AK68)</t>
  </si>
  <si>
    <t xml:space="preserve">AJ68</t>
  </si>
  <si>
    <t xml:space="preserve">=AI68/$B$22</t>
  </si>
  <si>
    <t xml:space="preserve">=AI68/AK68</t>
  </si>
  <si>
    <t xml:space="preserve">R68</t>
  </si>
  <si>
    <t xml:space="preserve">=((K68/'2. Cost Inputs'!$B$5-$B$19+$B$20)*'2. Cost Inputs'!$B$25+(K68/'2. Cost Inputs'!$B$5+$B$20)*'2. Cost Inputs'!$B$26)*365*'2. Cost Inputs'!$B$5</t>
  </si>
  <si>
    <t xml:space="preserve">W69</t>
  </si>
  <si>
    <t xml:space="preserve">=ROUNDUP($B$22/V69,0)</t>
  </si>
  <si>
    <t xml:space="preserve">X69</t>
  </si>
  <si>
    <t xml:space="preserve">=W69*'1. Technology Description'!$B$17/1000</t>
  </si>
  <si>
    <t xml:space="preserve">AK69</t>
  </si>
  <si>
    <t xml:space="preserve">=W69*V69</t>
  </si>
  <si>
    <t xml:space="preserve">AE69</t>
  </si>
  <si>
    <t xml:space="preserve">=AD69*Q69*$B$22</t>
  </si>
  <si>
    <t xml:space="preserve">=AD69*Q69*AK69</t>
  </si>
  <si>
    <t xml:space="preserve">AF69</t>
  </si>
  <si>
    <t xml:space="preserve">=Y69*6*S69</t>
  </si>
  <si>
    <t xml:space="preserve">=Y69*'2. Cost Inputs'!$B$31*S69</t>
  </si>
  <si>
    <t xml:space="preserve">AI69</t>
  </si>
  <si>
    <t xml:space="preserve">=AC69+AE69+AF69+AG69+AH69+(('1. Technology Description'!$B$24/(U69/1000000)/1000)*'1. Technology Description'!$B$26*'2. Cost Inputs'!$D$28*$B$22)</t>
  </si>
  <si>
    <t xml:space="preserve">=AC69+AE69+AF69+AG69+AH69+(('1. Technology Description'!$B$24/(U69/1000000)/1000)*'1. Technology Description'!$B$26*'2. Cost Inputs'!$D$28*AK69)</t>
  </si>
  <si>
    <t xml:space="preserve">AJ69</t>
  </si>
  <si>
    <t xml:space="preserve">=AI69/$B$22</t>
  </si>
  <si>
    <t xml:space="preserve">=AI69/AK69</t>
  </si>
  <si>
    <t xml:space="preserve">R69</t>
  </si>
  <si>
    <t xml:space="preserve">=((K69/'2. Cost Inputs'!$B$5-$B$19+$B$20)*'2. Cost Inputs'!$B$25+(K69/'2. Cost Inputs'!$B$5+$B$20)*'2. Cost Inputs'!$B$26)*365*'2. Cost Inputs'!$B$5</t>
  </si>
  <si>
    <t xml:space="preserve">W70</t>
  </si>
  <si>
    <t xml:space="preserve">=ROUNDUP($B$22/V70,0)</t>
  </si>
  <si>
    <t xml:space="preserve">X70</t>
  </si>
  <si>
    <t xml:space="preserve">=W70*'1. Technology Description'!$B$17/1000</t>
  </si>
  <si>
    <t xml:space="preserve">AK70</t>
  </si>
  <si>
    <t xml:space="preserve">=W70*V70</t>
  </si>
  <si>
    <t xml:space="preserve">AE70</t>
  </si>
  <si>
    <t xml:space="preserve">=AD70*Q70*$B$22</t>
  </si>
  <si>
    <t xml:space="preserve">=AD70*Q70*AK70</t>
  </si>
  <si>
    <t xml:space="preserve">AF70</t>
  </si>
  <si>
    <t xml:space="preserve">=Y70*6*S70</t>
  </si>
  <si>
    <t xml:space="preserve">=Y70*'2. Cost Inputs'!$B$31*S70</t>
  </si>
  <si>
    <t xml:space="preserve">AI70</t>
  </si>
  <si>
    <t xml:space="preserve">=AC70+AE70+AF70+AG70+AH70+(('1. Technology Description'!$B$24/(U70/1000000)/1000)*'1. Technology Description'!$B$26*'2. Cost Inputs'!$D$28*$B$22)</t>
  </si>
  <si>
    <t xml:space="preserve">=AC70+AE70+AF70+AG70+AH70+(('1. Technology Description'!$B$24/(U70/1000000)/1000)*'1. Technology Description'!$B$26*'2. Cost Inputs'!$D$28*AK70)</t>
  </si>
  <si>
    <t xml:space="preserve">AJ70</t>
  </si>
  <si>
    <t xml:space="preserve">=AI70/$B$22</t>
  </si>
  <si>
    <t xml:space="preserve">=AI70/AK70</t>
  </si>
  <si>
    <t xml:space="preserve">R70</t>
  </si>
  <si>
    <t xml:space="preserve">=((K70/'2. Cost Inputs'!$B$5-$B$19+$B$20)*'2. Cost Inputs'!$B$25+(K70/'2. Cost Inputs'!$B$5+$B$20)*'2. Cost Inputs'!$B$26)*365*'2. Cost Inputs'!$B$5</t>
  </si>
  <si>
    <t xml:space="preserve">W71</t>
  </si>
  <si>
    <t xml:space="preserve">=ROUNDUP($B$22/V71,0)</t>
  </si>
  <si>
    <t xml:space="preserve">X71</t>
  </si>
  <si>
    <t xml:space="preserve">=W71*'1. Technology Description'!$B$17/1000</t>
  </si>
  <si>
    <t xml:space="preserve">AK71</t>
  </si>
  <si>
    <t xml:space="preserve">=W71*V71</t>
  </si>
  <si>
    <t xml:space="preserve">AE71</t>
  </si>
  <si>
    <t xml:space="preserve">=AD71*Q71*$B$22</t>
  </si>
  <si>
    <t xml:space="preserve">=AD71*Q71*AK71</t>
  </si>
  <si>
    <t xml:space="preserve">AF71</t>
  </si>
  <si>
    <t xml:space="preserve">=Y71*6*S71</t>
  </si>
  <si>
    <t xml:space="preserve">=Y71*'2. Cost Inputs'!$B$31*S71</t>
  </si>
  <si>
    <t xml:space="preserve">AI71</t>
  </si>
  <si>
    <t xml:space="preserve">=AC71+AE71+AF71+AG71+AH71+(('1. Technology Description'!$B$24/(U71/1000000)/1000)*'1. Technology Description'!$B$26*'2. Cost Inputs'!$D$28*$B$22)</t>
  </si>
  <si>
    <t xml:space="preserve">=AC71+AE71+AF71+AG71+AH71+(('1. Technology Description'!$B$24/(U71/1000000)/1000)*'1. Technology Description'!$B$26*'2. Cost Inputs'!$D$28*AK71)</t>
  </si>
  <si>
    <t xml:space="preserve">AJ71</t>
  </si>
  <si>
    <t xml:space="preserve">=AI71/$B$22</t>
  </si>
  <si>
    <t xml:space="preserve">=AI71/AK71</t>
  </si>
  <si>
    <t xml:space="preserve">R71</t>
  </si>
  <si>
    <t xml:space="preserve">=((K71/'2. Cost Inputs'!$B$5-$B$19+$B$20)*'2. Cost Inputs'!$B$25+(K71/'2. Cost Inputs'!$B$5+$B$20)*'2. Cost Inputs'!$B$26)*365*'2. Cost Inputs'!$B$5</t>
  </si>
  <si>
    <t xml:space="preserve">W72</t>
  </si>
  <si>
    <t xml:space="preserve">=ROUNDUP($B$22/V72,0)</t>
  </si>
  <si>
    <t xml:space="preserve">X72</t>
  </si>
  <si>
    <t xml:space="preserve">=W72*'1. Technology Description'!$B$17/1000</t>
  </si>
  <si>
    <t xml:space="preserve">AK72</t>
  </si>
  <si>
    <t xml:space="preserve">=W72*V72</t>
  </si>
  <si>
    <t xml:space="preserve">AE72</t>
  </si>
  <si>
    <t xml:space="preserve">=AD72*Q72*$B$22</t>
  </si>
  <si>
    <t xml:space="preserve">=AD72*Q72*AK72</t>
  </si>
  <si>
    <t xml:space="preserve">AF72</t>
  </si>
  <si>
    <t xml:space="preserve">=Y72*6*S72</t>
  </si>
  <si>
    <t xml:space="preserve">=Y72*'2. Cost Inputs'!$B$31*S72</t>
  </si>
  <si>
    <t xml:space="preserve">AI72</t>
  </si>
  <si>
    <t xml:space="preserve">=AC72+AE72+AF72+AG72+AH72+(('1. Technology Description'!$B$24/(U72/1000000)/1000)*'1. Technology Description'!$B$26*'2. Cost Inputs'!$D$28*$B$22)</t>
  </si>
  <si>
    <t xml:space="preserve">=AC72+AE72+AF72+AG72+AH72+(('1. Technology Description'!$B$24/(U72/1000000)/1000)*'1. Technology Description'!$B$26*'2. Cost Inputs'!$D$28*AK72)</t>
  </si>
  <si>
    <t xml:space="preserve">AJ72</t>
  </si>
  <si>
    <t xml:space="preserve">=AI72/$B$22</t>
  </si>
  <si>
    <t xml:space="preserve">=AI72/AK72</t>
  </si>
  <si>
    <t xml:space="preserve">R72</t>
  </si>
  <si>
    <t xml:space="preserve">=((K72/'2. Cost Inputs'!$B$5-$B$19+$B$20)*'2. Cost Inputs'!$B$25+(K72/'2. Cost Inputs'!$B$5+$B$20)*'2. Cost Inputs'!$B$26)*365*'2. Cost Inputs'!$B$5</t>
  </si>
  <si>
    <t xml:space="preserve">F9</t>
  </si>
  <si>
    <t xml:space="preserve">New column.</t>
  </si>
  <si>
    <t xml:space="preserve">=D10*'3a. Outputs - Dedicated Vessel'!$G$15*'2. Cost Inputs'!$B$63</t>
  </si>
  <si>
    <t xml:space="preserve">Tonnes x CO2 per tonne x carbon price.</t>
  </si>
  <si>
    <t xml:space="preserve">=D11*'3a. Outputs - Dedicated Vessel'!$G$15*'2. Cost Inputs'!$B$63</t>
  </si>
  <si>
    <t xml:space="preserve">F12</t>
  </si>
  <si>
    <t xml:space="preserve">=D12*'3a. Outputs - Dedicated Vessel'!$G$15*'2. Cost Inputs'!$B$63</t>
  </si>
  <si>
    <t xml:space="preserve">=D13*'3a. Outputs - Dedicated Vessel'!$G$15*'2. Cost Inputs'!$B$63</t>
  </si>
  <si>
    <t xml:space="preserve">B29</t>
  </si>
  <si>
    <t xml:space="preserve">=E10</t>
  </si>
  <si>
    <t xml:space="preserve">=E10+F10</t>
  </si>
  <si>
    <t xml:space="preserve">Cost includes diesel CO2 at the tab 2 carbon price ($190 default, 0 to exclude).</t>
  </si>
  <si>
    <t xml:space="preserve">E29</t>
  </si>
  <si>
    <t xml:space="preserve">=C29/E10</t>
  </si>
  <si>
    <t xml:space="preserve">BCR on private cost only (the previous basis).</t>
  </si>
  <si>
    <t xml:space="preserve">F29</t>
  </si>
  <si>
    <t xml:space="preserve">=D29*'6a. Cooling Model - Global'!K34</t>
  </si>
  <si>
    <t xml:space="preserve">Sensitivity: cooling rescaled to AR6 TCR.</t>
  </si>
  <si>
    <t xml:space="preserve">B30</t>
  </si>
  <si>
    <t xml:space="preserve">=E11</t>
  </si>
  <si>
    <t xml:space="preserve">=E11+F11</t>
  </si>
  <si>
    <t xml:space="preserve">E30</t>
  </si>
  <si>
    <t xml:space="preserve">=C30/E11</t>
  </si>
  <si>
    <t xml:space="preserve">F30</t>
  </si>
  <si>
    <t xml:space="preserve">=D30*'6a. Cooling Model - Global'!K35</t>
  </si>
  <si>
    <t xml:space="preserve">=E12</t>
  </si>
  <si>
    <t xml:space="preserve">=E12+F12</t>
  </si>
  <si>
    <t xml:space="preserve">=C31/E12</t>
  </si>
  <si>
    <t xml:space="preserve">F31</t>
  </si>
  <si>
    <t xml:space="preserve">=D31*'6a. Cooling Model - Global'!K36</t>
  </si>
  <si>
    <t xml:space="preserve">=E13</t>
  </si>
  <si>
    <t xml:space="preserve">=E13+F13</t>
  </si>
  <si>
    <t xml:space="preserve">E32</t>
  </si>
  <si>
    <t xml:space="preserve">=C32/E13</t>
  </si>
  <si>
    <t xml:space="preserve">F32</t>
  </si>
  <si>
    <t xml:space="preserve">=D32*'6a. Cooling Model - Global'!K37</t>
  </si>
  <si>
    <t xml:space="preserve">E28</t>
  </si>
  <si>
    <t xml:space="preserve">A33</t>
  </si>
  <si>
    <t xml:space="preserve">F08/F13</t>
  </si>
  <si>
    <t xml:space="preserve">Benefit-cost at the dedicated-vessel cost from tab 3a. Piggyback scenario and fleet numbers on 6c.</t>
  </si>
  <si>
    <t xml:space="preserve">Text.</t>
  </si>
  <si>
    <t xml:space="preserve">A35</t>
  </si>
  <si>
    <t xml:space="preserve">F10/F11</t>
  </si>
  <si>
    <t xml:space="preserve">A36</t>
  </si>
  <si>
    <t xml:space="preserve">C37</t>
  </si>
  <si>
    <t xml:space="preserve">D37</t>
  </si>
  <si>
    <t xml:space="preserve">E37</t>
  </si>
  <si>
    <t xml:space="preserve">F37</t>
  </si>
  <si>
    <t xml:space="preserve">G37</t>
  </si>
  <si>
    <t xml:space="preserve">H37</t>
  </si>
  <si>
    <t xml:space="preserve">A38</t>
  </si>
  <si>
    <t xml:space="preserve">Row label.</t>
  </si>
  <si>
    <t xml:space="preserve">=D10/'3a. Outputs - Dedicated Vessel'!$G$6</t>
  </si>
  <si>
    <t xml:space="preserve">Tonnes needed / tonnes per vessel-year.</t>
  </si>
  <si>
    <t xml:space="preserve">=B38/'6a. Cooling Model - Global'!$B$48</t>
  </si>
  <si>
    <t xml:space="preserve">Vessels / world merchant fleet.</t>
  </si>
  <si>
    <t xml:space="preserve">=D10*'3a. Outputs - Dedicated Vessel'!$G$15/'2. Cost Inputs'!$B$61/10^6</t>
  </si>
  <si>
    <t xml:space="preserve">Diesel for spray gensets and vessels.</t>
  </si>
  <si>
    <t xml:space="preserve">E38</t>
  </si>
  <si>
    <t xml:space="preserve">=D10*'3a. Outputs - Dedicated Vessel'!$G$15/10^9</t>
  </si>
  <si>
    <t xml:space="preserve">Diesel CO2 per year.</t>
  </si>
  <si>
    <t xml:space="preserve">F38</t>
  </si>
  <si>
    <t xml:space="preserve">=D10*'2. Cost Inputs'!$B$24/10^9</t>
  </si>
  <si>
    <t xml:space="preserve">Spray electricity per year.</t>
  </si>
  <si>
    <t xml:space="preserve">G38</t>
  </si>
  <si>
    <t xml:space="preserve">=B38*'2. Cost Inputs'!$B$53/10^12</t>
  </si>
  <si>
    <t xml:space="preserve">Vessels x capex per vessel.</t>
  </si>
  <si>
    <t xml:space="preserve">H38</t>
  </si>
  <si>
    <t xml:space="preserve">=(B29/10^9/$B$5)/'6a. Cooling Model - Global'!$B$47</t>
  </si>
  <si>
    <t xml:space="preserve">($B per K-yr) / SAI $18B per K-yr.</t>
  </si>
  <si>
    <t xml:space="preserve">=D11/'3a. Outputs - Dedicated Vessel'!$G$6</t>
  </si>
  <si>
    <t xml:space="preserve">=B39/'6a. Cooling Model - Global'!$B$48</t>
  </si>
  <si>
    <t xml:space="preserve">=D11*'3a. Outputs - Dedicated Vessel'!$G$15/'2. Cost Inputs'!$B$61/10^6</t>
  </si>
  <si>
    <t xml:space="preserve">E39</t>
  </si>
  <si>
    <t xml:space="preserve">=D11*'3a. Outputs - Dedicated Vessel'!$G$15/10^9</t>
  </si>
  <si>
    <t xml:space="preserve">F39</t>
  </si>
  <si>
    <t xml:space="preserve">=D11*'2. Cost Inputs'!$B$24/10^9</t>
  </si>
  <si>
    <t xml:space="preserve">=B39*'2. Cost Inputs'!$B$53/10^12</t>
  </si>
  <si>
    <t xml:space="preserve">H39</t>
  </si>
  <si>
    <t xml:space="preserve">=(B30/10^9/$B$5)/'6a. Cooling Model - Global'!$B$47</t>
  </si>
  <si>
    <t xml:space="preserve">=D12/'3a. Outputs - Dedicated Vessel'!$G$6</t>
  </si>
  <si>
    <t xml:space="preserve">=B40/'6a. Cooling Model - Global'!$B$48</t>
  </si>
  <si>
    <t xml:space="preserve">=D12*'3a. Outputs - Dedicated Vessel'!$G$15/'2. Cost Inputs'!$B$61/10^6</t>
  </si>
  <si>
    <t xml:space="preserve">E40</t>
  </si>
  <si>
    <t xml:space="preserve">=D12*'3a. Outputs - Dedicated Vessel'!$G$15/10^9</t>
  </si>
  <si>
    <t xml:space="preserve">F40</t>
  </si>
  <si>
    <t xml:space="preserve">=D12*'2. Cost Inputs'!$B$24/10^9</t>
  </si>
  <si>
    <t xml:space="preserve">G40</t>
  </si>
  <si>
    <t xml:space="preserve">=B40*'2. Cost Inputs'!$B$53/10^12</t>
  </si>
  <si>
    <t xml:space="preserve">H40</t>
  </si>
  <si>
    <t xml:space="preserve">=(B31/10^9/$B$5)/'6a. Cooling Model - Global'!$B$47</t>
  </si>
  <si>
    <t xml:space="preserve">A41</t>
  </si>
  <si>
    <t xml:space="preserve">B41</t>
  </si>
  <si>
    <t xml:space="preserve">=D13/'3a. Outputs - Dedicated Vessel'!$G$6</t>
  </si>
  <si>
    <t xml:space="preserve">C41</t>
  </si>
  <si>
    <t xml:space="preserve">=B41/'6a. Cooling Model - Global'!$B$48</t>
  </si>
  <si>
    <t xml:space="preserve">D41</t>
  </si>
  <si>
    <t xml:space="preserve">=D13*'3a. Outputs - Dedicated Vessel'!$G$15/'2. Cost Inputs'!$B$61/10^6</t>
  </si>
  <si>
    <t xml:space="preserve">E41</t>
  </si>
  <si>
    <t xml:space="preserve">=D13*'3a. Outputs - Dedicated Vessel'!$G$15/10^9</t>
  </si>
  <si>
    <t xml:space="preserve">F41</t>
  </si>
  <si>
    <t xml:space="preserve">=D13*'2. Cost Inputs'!$B$24/10^9</t>
  </si>
  <si>
    <t xml:space="preserve">G41</t>
  </si>
  <si>
    <t xml:space="preserve">=B41*'2. Cost Inputs'!$B$53/10^12</t>
  </si>
  <si>
    <t xml:space="preserve">H41</t>
  </si>
  <si>
    <t xml:space="preserve">=(B32/10^9/$B$5)/'6a. Cooling Model - Global'!$B$47</t>
  </si>
  <si>
    <t xml:space="preserve">Context text.</t>
  </si>
  <si>
    <t xml:space="preserve">=D18*'3b. Outputs - Ship Piggyback'!$B$44*'2. Cost Inputs'!$B$63</t>
  </si>
  <si>
    <t xml:space="preserve">Tonnes x genset CO2 per tonne x carbon price.</t>
  </si>
  <si>
    <t xml:space="preserve">F19</t>
  </si>
  <si>
    <t xml:space="preserve">=D19*'3b. Outputs - Ship Piggyback'!$B$44*'2. Cost Inputs'!$B$63</t>
  </si>
  <si>
    <t xml:space="preserve">=D20*'3b. Outputs - Ship Piggyback'!$B$44*'2. Cost Inputs'!$B$63</t>
  </si>
  <si>
    <t xml:space="preserve">F21</t>
  </si>
  <si>
    <t xml:space="preserve">=D21*'3b. Outputs - Ship Piggyback'!$B$44*'2. Cost Inputs'!$B$63</t>
  </si>
  <si>
    <t xml:space="preserve">=E18</t>
  </si>
  <si>
    <t xml:space="preserve">=E18+F18</t>
  </si>
  <si>
    <t xml:space="preserve">Cost includes diesel CO2 at the tab 2 carbon price.</t>
  </si>
  <si>
    <t xml:space="preserve">=C38/E18</t>
  </si>
  <si>
    <t xml:space="preserve">BCR on private cost only (previous basis).</t>
  </si>
  <si>
    <t xml:space="preserve">=D38*'6a. Cooling Model - Global'!K34</t>
  </si>
  <si>
    <t xml:space="preserve">=E19</t>
  </si>
  <si>
    <t xml:space="preserve">=E19+F19</t>
  </si>
  <si>
    <t xml:space="preserve">=C39/E19</t>
  </si>
  <si>
    <t xml:space="preserve">=D39*'6a. Cooling Model - Global'!K35</t>
  </si>
  <si>
    <t xml:space="preserve">=E20</t>
  </si>
  <si>
    <t xml:space="preserve">=E20+F20</t>
  </si>
  <si>
    <t xml:space="preserve">=C40/E20</t>
  </si>
  <si>
    <t xml:space="preserve">=D40*'6a. Cooling Model - Global'!K36</t>
  </si>
  <si>
    <t xml:space="preserve">=E21</t>
  </si>
  <si>
    <t xml:space="preserve">=E21+F21</t>
  </si>
  <si>
    <t xml:space="preserve">=C41/E21</t>
  </si>
  <si>
    <t xml:space="preserve">=D41*'6a. Cooling Model - Global'!K37</t>
  </si>
  <si>
    <t xml:space="preserve">="Benefit-cost at the piggyback cost from tab 3b ("&amp;TEXT($B$6,"$#,##0")&amp;"/t). Dedicated-vessel case is 6b; fleet numbers in section D."</t>
  </si>
  <si>
    <t xml:space="preserve">Benefit-cost at the piggyback cost from tab 3b ($21,674/t). Dedicated-vessel case is 6b; fleet numbers in section D.</t>
  </si>
  <si>
    <t xml:space="preserve">="Benefit-cost at the piggyback cost from tab 3b ("&amp;TEXT($B$6,"$#,##0")&amp;"/t) plus the ships' genset diesel CO2 at the tab 2 carbon price (column E leaves it out). Column F rescales cooling to the IPCC AR6 TCR. Dedicated-vessel case is 6b; fleet numbers in section D."</t>
  </si>
  <si>
    <t xml:space="preserve">F55</t>
  </si>
  <si>
    <t xml:space="preserve">Header (added 2026-10).</t>
  </si>
  <si>
    <t xml:space="preserve">G55</t>
  </si>
  <si>
    <t xml:space="preserve">H55</t>
  </si>
  <si>
    <t xml:space="preserve">I55</t>
  </si>
  <si>
    <t xml:space="preserve">J55</t>
  </si>
  <si>
    <t xml:space="preserve">F56</t>
  </si>
  <si>
    <t xml:space="preserve">=C56*$B$48/10^6</t>
  </si>
  <si>
    <t xml:space="preserve">Ships x genset fuel per ship.</t>
  </si>
  <si>
    <t xml:space="preserve">G56</t>
  </si>
  <si>
    <t xml:space="preserve">=B56*'3b. Outputs - Ship Piggyback'!$B$44/10^9</t>
  </si>
  <si>
    <t xml:space="preserve">Tonnes x CO2 per tonne.</t>
  </si>
  <si>
    <t xml:space="preserve">H56</t>
  </si>
  <si>
    <t xml:space="preserve">=B56*'2. Cost Inputs'!$B$24/10^9</t>
  </si>
  <si>
    <t xml:space="preserve">Spray electricity.</t>
  </si>
  <si>
    <t xml:space="preserve">I56</t>
  </si>
  <si>
    <t xml:space="preserve">=$B$5*$B$54*$B$47/B56</t>
  </si>
  <si>
    <t xml:space="preserve">Cooling deliverable if every eligible ship sprays.</t>
  </si>
  <si>
    <t xml:space="preserve">J56</t>
  </si>
  <si>
    <t xml:space="preserve">=(B38/10^9/$B$5)/'6a. Cooling Model - Global'!$B$47</t>
  </si>
  <si>
    <t xml:space="preserve">F57</t>
  </si>
  <si>
    <t xml:space="preserve">=C57*$B$48/10^6</t>
  </si>
  <si>
    <t xml:space="preserve">G57</t>
  </si>
  <si>
    <t xml:space="preserve">=B57*'3b. Outputs - Ship Piggyback'!$B$44/10^9</t>
  </si>
  <si>
    <t xml:space="preserve">H57</t>
  </si>
  <si>
    <t xml:space="preserve">=B57*'2. Cost Inputs'!$B$24/10^9</t>
  </si>
  <si>
    <t xml:space="preserve">I57</t>
  </si>
  <si>
    <t xml:space="preserve">=$B$5*$B$54*$B$47/B57</t>
  </si>
  <si>
    <t xml:space="preserve">J57</t>
  </si>
  <si>
    <t xml:space="preserve">=(B39/10^9/$B$5)/'6a. Cooling Model - Global'!$B$47</t>
  </si>
  <si>
    <t xml:space="preserve">F58</t>
  </si>
  <si>
    <t xml:space="preserve">=C58*$B$48/10^6</t>
  </si>
  <si>
    <t xml:space="preserve">G58</t>
  </si>
  <si>
    <t xml:space="preserve">=B58*'3b. Outputs - Ship Piggyback'!$B$44/10^9</t>
  </si>
  <si>
    <t xml:space="preserve">H58</t>
  </si>
  <si>
    <t xml:space="preserve">=B58*'2. Cost Inputs'!$B$24/10^9</t>
  </si>
  <si>
    <t xml:space="preserve">I58</t>
  </si>
  <si>
    <t xml:space="preserve">=$B$5*$B$54*$B$47/B58</t>
  </si>
  <si>
    <t xml:space="preserve">J58</t>
  </si>
  <si>
    <t xml:space="preserve">=(B40/10^9/$B$5)/'6a. Cooling Model - Global'!$B$47</t>
  </si>
  <si>
    <t xml:space="preserve">F59</t>
  </si>
  <si>
    <t xml:space="preserve">=C59*$B$48/10^6</t>
  </si>
  <si>
    <t xml:space="preserve">G59</t>
  </si>
  <si>
    <t xml:space="preserve">=B59*'3b. Outputs - Ship Piggyback'!$B$44/10^9</t>
  </si>
  <si>
    <t xml:space="preserve">H59</t>
  </si>
  <si>
    <t xml:space="preserve">=B59*'2. Cost Inputs'!$B$24/10^9</t>
  </si>
  <si>
    <t xml:space="preserve">I59</t>
  </si>
  <si>
    <t xml:space="preserve">=$B$5*$B$54*$B$47/B59</t>
  </si>
  <si>
    <t xml:space="preserve">J59</t>
  </si>
  <si>
    <t xml:space="preserve">=(B41/10^9/$B$5)/'6a. Cooling Model - Global'!$B$47</t>
  </si>
  <si>
    <t xml:space="preserve">References</t>
  </si>
  <si>
    <t xml:space="preserve">B11</t>
  </si>
  <si>
    <t xml:space="preserve">Hirasawa, H., Henry, M., Mason, E., Rasch, P. J., Doherty, S. J., &amp; Wood, R. (2026). Forcing Susceptibility and Climate Sensitivity to Midlatitude Marine Cloud Brightening. Journal of Climate, 39(2), 769-784.</t>
  </si>
  <si>
    <t xml:space="preserve">Author list completed (Crossref lists 8 authors).</t>
  </si>
  <si>
    <t xml:space="preserve">C11</t>
  </si>
  <si>
    <t xml:space="preserve">6a (section A regional efficiencies, model emission sizes)</t>
  </si>
  <si>
    <t xml:space="preserve">Where used: emission sizes come from the preprint (row 14), not this paper.</t>
  </si>
  <si>
    <t xml:space="preserve">6a (model CCN fractions; CESM2-Ghosh scaling)</t>
  </si>
  <si>
    <t xml:space="preserve">Where used.</t>
  </si>
  <si>
    <t xml:space="preserve">ARIA proposal 2025</t>
  </si>
  <si>
    <t xml:space="preserve">Lead author per DataCite.</t>
  </si>
  <si>
    <t xml:space="preserve">Harrison, D. P. et al. (2025). Marine Cloud Brightening in a complex world - moving beyond the Twomey effect. Proposal to the Advanced Research + Invention Agency: Exploring Climate Cooling Programme. Southern Cross University.</t>
  </si>
  <si>
    <t xml:space="preserve">DataCite creators; Harrison is 8th of 9.</t>
  </si>
  <si>
    <t xml:space="preserve">B21</t>
  </si>
  <si>
    <t xml:space="preserve">World Bank (2020). Cool Cities: Reducing Urban Heat. Primer / report.</t>
  </si>
  <si>
    <t xml:space="preserve">Actual title and DOI.</t>
  </si>
  <si>
    <t xml:space="preserve">C7</t>
  </si>
  <si>
    <t xml:space="preserve">5a (survival factor, activation diameter), 6a (plume survival)</t>
  </si>
  <si>
    <t xml:space="preserve">Where used corrected.</t>
  </si>
  <si>
    <t xml:space="preserve">E25</t>
  </si>
  <si>
    <t xml:space="preserve">PSV cruise ~16.4 m3/day at 10 kn, 22.7 at 12 kn (UT 755L); Adland PSV average ~9.3 t/day.</t>
  </si>
  <si>
    <t xml:space="preserve">Attribution: the linked MDPI paper is Vianna et al., not Adland.</t>
  </si>
  <si>
    <t xml:space="preserve">Vessel spec sheets (websites, not downloaded): UT 755L PSV ~16.4 m3/day at 10 kn; Adland PSV average ~9.3 t/day. Links: https://horizonoffshoreservices.com/wp-content/uploads/2024/07/HOS269.pdf ; https://www.mdpi.com/2077-1312/13/4/686</t>
  </si>
  <si>
    <t xml:space="preserve">Attribution fixed.</t>
  </si>
  <si>
    <t xml:space="preserve">Section header.</t>
  </si>
  <si>
    <t xml:space="preserve">A24</t>
  </si>
  <si>
    <t xml:space="preserve">Missing source added.</t>
  </si>
  <si>
    <t xml:space="preserve">Full citation.</t>
  </si>
  <si>
    <t xml:space="preserve">C24</t>
  </si>
  <si>
    <t xml:space="preserve">D24</t>
  </si>
  <si>
    <t xml:space="preserve">DOI / link.</t>
  </si>
  <si>
    <t xml:space="preserve">C25</t>
  </si>
  <si>
    <t xml:space="preserve">C26</t>
  </si>
  <si>
    <t xml:space="preserve">A27</t>
  </si>
  <si>
    <t xml:space="preserve">C27</t>
  </si>
  <si>
    <t xml:space="preserve">A28</t>
  </si>
  <si>
    <t xml:space="preserve">B28</t>
  </si>
  <si>
    <t xml:space="preserve">C28</t>
  </si>
  <si>
    <t xml:space="preserve">D28</t>
  </si>
  <si>
    <t xml:space="preserve">A29</t>
  </si>
  <si>
    <t xml:space="preserve">C29</t>
  </si>
  <si>
    <t xml:space="preserve">A30</t>
  </si>
  <si>
    <t xml:space="preserve">C30</t>
  </si>
  <si>
    <t xml:space="preserve">A34</t>
  </si>
  <si>
    <t xml:space="preserve">C34</t>
  </si>
  <si>
    <t xml:space="preserve">D34</t>
  </si>
  <si>
    <t xml:space="preserve">B35</t>
  </si>
  <si>
    <t xml:space="preserve">C35</t>
  </si>
  <si>
    <t xml:space="preserve">D35</t>
  </si>
  <si>
    <t xml:space="preserve">C36</t>
  </si>
  <si>
    <t xml:space="preserve">D36</t>
  </si>
  <si>
    <t xml:space="preserve">B42</t>
  </si>
  <si>
    <t xml:space="preserve">C42</t>
  </si>
  <si>
    <t xml:space="preserve">D42</t>
  </si>
  <si>
    <t xml:space="preserve">D47</t>
  </si>
  <si>
    <t xml:space="preserve">D48</t>
  </si>
  <si>
    <t xml:space="preserve">D49</t>
  </si>
  <si>
    <t xml:space="preserve">D50</t>
  </si>
  <si>
    <t xml:space="preserve">Chart "Tornado Diagram" value axis</t>
  </si>
  <si>
    <t xml:space="preserve">min $10,000</t>
  </si>
  <si>
    <t xml:space="preserve">min $0</t>
  </si>
  <si>
    <t xml:space="preserve">The rebuilt power bar reaches ~$6.1k/t at 51.2 W per nozzle; a $10,000 axis floor clipped it.</t>
  </si>
  <si>
    <t xml:space="preserve">Headline outputs: before and after</t>
  </si>
  <si>
    <t xml:space="preserve">Before</t>
  </si>
  <si>
    <t xml:space="preserve">After (live)</t>
  </si>
  <si>
    <t xml:space="preserve">After / before</t>
  </si>
  <si>
    <t xml:space="preserve">G5</t>
  </si>
  <si>
    <t xml:space="preserve">Cost per tonne, dedicated vessel ($/t)</t>
  </si>
  <si>
    <t xml:space="preserve">Cost per tonne incl. diesel CO2, dedicated ($/t)</t>
  </si>
  <si>
    <t xml:space="preserve">(new)</t>
  </si>
  <si>
    <t xml:space="preserve">Cost per tonne, container-ship piggyback ($/t)</t>
  </si>
  <si>
    <t xml:space="preserve">Cost per tonne incl. diesel CO2, piggyback ($/t)</t>
  </si>
  <si>
    <t xml:space="preserve">Cost per tonne, fixed platform ($/t)</t>
  </si>
  <si>
    <t xml:space="preserve">3d. Outputs - Stationary Vessel</t>
  </si>
  <si>
    <t xml:space="preserve">Cost per tonne, stationary vessel ($/t)</t>
  </si>
  <si>
    <t xml:space="preserve">Cost table base column ($/t, should equal G5)</t>
  </si>
  <si>
    <t xml:space="preserve">Tornado base ($/t, should equal G5)</t>
  </si>
  <si>
    <t xml:space="preserve">Tornado: nozzle power x1.5 ($/t)</t>
  </si>
  <si>
    <t xml:space="preserve">Tornado: nozzle power 0.1x ($/t)</t>
  </si>
  <si>
    <t xml:space="preserve">Local cooling cost ($/degC-ha-day)</t>
  </si>
  <si>
    <t xml:space="preserve">Reef: vessels for the season</t>
  </si>
  <si>
    <t xml:space="preserve">Reef: cost per season ($)</t>
  </si>
  <si>
    <t xml:space="preserve">Reef ROI, same-day accounting (x)</t>
  </si>
  <si>
    <t xml:space="preserve">Reef ROI if Harrison assumptions held (x)</t>
  </si>
  <si>
    <t xml:space="preserve">5c-alt. Benefit - Reef (Zhao)</t>
  </si>
  <si>
    <t xml:space="preserve">B55</t>
  </si>
  <si>
    <t xml:space="preserve">Reef ROI, Zhao alternate (x)</t>
  </si>
  <si>
    <t xml:space="preserve">City: vessels chartered</t>
  </si>
  <si>
    <t xml:space="preserve">City: cost per season ($)</t>
  </si>
  <si>
    <t xml:space="preserve">City: daily-mean realized cooling (degC)</t>
  </si>
  <si>
    <t xml:space="preserve">City: deaths averted per season</t>
  </si>
  <si>
    <t xml:space="preserve">City ROI (x)</t>
  </si>
  <si>
    <t xml:space="preserve">I34</t>
  </si>
  <si>
    <t xml:space="preserve">Tonnes/yr for 1 K, CESM2</t>
  </si>
  <si>
    <t xml:space="preserve">I35</t>
  </si>
  <si>
    <t xml:space="preserve">Tonnes/yr for 1 K, CESM2-Ghosh</t>
  </si>
  <si>
    <t xml:space="preserve">I36</t>
  </si>
  <si>
    <t xml:space="preserve">Tonnes/yr for 1 K, E3SMv2</t>
  </si>
  <si>
    <t xml:space="preserve">I37</t>
  </si>
  <si>
    <t xml:space="preserve">Tonnes/yr for 1 K, UKESM1</t>
  </si>
  <si>
    <t xml:space="preserve">BCR dedicated vessel, CESM2 (incl. diesel CO2 after)</t>
  </si>
  <si>
    <t xml:space="preserve">BCR dedicated vessel, CESM2-Ghosh (incl. diesel CO2 after)</t>
  </si>
  <si>
    <t xml:space="preserve">BCR dedicated vessel, E3SMv2 (incl. diesel CO2 after)</t>
  </si>
  <si>
    <t xml:space="preserve">BCR dedicated vessel, UKESM1 (incl. diesel CO2 after)</t>
  </si>
  <si>
    <t xml:space="preserve">BCR dedicated vessel excl. diesel CO2, CESM2</t>
  </si>
  <si>
    <t xml:space="preserve">BCR dedicated vessel excl. diesel CO2, CESM2-Ghosh</t>
  </si>
  <si>
    <t xml:space="preserve">BCR dedicated vessel excl. diesel CO2, E3SMv2</t>
  </si>
  <si>
    <t xml:space="preserve">BCR dedicated vessel excl. diesel CO2, UKESM1</t>
  </si>
  <si>
    <t xml:space="preserve">BCR piggyback, CESM2 (incl. diesel CO2 after)</t>
  </si>
  <si>
    <t xml:space="preserve">BCR piggyback, CESM2-Ghosh (incl. diesel CO2 after)</t>
  </si>
  <si>
    <t xml:space="preserve">BCR piggyback, E3SMv2 (incl. diesel CO2 after)</t>
  </si>
  <si>
    <t xml:space="preserve">BCR piggyback, UKESM1 (incl. diesel CO2 after)</t>
  </si>
  <si>
    <t xml:space="preserve">BCR piggyback excl. diesel CO2, CESM2</t>
  </si>
  <si>
    <t xml:space="preserve">BCR piggyback excl. diesel CO2, CESM2-Ghosh</t>
  </si>
  <si>
    <t xml:space="preserve">BCR piggyback excl. diesel CO2, E3SMv2</t>
  </si>
  <si>
    <t xml:space="preserve">BCR piggyback excl. diesel CO2, UKESM1</t>
  </si>
  <si>
    <t xml:space="preserve">C56</t>
  </si>
  <si>
    <t xml:space="preserve">Container ships needed for 1 K, CESM2</t>
  </si>
  <si>
    <t xml:space="preserve">C57</t>
  </si>
  <si>
    <t xml:space="preserve">Container ships needed for 1 K, CESM2-Ghosh</t>
  </si>
  <si>
    <t xml:space="preserve">C58</t>
  </si>
  <si>
    <t xml:space="preserve">Container ships needed for 1 K, E3SMv2</t>
  </si>
  <si>
    <t xml:space="preserve">C59</t>
  </si>
  <si>
    <t xml:space="preserve">Container ships needed for 1 K, UKESM1</t>
  </si>
  <si>
    <t xml:space="preserve">Max K with all eligible ships, CESM2</t>
  </si>
  <si>
    <t xml:space="preserve">Max K with all eligible ships, CESM2-Ghosh</t>
  </si>
  <si>
    <t xml:space="preserve">Max K with all eligible ships, E3SMv2</t>
  </si>
  <si>
    <t xml:space="preserve">Max K with all eligible ships, UKESM1</t>
  </si>
</sst>
</file>

<file path=xl/styles.xml><?xml version="1.0" encoding="utf-8"?>
<styleSheet xmlns="http://schemas.openxmlformats.org/spreadsheetml/2006/main">
  <numFmts count="27">
    <numFmt numFmtId="164" formatCode="General"/>
    <numFmt numFmtId="165" formatCode="0%"/>
    <numFmt numFmtId="166" formatCode="#,##0"/>
    <numFmt numFmtId="167" formatCode="0.00E+00"/>
    <numFmt numFmtId="168" formatCode="0"/>
    <numFmt numFmtId="169" formatCode="0.0E+00"/>
    <numFmt numFmtId="170" formatCode="#,##0.0000"/>
    <numFmt numFmtId="171" formatCode="#,##0.0"/>
    <numFmt numFmtId="172" formatCode="0.0"/>
    <numFmt numFmtId="173" formatCode="0.00"/>
    <numFmt numFmtId="174" formatCode="0.000"/>
    <numFmt numFmtId="175" formatCode="\$0.00"/>
    <numFmt numFmtId="176" formatCode="\$#,##0"/>
    <numFmt numFmtId="177" formatCode="0.0%"/>
    <numFmt numFmtId="178" formatCode="0.0000"/>
    <numFmt numFmtId="179" formatCode="\$#,##0.00"/>
    <numFmt numFmtId="180" formatCode="0.0\x"/>
    <numFmt numFmtId="181" formatCode="_(\$* #,##0.00_);_(\$* \(#,##0.00\);_(\$* \-??_);_(@_)"/>
    <numFmt numFmtId="182" formatCode="0.00\x"/>
    <numFmt numFmtId="183" formatCode="0\x"/>
    <numFmt numFmtId="184" formatCode="0.0\%"/>
    <numFmt numFmtId="185" formatCode="\$#,##0\B"/>
    <numFmt numFmtId="186" formatCode="\$#,##0.0,,\B"/>
    <numFmt numFmtId="187" formatCode="\$#,##0,,\B"/>
    <numFmt numFmtId="188" formatCode="#,##0\x"/>
    <numFmt numFmtId="189" formatCode="\$#,##0.0"/>
    <numFmt numFmtId="190" formatCode="@"/>
  </numFmts>
  <fonts count="58">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4"/>
      <name val="Arial"/>
      <family val="2"/>
      <charset val="1"/>
    </font>
    <font>
      <sz val="11"/>
      <name val="Arial"/>
      <family val="2"/>
      <charset val="1"/>
    </font>
    <font>
      <b val="true"/>
      <sz val="12"/>
      <color rgb="FFFFFFFF"/>
      <name val="Arial"/>
      <family val="2"/>
      <charset val="1"/>
    </font>
    <font>
      <b val="true"/>
      <sz val="11"/>
      <color rgb="FFFFFFFF"/>
      <name val="Arial"/>
      <family val="2"/>
      <charset val="1"/>
    </font>
    <font>
      <b val="true"/>
      <sz val="12"/>
      <name val="Arial"/>
      <family val="2"/>
      <charset val="1"/>
    </font>
    <font>
      <b val="true"/>
      <sz val="11"/>
      <name val="Arial"/>
      <family val="2"/>
      <charset val="1"/>
    </font>
    <font>
      <sz val="12"/>
      <name val="Arial"/>
      <family val="2"/>
      <charset val="1"/>
    </font>
    <font>
      <sz val="12"/>
      <color rgb="FF000000"/>
      <name val="Arial"/>
      <family val="2"/>
      <charset val="1"/>
    </font>
    <font>
      <sz val="12"/>
      <color rgb="FF9C0006"/>
      <name val="Arial"/>
      <family val="2"/>
      <charset val="1"/>
    </font>
    <font>
      <i val="true"/>
      <sz val="12"/>
      <color rgb="FF595959"/>
      <name val="Arial"/>
      <family val="2"/>
      <charset val="1"/>
    </font>
    <font>
      <i val="true"/>
      <sz val="9"/>
      <color rgb="FF595959"/>
      <name val="Arial"/>
      <family val="2"/>
      <charset val="1"/>
    </font>
    <font>
      <sz val="12"/>
      <color rgb="FF008000"/>
      <name val="Arial"/>
      <family val="2"/>
      <charset val="1"/>
    </font>
    <font>
      <sz val="10"/>
      <name val="Arial"/>
      <family val="2"/>
      <charset val="1"/>
    </font>
    <font>
      <b val="true"/>
      <sz val="10"/>
      <color rgb="FF000000"/>
      <name val="Arial"/>
      <family val="2"/>
      <charset val="1"/>
    </font>
    <font>
      <sz val="11"/>
      <color rgb="FF0000FF"/>
      <name val="Arial"/>
      <family val="2"/>
      <charset val="1"/>
    </font>
    <font>
      <sz val="9"/>
      <color rgb="FF595959"/>
      <name val="Arial"/>
      <family val="2"/>
      <charset val="1"/>
    </font>
    <font>
      <b val="true"/>
      <sz val="10"/>
      <color rgb="FFFFFFFF"/>
      <name val="Arial"/>
      <family val="2"/>
      <charset val="1"/>
    </font>
    <font>
      <sz val="9"/>
      <color rgb="FF595959"/>
      <name val="Calibri"/>
      <family val="2"/>
      <charset val="1"/>
    </font>
    <font>
      <b val="true"/>
      <sz val="11"/>
      <name val="Arial"/>
      <family val="2"/>
      <charset val="1"/>
    </font>
    <font>
      <sz val="11"/>
      <name val="Arial"/>
      <family val="2"/>
      <charset val="1"/>
    </font>
    <font>
      <sz val="9"/>
      <color rgb="FF595959"/>
      <name val="Arial"/>
      <family val="2"/>
      <charset val="1"/>
    </font>
    <font>
      <sz val="11"/>
      <color rgb="FF008000"/>
      <name val="Calibri"/>
      <family val="2"/>
      <charset val="1"/>
    </font>
    <font>
      <b val="true"/>
      <sz val="10"/>
      <name val="Calibri"/>
      <family val="2"/>
      <charset val="1"/>
    </font>
    <font>
      <b val="true"/>
      <sz val="10"/>
      <name val="Arial"/>
      <family val="2"/>
      <charset val="1"/>
    </font>
    <font>
      <sz val="11"/>
      <color rgb="FF008000"/>
      <name val="Arial"/>
      <family val="2"/>
      <charset val="1"/>
    </font>
    <font>
      <b val="true"/>
      <sz val="9"/>
      <color rgb="FFFFFFFF"/>
      <name val="Arial"/>
      <family val="2"/>
      <charset val="1"/>
    </font>
    <font>
      <b val="true"/>
      <sz val="9"/>
      <color rgb="FFFFFFFF"/>
      <name val="Arial"/>
      <family val="2"/>
      <charset val="1"/>
    </font>
    <font>
      <sz val="10"/>
      <color rgb="FF008000"/>
      <name val="Arial"/>
      <family val="2"/>
      <charset val="1"/>
    </font>
    <font>
      <b val="true"/>
      <sz val="10"/>
      <name val="Arial"/>
      <family val="2"/>
      <charset val="1"/>
    </font>
    <font>
      <b val="true"/>
      <sz val="11"/>
      <name val="Calibri"/>
      <family val="2"/>
      <charset val="1"/>
    </font>
    <font>
      <b val="true"/>
      <sz val="18"/>
      <color rgb="FF000000"/>
      <name val="Calibri"/>
      <family val="2"/>
    </font>
    <font>
      <sz val="10"/>
      <color rgb="FF000000"/>
      <name val="Calibri"/>
      <family val="2"/>
    </font>
    <font>
      <b val="true"/>
      <sz val="10"/>
      <color rgb="FF000000"/>
      <name val="Calibri"/>
      <family val="2"/>
    </font>
    <font>
      <b val="true"/>
      <sz val="11"/>
      <color rgb="FF000000"/>
      <name val="Arial"/>
      <family val="2"/>
      <charset val="1"/>
    </font>
    <font>
      <b val="true"/>
      <sz val="11"/>
      <color rgb="FFFFFFFF"/>
      <name val="Arial"/>
      <family val="2"/>
      <charset val="1"/>
    </font>
    <font>
      <sz val="10"/>
      <color rgb="FF595959"/>
      <name val="Arial"/>
      <family val="2"/>
      <charset val="1"/>
    </font>
    <font>
      <sz val="10"/>
      <color rgb="FF0000FF"/>
      <name val="Arial"/>
      <family val="2"/>
      <charset val="1"/>
    </font>
    <font>
      <i val="true"/>
      <sz val="9"/>
      <color rgb="FF595959"/>
      <name val="Cambria"/>
      <family val="1"/>
      <charset val="1"/>
    </font>
    <font>
      <sz val="11"/>
      <color rgb="FF548235"/>
      <name val="Arial"/>
      <family val="2"/>
      <charset val="1"/>
    </font>
    <font>
      <i val="true"/>
      <sz val="10"/>
      <color rgb="FF595959"/>
      <name val="Arial"/>
      <family val="2"/>
      <charset val="1"/>
    </font>
    <font>
      <i val="true"/>
      <sz val="9"/>
      <color rgb="FF595959"/>
      <name val="Calibri"/>
      <family val="2"/>
      <charset val="1"/>
    </font>
    <font>
      <b val="true"/>
      <sz val="14"/>
      <name val="Cambria"/>
      <family val="1"/>
      <charset val="1"/>
    </font>
    <font>
      <sz val="10"/>
      <name val="Calibri"/>
      <family val="2"/>
      <charset val="1"/>
    </font>
    <font>
      <sz val="10"/>
      <color rgb="FF000000"/>
      <name val="Calibri"/>
      <family val="2"/>
      <charset val="1"/>
    </font>
    <font>
      <b val="true"/>
      <sz val="10"/>
      <color rgb="FF000000"/>
      <name val="Calibri"/>
      <family val="2"/>
      <charset val="1"/>
    </font>
    <font>
      <sz val="10"/>
      <color rgb="FF0000FF"/>
      <name val="Calibri"/>
      <family val="2"/>
      <charset val="1"/>
    </font>
    <font>
      <b val="true"/>
      <sz val="14"/>
      <color rgb="FF000000"/>
      <name val="Arial"/>
      <family val="2"/>
      <charset val="1"/>
    </font>
    <font>
      <sz val="10"/>
      <name val="Calibri"/>
      <family val="2"/>
      <charset val="1"/>
    </font>
    <font>
      <sz val="10"/>
      <color rgb="FF0000FF"/>
      <name val="Arial"/>
      <family val="2"/>
      <charset val="1"/>
    </font>
    <font>
      <sz val="10"/>
      <name val="Arial"/>
      <family val="2"/>
      <charset val="1"/>
    </font>
    <font>
      <b val="true"/>
      <sz val="10"/>
      <color rgb="FFFFFFFF"/>
      <name val="Arial"/>
      <family val="2"/>
      <charset val="1"/>
    </font>
    <font>
      <sz val="10"/>
      <color rgb="FF008000"/>
      <name val="Arial"/>
      <family val="2"/>
      <charset val="1"/>
    </font>
    <font>
      <b val="true"/>
      <sz val="11"/>
      <color rgb="FF000000"/>
      <name val="Calibri"/>
      <family val="2"/>
      <charset val="1"/>
    </font>
  </fonts>
  <fills count="12">
    <fill>
      <patternFill patternType="none"/>
    </fill>
    <fill>
      <patternFill patternType="gray125"/>
    </fill>
    <fill>
      <patternFill patternType="solid">
        <fgColor rgb="FF8EFA00"/>
        <bgColor rgb="FF9BBB59"/>
      </patternFill>
    </fill>
    <fill>
      <patternFill patternType="solid">
        <fgColor rgb="FF4A6670"/>
        <bgColor rgb="FF595959"/>
      </patternFill>
    </fill>
    <fill>
      <patternFill patternType="solid">
        <fgColor rgb="FFF2F2F2"/>
        <bgColor rgb="FFE3F0E5"/>
      </patternFill>
    </fill>
    <fill>
      <patternFill patternType="solid">
        <fgColor rgb="FFFFC7CE"/>
        <bgColor rgb="FFF4CCCC"/>
      </patternFill>
    </fill>
    <fill>
      <patternFill patternType="solid">
        <fgColor rgb="FFCBE4F7"/>
        <bgColor rgb="FFDDEBF7"/>
      </patternFill>
    </fill>
    <fill>
      <patternFill patternType="solid">
        <fgColor rgb="FFDDEBF7"/>
        <bgColor rgb="FFE3F0E5"/>
      </patternFill>
    </fill>
    <fill>
      <patternFill patternType="solid">
        <fgColor rgb="FFD9EAD3"/>
        <bgColor rgb="FFE3F0E5"/>
      </patternFill>
    </fill>
    <fill>
      <patternFill patternType="solid">
        <fgColor rgb="FFD0CECE"/>
        <bgColor rgb="FFD9D9D9"/>
      </patternFill>
    </fill>
    <fill>
      <patternFill patternType="solid">
        <fgColor rgb="FFF4CCCC"/>
        <bgColor rgb="FFFFC7CE"/>
      </patternFill>
    </fill>
    <fill>
      <patternFill patternType="solid">
        <fgColor rgb="FFE3F0E5"/>
        <bgColor rgb="FFDDEBF7"/>
      </patternFill>
    </fill>
  </fills>
  <borders count="14">
    <border diagonalUp="false" diagonalDown="false">
      <left/>
      <right/>
      <top/>
      <bottom/>
      <diagonal/>
    </border>
    <border diagonalUp="false" diagonalDown="false">
      <left/>
      <right/>
      <top/>
      <bottom style="medium">
        <color rgb="FF4A6670"/>
      </bottom>
      <diagonal/>
    </border>
    <border diagonalUp="false" diagonalDown="false">
      <left/>
      <right/>
      <top/>
      <bottom style="thin">
        <color rgb="FF999999"/>
      </bottom>
      <diagonal/>
    </border>
    <border diagonalUp="false" diagonalDown="false">
      <left/>
      <right/>
      <top/>
      <bottom style="thin">
        <color rgb="FFD9D9D9"/>
      </bottom>
      <diagonal/>
    </border>
    <border diagonalUp="false" diagonalDown="false">
      <left/>
      <right/>
      <top style="thin">
        <color rgb="FFD9D9D9"/>
      </top>
      <bottom/>
      <diagonal/>
    </border>
    <border diagonalUp="false" diagonalDown="false">
      <left/>
      <right/>
      <top style="thin">
        <color rgb="FFD9D9D9"/>
      </top>
      <bottom style="thin">
        <color rgb="FFD9D9D9"/>
      </bottom>
      <diagonal/>
    </border>
    <border diagonalUp="false" diagonalDown="false">
      <left/>
      <right/>
      <top/>
      <bottom style="thin">
        <color rgb="FFB0B0B0"/>
      </bottom>
      <diagonal/>
    </border>
    <border diagonalUp="false" diagonalDown="false">
      <left/>
      <right/>
      <top style="medium">
        <color rgb="FF4A6670"/>
      </top>
      <bottom/>
      <diagonal/>
    </border>
    <border diagonalUp="false" diagonalDown="false">
      <left/>
      <right/>
      <top style="thin">
        <color rgb="FF999999"/>
      </top>
      <bottom style="thin">
        <color rgb="FFD9D9D9"/>
      </bottom>
      <diagonal/>
    </border>
    <border diagonalUp="false" diagonalDown="false">
      <left/>
      <right/>
      <top style="medium"/>
      <bottom/>
      <diagonal/>
    </border>
    <border diagonalUp="false" diagonalDown="false">
      <left/>
      <right/>
      <top/>
      <bottom style="thin"/>
      <diagonal/>
    </border>
    <border diagonalUp="false" diagonalDown="false">
      <left/>
      <right/>
      <top style="thin"/>
      <bottom style="thin"/>
      <diagonal/>
    </border>
    <border diagonalUp="false" diagonalDown="false">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81"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4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9" fillId="4" borderId="2" xfId="0" applyFont="true" applyBorder="true" applyAlignment="true" applyProtection="false">
      <alignment horizontal="general" vertical="center" textRotation="0" wrapText="false" indent="0" shrinkToFit="false"/>
      <protection locked="true" hidden="false"/>
    </xf>
    <xf numFmtId="164" fontId="10" fillId="4" borderId="2"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3" fillId="5"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5" fontId="11" fillId="6" borderId="3" xfId="0" applyFont="true" applyBorder="true" applyAlignment="true" applyProtection="false">
      <alignment horizontal="general" vertical="center" textRotation="0" wrapText="false" indent="0" shrinkToFit="false"/>
      <protection locked="true" hidden="false"/>
    </xf>
    <xf numFmtId="166" fontId="16" fillId="0" borderId="3" xfId="0" applyFont="true" applyBorder="true" applyAlignment="true" applyProtection="false">
      <alignment horizontal="general" vertical="center" textRotation="0" wrapText="false" indent="0" shrinkToFit="false"/>
      <protection locked="true" hidden="false"/>
    </xf>
    <xf numFmtId="164" fontId="9" fillId="4" borderId="0"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4" borderId="2" xfId="0" applyFont="true" applyBorder="true" applyAlignment="true" applyProtection="false">
      <alignment horizontal="general" vertical="center" textRotation="0" wrapText="false" indent="0" shrinkToFit="false"/>
      <protection locked="true" hidden="false"/>
    </xf>
    <xf numFmtId="164" fontId="18" fillId="4" borderId="2" xfId="0" applyFont="true" applyBorder="true" applyAlignment="true" applyProtection="false">
      <alignment horizontal="general" vertical="center" textRotation="0" wrapText="true" indent="0" shrinkToFit="false"/>
      <protection locked="true" hidden="false"/>
    </xf>
    <xf numFmtId="164" fontId="6" fillId="0" borderId="3" xfId="0" applyFont="true" applyBorder="true" applyAlignment="true" applyProtection="false">
      <alignment horizontal="general" vertical="center" textRotation="0" wrapText="true" indent="0" shrinkToFit="false"/>
      <protection locked="true" hidden="false"/>
    </xf>
    <xf numFmtId="167" fontId="19" fillId="6" borderId="3" xfId="0" applyFont="true" applyBorder="true" applyAlignment="true" applyProtection="false">
      <alignment horizontal="general" vertical="center" textRotation="0" wrapText="false" indent="0" shrinkToFit="false"/>
      <protection locked="true" hidden="false"/>
    </xf>
    <xf numFmtId="164" fontId="6" fillId="0" borderId="3" xfId="0" applyFont="true" applyBorder="true" applyAlignment="true" applyProtection="false">
      <alignment horizontal="general" vertical="center" textRotation="0" wrapText="false" indent="0" shrinkToFit="false"/>
      <protection locked="true" hidden="false"/>
    </xf>
    <xf numFmtId="164" fontId="20" fillId="0" borderId="3" xfId="0" applyFont="true" applyBorder="true" applyAlignment="true" applyProtection="false">
      <alignment horizontal="general" vertical="top" textRotation="0" wrapText="true" indent="0" shrinkToFit="false"/>
      <protection locked="true" hidden="false"/>
    </xf>
    <xf numFmtId="165" fontId="19" fillId="6" borderId="3" xfId="0" applyFont="true" applyBorder="true" applyAlignment="true" applyProtection="false">
      <alignment horizontal="general" vertical="center" textRotation="0" wrapText="false" indent="0" shrinkToFit="false"/>
      <protection locked="true" hidden="false"/>
    </xf>
    <xf numFmtId="168" fontId="19" fillId="6" borderId="3" xfId="0" applyFont="true" applyBorder="true" applyAlignment="true" applyProtection="false">
      <alignment horizontal="general" vertical="center" textRotation="0" wrapText="false" indent="0" shrinkToFit="false"/>
      <protection locked="true" hidden="false"/>
    </xf>
    <xf numFmtId="169" fontId="6" fillId="0" borderId="3" xfId="0" applyFont="true" applyBorder="true" applyAlignment="true" applyProtection="false">
      <alignment horizontal="general" vertical="center" textRotation="0" wrapText="false" indent="0" shrinkToFit="false"/>
      <protection locked="true" hidden="false"/>
    </xf>
    <xf numFmtId="167" fontId="6" fillId="0" borderId="3" xfId="0" applyFont="true" applyBorder="true" applyAlignment="true" applyProtection="false">
      <alignment horizontal="general" vertical="center" textRotation="0" wrapText="false" indent="0" shrinkToFit="false"/>
      <protection locked="true" hidden="false"/>
    </xf>
    <xf numFmtId="166" fontId="6" fillId="0" borderId="3"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70"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general" vertical="center" textRotation="0" wrapText="false" indent="0" shrinkToFit="false"/>
      <protection locked="true" hidden="false"/>
    </xf>
    <xf numFmtId="166" fontId="19" fillId="6" borderId="3" xfId="0" applyFont="true" applyBorder="true" applyAlignment="true" applyProtection="false">
      <alignment horizontal="general" vertical="center" textRotation="0" wrapText="false" indent="0" shrinkToFit="false"/>
      <protection locked="true" hidden="false"/>
    </xf>
    <xf numFmtId="171" fontId="19" fillId="0" borderId="3" xfId="0" applyFont="true" applyBorder="true" applyAlignment="true" applyProtection="false">
      <alignment horizontal="general" vertical="center"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72" fontId="10" fillId="0" borderId="3" xfId="0" applyFont="true" applyBorder="true" applyAlignment="false" applyProtection="fals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64" fontId="8" fillId="3" borderId="4" xfId="0" applyFont="true" applyBorder="true" applyAlignment="true" applyProtection="false">
      <alignment horizontal="general" vertical="center" textRotation="0" wrapText="false" indent="0" shrinkToFit="false"/>
      <protection locked="true" hidden="false"/>
    </xf>
    <xf numFmtId="173" fontId="19" fillId="6" borderId="3" xfId="0" applyFont="true" applyBorder="true" applyAlignment="true" applyProtection="false">
      <alignment horizontal="general" vertical="center" textRotation="0" wrapText="false" indent="0" shrinkToFit="false"/>
      <protection locked="true" hidden="false"/>
    </xf>
    <xf numFmtId="172" fontId="6" fillId="0" borderId="3" xfId="0" applyFont="true" applyBorder="true" applyAlignment="true" applyProtection="false">
      <alignment horizontal="general" vertical="center" textRotation="0" wrapText="false" indent="0" shrinkToFit="false"/>
      <protection locked="true" hidden="false"/>
    </xf>
    <xf numFmtId="171" fontId="6" fillId="0" borderId="3" xfId="0" applyFont="true" applyBorder="true" applyAlignment="true" applyProtection="false">
      <alignment horizontal="general"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6" fillId="6" borderId="3" xfId="0" applyFont="true" applyBorder="true" applyAlignment="true" applyProtection="false">
      <alignment horizontal="general" vertical="center" textRotation="0" wrapText="false" indent="0" shrinkToFit="false"/>
      <protection locked="true" hidden="false"/>
    </xf>
    <xf numFmtId="164" fontId="0" fillId="0" borderId="3" xfId="0" applyFont="false" applyBorder="true" applyAlignment="true" applyProtection="false">
      <alignment horizontal="general" vertical="center" textRotation="0" wrapText="false" indent="0" shrinkToFit="false"/>
      <protection locked="true" hidden="false"/>
    </xf>
    <xf numFmtId="164" fontId="20" fillId="0" borderId="3" xfId="0" applyFont="true" applyBorder="true" applyAlignment="true" applyProtection="false">
      <alignment horizontal="general" vertical="center" textRotation="0" wrapText="true" indent="0" shrinkToFit="false"/>
      <protection locked="true" hidden="false"/>
    </xf>
    <xf numFmtId="166" fontId="6" fillId="6" borderId="3" xfId="0" applyFont="true" applyBorder="true" applyAlignment="true" applyProtection="false">
      <alignment horizontal="general" vertical="center"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74" fontId="6" fillId="0" borderId="3" xfId="0" applyFont="true" applyBorder="true" applyAlignment="true" applyProtection="false">
      <alignment horizontal="general" vertical="center" textRotation="0" wrapText="false" indent="0" shrinkToFit="false"/>
      <protection locked="true" hidden="false"/>
    </xf>
    <xf numFmtId="164" fontId="20" fillId="0" borderId="5" xfId="0" applyFont="true" applyBorder="true" applyAlignment="true" applyProtection="false">
      <alignment horizontal="general"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10" fillId="4" borderId="2" xfId="0" applyFont="true" applyBorder="true" applyAlignment="false" applyProtection="false">
      <alignment horizontal="general" vertical="bottom" textRotation="0" wrapText="false" indent="0" shrinkToFit="false"/>
      <protection locked="true" hidden="false"/>
    </xf>
    <xf numFmtId="175" fontId="6" fillId="6" borderId="3" xfId="0" applyFont="true" applyBorder="true" applyAlignment="true" applyProtection="false">
      <alignment horizontal="general" vertical="center" textRotation="0" wrapText="false" indent="0" shrinkToFit="false"/>
      <protection locked="true" hidden="false"/>
    </xf>
    <xf numFmtId="164" fontId="18" fillId="4" borderId="2" xfId="0" applyFont="true" applyBorder="true" applyAlignment="true" applyProtection="false">
      <alignment horizontal="general" vertical="top" textRotation="0" wrapText="true" indent="0" shrinkToFit="false"/>
      <protection locked="true" hidden="false"/>
    </xf>
    <xf numFmtId="175" fontId="19" fillId="6" borderId="3" xfId="0" applyFont="true" applyBorder="true" applyAlignment="true" applyProtection="false">
      <alignment horizontal="general" vertical="center" textRotation="0" wrapText="false" indent="0" shrinkToFit="false"/>
      <protection locked="true" hidden="false"/>
    </xf>
    <xf numFmtId="164" fontId="20" fillId="0" borderId="5"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76" fontId="6" fillId="6" borderId="3" xfId="0" applyFont="true" applyBorder="true" applyAlignment="true" applyProtection="false">
      <alignment horizontal="general" vertical="center"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22"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center" textRotation="0" wrapText="true" indent="0" shrinkToFit="false"/>
      <protection locked="true" hidden="false"/>
    </xf>
    <xf numFmtId="176" fontId="10" fillId="0" borderId="3" xfId="0" applyFont="true" applyBorder="true" applyAlignment="true" applyProtection="false">
      <alignment horizontal="general" vertical="center" textRotation="0" wrapText="false" indent="0" shrinkToFit="false"/>
      <protection locked="true" hidden="false"/>
    </xf>
    <xf numFmtId="176" fontId="6" fillId="0" borderId="3"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23" fillId="4"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74" fontId="24" fillId="6"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xf numFmtId="176" fontId="24" fillId="6" borderId="0" xfId="0" applyFont="true" applyBorder="false" applyAlignment="true" applyProtection="false">
      <alignment horizontal="general" vertical="bottom" textRotation="0" wrapText="false" indent="0" shrinkToFit="false"/>
      <protection locked="true" hidden="false"/>
    </xf>
    <xf numFmtId="174" fontId="24" fillId="0" borderId="0" xfId="0" applyFont="true" applyBorder="false" applyAlignment="tru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77" fontId="6" fillId="0" borderId="3" xfId="0" applyFont="true" applyBorder="true" applyAlignment="true" applyProtection="false">
      <alignment horizontal="general" vertical="center" textRotation="0" wrapText="false" indent="0" shrinkToFit="false"/>
      <protection locked="true" hidden="false"/>
    </xf>
    <xf numFmtId="165" fontId="10" fillId="0" borderId="3" xfId="0" applyFont="true" applyBorder="true" applyAlignment="true" applyProtection="false">
      <alignment horizontal="general" vertical="center" textRotation="0" wrapText="false" indent="0" shrinkToFit="false"/>
      <protection locked="true" hidden="false"/>
    </xf>
    <xf numFmtId="176" fontId="24" fillId="0" borderId="0" xfId="0" applyFont="true" applyBorder="false" applyAlignment="true" applyProtection="false">
      <alignment horizontal="general" vertical="bottom" textRotation="0" wrapText="false" indent="0" shrinkToFit="false"/>
      <protection locked="true" hidden="false"/>
    </xf>
    <xf numFmtId="176" fontId="2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72" fontId="24"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76" fontId="27" fillId="0" borderId="0" xfId="0" applyFont="true" applyBorder="false" applyAlignment="false" applyProtection="false">
      <alignment horizontal="general" vertical="bottom" textRotation="0" wrapText="false" indent="0" shrinkToFit="false"/>
      <protection locked="true" hidden="false"/>
    </xf>
    <xf numFmtId="168" fontId="19" fillId="0" borderId="3" xfId="0" applyFont="true" applyBorder="true" applyAlignment="true" applyProtection="false">
      <alignment horizontal="general" vertical="center" textRotation="0" wrapText="false" indent="0" shrinkToFit="false"/>
      <protection locked="true" hidden="false"/>
    </xf>
    <xf numFmtId="176" fontId="4" fillId="0" borderId="3" xfId="0" applyFont="true" applyBorder="true" applyAlignment="true" applyProtection="false">
      <alignment horizontal="general" vertical="center" textRotation="0" wrapText="false" indent="0" shrinkToFit="false"/>
      <protection locked="true" hidden="false"/>
    </xf>
    <xf numFmtId="166" fontId="4" fillId="0" borderId="3" xfId="0" applyFont="true" applyBorder="true" applyAlignment="true" applyProtection="false">
      <alignment horizontal="general" vertical="center" textRotation="0" wrapText="false" indent="0" shrinkToFit="false"/>
      <protection locked="true" hidden="false"/>
    </xf>
    <xf numFmtId="164" fontId="8" fillId="9"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8" fontId="6" fillId="10" borderId="3" xfId="0" applyFont="true" applyBorder="true" applyAlignment="true" applyProtection="false">
      <alignment horizontal="general" vertical="center" textRotation="0" wrapText="false" indent="0" shrinkToFit="false"/>
      <protection locked="true" hidden="false"/>
    </xf>
    <xf numFmtId="168" fontId="29" fillId="0" borderId="3" xfId="0" applyFont="true" applyBorder="true" applyAlignment="true" applyProtection="false">
      <alignment horizontal="general" vertical="center" textRotation="0" wrapText="false" indent="0" shrinkToFit="false"/>
      <protection locked="true" hidden="false"/>
    </xf>
    <xf numFmtId="168" fontId="6" fillId="8" borderId="3" xfId="0" applyFont="true" applyBorder="true" applyAlignment="true" applyProtection="false">
      <alignment horizontal="general" vertical="center" textRotation="0" wrapText="false" indent="0" shrinkToFit="false"/>
      <protection locked="true" hidden="false"/>
    </xf>
    <xf numFmtId="176" fontId="20" fillId="0" borderId="3" xfId="0" applyFont="true" applyBorder="true" applyAlignment="true" applyProtection="false">
      <alignment horizontal="general"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30" fillId="9" borderId="6" xfId="0" applyFont="true" applyBorder="true" applyAlignment="false" applyProtection="false">
      <alignment horizontal="general" vertical="bottom" textRotation="0" wrapText="false" indent="0" shrinkToFit="false"/>
      <protection locked="true" hidden="false"/>
    </xf>
    <xf numFmtId="164" fontId="30" fillId="3" borderId="6" xfId="0" applyFont="true" applyBorder="true" applyAlignment="true" applyProtection="false">
      <alignment horizontal="general" vertical="top" textRotation="0" wrapText="true" indent="0" shrinkToFit="false"/>
      <protection locked="true" hidden="false"/>
    </xf>
    <xf numFmtId="164" fontId="31" fillId="3" borderId="0" xfId="0" applyFont="true" applyBorder="false" applyAlignment="true" applyProtection="false">
      <alignment horizontal="general" vertical="bottom" textRotation="0" wrapText="true" indent="0" shrinkToFit="false"/>
      <protection locked="true" hidden="false"/>
    </xf>
    <xf numFmtId="165" fontId="6" fillId="0" borderId="3" xfId="0" applyFont="true" applyBorder="true" applyAlignment="true" applyProtection="false">
      <alignment horizontal="general" vertical="center" textRotation="0" wrapText="false" indent="0" shrinkToFit="false"/>
      <protection locked="true" hidden="false"/>
    </xf>
    <xf numFmtId="165" fontId="29" fillId="0" borderId="3" xfId="0" applyFont="true" applyBorder="true" applyAlignment="true" applyProtection="false">
      <alignment horizontal="general" vertical="center" textRotation="0" wrapText="false" indent="0" shrinkToFit="false"/>
      <protection locked="true" hidden="false"/>
    </xf>
    <xf numFmtId="174" fontId="17" fillId="0" borderId="6" xfId="0" applyFont="true" applyBorder="true" applyAlignment="false" applyProtection="false">
      <alignment horizontal="general" vertical="bottom" textRotation="0" wrapText="false" indent="0" shrinkToFit="false"/>
      <protection locked="true" hidden="false"/>
    </xf>
    <xf numFmtId="165" fontId="17" fillId="0" borderId="6" xfId="0" applyFont="true" applyBorder="true" applyAlignment="false" applyProtection="false">
      <alignment horizontal="general" vertical="bottom" textRotation="0" wrapText="false" indent="0" shrinkToFit="false"/>
      <protection locked="true" hidden="false"/>
    </xf>
    <xf numFmtId="176" fontId="17" fillId="0" borderId="6" xfId="0" applyFont="true" applyBorder="true" applyAlignment="false" applyProtection="false">
      <alignment horizontal="general" vertical="bottom" textRotation="0" wrapText="false" indent="0" shrinkToFit="false"/>
      <protection locked="true" hidden="false"/>
    </xf>
    <xf numFmtId="175" fontId="17" fillId="0" borderId="6" xfId="0" applyFont="true" applyBorder="true" applyAlignment="false" applyProtection="false">
      <alignment horizontal="general" vertical="bottom" textRotation="0" wrapText="false" indent="0" shrinkToFit="false"/>
      <protection locked="true" hidden="false"/>
    </xf>
    <xf numFmtId="166" fontId="17" fillId="0" borderId="6" xfId="0" applyFont="true" applyBorder="true" applyAlignment="false" applyProtection="false">
      <alignment horizontal="general" vertical="bottom" textRotation="0" wrapText="false" indent="0" shrinkToFit="false"/>
      <protection locked="true" hidden="false"/>
    </xf>
    <xf numFmtId="164" fontId="17" fillId="0" borderId="6" xfId="0" applyFont="true" applyBorder="true" applyAlignment="false" applyProtection="false">
      <alignment horizontal="general" vertical="bottom" textRotation="0" wrapText="false" indent="0" shrinkToFit="false"/>
      <protection locked="true" hidden="false"/>
    </xf>
    <xf numFmtId="164" fontId="32" fillId="0" borderId="6" xfId="0" applyFont="true" applyBorder="true" applyAlignment="false" applyProtection="false">
      <alignment horizontal="general" vertical="bottom" textRotation="0" wrapText="false" indent="0" shrinkToFit="false"/>
      <protection locked="true" hidden="false"/>
    </xf>
    <xf numFmtId="176" fontId="28" fillId="0" borderId="6" xfId="0" applyFont="true" applyBorder="true" applyAlignment="true" applyProtection="false">
      <alignment horizontal="general" vertical="top" textRotation="0" wrapText="true" indent="0" shrinkToFit="false"/>
      <protection locked="true" hidden="false"/>
    </xf>
    <xf numFmtId="171" fontId="33" fillId="0" borderId="0" xfId="0" applyFont="true" applyBorder="false" applyAlignment="true" applyProtection="false">
      <alignment horizontal="general" vertical="bottom" textRotation="0" wrapText="true" indent="0" shrinkToFit="false"/>
      <protection locked="true" hidden="false"/>
    </xf>
    <xf numFmtId="166" fontId="6" fillId="10" borderId="3" xfId="0" applyFont="true" applyBorder="true" applyAlignment="true" applyProtection="false">
      <alignment horizontal="general" vertical="center" textRotation="0" wrapText="false" indent="0" shrinkToFit="false"/>
      <protection locked="true" hidden="false"/>
    </xf>
    <xf numFmtId="166" fontId="29" fillId="0" borderId="3" xfId="0" applyFont="true" applyBorder="true" applyAlignment="true" applyProtection="false">
      <alignment horizontal="general" vertical="center" textRotation="0" wrapText="false" indent="0" shrinkToFit="false"/>
      <protection locked="true" hidden="false"/>
    </xf>
    <xf numFmtId="166" fontId="6" fillId="8" borderId="3" xfId="0" applyFont="true" applyBorder="true" applyAlignment="true" applyProtection="false">
      <alignment horizontal="general" vertical="center" textRotation="0" wrapText="false" indent="0" shrinkToFit="false"/>
      <protection locked="true" hidden="false"/>
    </xf>
    <xf numFmtId="176" fontId="6" fillId="10" borderId="3" xfId="0" applyFont="true" applyBorder="true" applyAlignment="true" applyProtection="false">
      <alignment horizontal="general" vertical="center" textRotation="0" wrapText="false" indent="0" shrinkToFit="false"/>
      <protection locked="true" hidden="false"/>
    </xf>
    <xf numFmtId="176" fontId="29" fillId="0" borderId="3" xfId="0" applyFont="true" applyBorder="true" applyAlignment="true" applyProtection="false">
      <alignment horizontal="general" vertical="center" textRotation="0" wrapText="false" indent="0" shrinkToFit="false"/>
      <protection locked="true" hidden="false"/>
    </xf>
    <xf numFmtId="176" fontId="6" fillId="8" borderId="3" xfId="0" applyFont="true" applyBorder="true" applyAlignment="true" applyProtection="false">
      <alignment horizontal="general" vertical="center" textRotation="0" wrapText="false" indent="0" shrinkToFit="false"/>
      <protection locked="true" hidden="false"/>
    </xf>
    <xf numFmtId="165" fontId="6" fillId="10" borderId="3" xfId="0" applyFont="true" applyBorder="true" applyAlignment="true" applyProtection="false">
      <alignment horizontal="general" vertical="center" textRotation="0" wrapText="false" indent="0" shrinkToFit="false"/>
      <protection locked="true" hidden="false"/>
    </xf>
    <xf numFmtId="165" fontId="6" fillId="8" borderId="3" xfId="0" applyFont="true" applyBorder="true" applyAlignment="true" applyProtection="false">
      <alignment horizontal="general" vertical="center" textRotation="0" wrapText="false" indent="0" shrinkToFit="false"/>
      <protection locked="true" hidden="false"/>
    </xf>
    <xf numFmtId="176" fontId="20" fillId="0" borderId="3" xfId="0" applyFont="true" applyBorder="true" applyAlignment="true" applyProtection="false">
      <alignment horizontal="general" vertical="center" textRotation="0" wrapText="false" indent="0" shrinkToFit="false"/>
      <protection locked="true" hidden="false"/>
    </xf>
    <xf numFmtId="164" fontId="20" fillId="0" borderId="6" xfId="0" applyFont="true" applyBorder="true" applyAlignment="false" applyProtection="false">
      <alignment horizontal="general" vertical="bottom" textRotation="0" wrapText="false" indent="0" shrinkToFit="false"/>
      <protection locked="true" hidden="false"/>
    </xf>
    <xf numFmtId="175" fontId="6" fillId="10" borderId="3" xfId="0" applyFont="true" applyBorder="true" applyAlignment="true" applyProtection="false">
      <alignment horizontal="general" vertical="center" textRotation="0" wrapText="false" indent="0" shrinkToFit="false"/>
      <protection locked="true" hidden="false"/>
    </xf>
    <xf numFmtId="175" fontId="29" fillId="0" borderId="3" xfId="0" applyFont="true" applyBorder="true" applyAlignment="true" applyProtection="false">
      <alignment horizontal="general" vertical="center" textRotation="0" wrapText="false" indent="0" shrinkToFit="false"/>
      <protection locked="true" hidden="false"/>
    </xf>
    <xf numFmtId="175" fontId="6" fillId="8" borderId="3" xfId="0" applyFont="true" applyBorder="true" applyAlignment="true" applyProtection="false">
      <alignment horizontal="general" vertical="center" textRotation="0" wrapText="false" indent="0" shrinkToFit="false"/>
      <protection locked="true" hidden="false"/>
    </xf>
    <xf numFmtId="164" fontId="20" fillId="0" borderId="3" xfId="0" applyFont="true" applyBorder="true" applyAlignment="true" applyProtection="false">
      <alignment horizontal="general" vertical="center" textRotation="0" wrapText="false" indent="0" shrinkToFit="false"/>
      <protection locked="true" hidden="false"/>
    </xf>
    <xf numFmtId="167" fontId="6" fillId="10" borderId="3" xfId="0" applyFont="true" applyBorder="true" applyAlignment="true" applyProtection="false">
      <alignment horizontal="general" vertical="center" textRotation="0" wrapText="false" indent="0" shrinkToFit="false"/>
      <protection locked="true" hidden="false"/>
    </xf>
    <xf numFmtId="167" fontId="6" fillId="8" borderId="3" xfId="0" applyFont="true" applyBorder="true" applyAlignment="true" applyProtection="false">
      <alignment horizontal="general" vertical="center"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72" fontId="6" fillId="10" borderId="3"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72" fontId="6" fillId="8" borderId="3" xfId="0" applyFont="true" applyBorder="true" applyAlignment="false" applyProtection="false">
      <alignment horizontal="general" vertical="bottom" textRotation="0" wrapText="false" indent="0" shrinkToFit="false"/>
      <protection locked="true" hidden="false"/>
    </xf>
    <xf numFmtId="174" fontId="17"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76" fontId="17" fillId="0" borderId="0" xfId="0" applyFont="true" applyBorder="false" applyAlignment="false" applyProtection="false">
      <alignment horizontal="general" vertical="bottom" textRotation="0" wrapText="false" indent="0" shrinkToFit="false"/>
      <protection locked="true" hidden="false"/>
    </xf>
    <xf numFmtId="17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6" fontId="28" fillId="0" borderId="0" xfId="0" applyFont="true" applyBorder="false" applyAlignment="true" applyProtection="false">
      <alignment horizontal="general" vertical="top" textRotation="0" wrapText="true" indent="0" shrinkToFit="false"/>
      <protection locked="true" hidden="false"/>
    </xf>
    <xf numFmtId="176" fontId="18" fillId="4" borderId="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64" fontId="15" fillId="0" borderId="3" xfId="0" applyFont="true" applyBorder="true" applyAlignment="true" applyProtection="false">
      <alignment horizontal="general" vertical="top" textRotation="0" wrapText="tru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78" fontId="6" fillId="0" borderId="3" xfId="0" applyFont="true" applyBorder="true" applyAlignment="true" applyProtection="false">
      <alignment horizontal="general" vertical="center" textRotation="0" wrapText="false" indent="0" shrinkToFit="false"/>
      <protection locked="true" hidden="false"/>
    </xf>
    <xf numFmtId="176" fontId="10" fillId="11" borderId="3" xfId="0" applyFont="true" applyBorder="true" applyAlignment="true" applyProtection="false">
      <alignment horizontal="general" vertical="center"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72" fontId="23" fillId="11"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6" fontId="23" fillId="11" borderId="0" xfId="0" applyFont="true" applyBorder="false" applyAlignment="true" applyProtection="false">
      <alignment horizontal="general" vertical="bottom" textRotation="0" wrapText="false" indent="0" shrinkToFit="false"/>
      <protection locked="true" hidden="false"/>
    </xf>
    <xf numFmtId="164" fontId="39" fillId="3" borderId="0" xfId="0" applyFont="true" applyBorder="false" applyAlignment="true" applyProtection="false">
      <alignment horizontal="general" vertical="bottom" textRotation="0" wrapText="false" indent="0" shrinkToFit="false"/>
      <protection locked="true" hidden="false"/>
    </xf>
    <xf numFmtId="168" fontId="24" fillId="6" borderId="0" xfId="0" applyFont="true" applyBorder="false" applyAlignment="true" applyProtection="false">
      <alignment horizontal="general" vertical="bottom" textRotation="0" wrapText="false" indent="0" shrinkToFit="false"/>
      <protection locked="true" hidden="false"/>
    </xf>
    <xf numFmtId="165" fontId="24" fillId="6" borderId="0" xfId="0" applyFont="true" applyBorder="false" applyAlignment="true" applyProtection="false">
      <alignment horizontal="general" vertical="bottom" textRotation="0" wrapText="false" indent="0" shrinkToFit="false"/>
      <protection locked="true" hidden="false"/>
    </xf>
    <xf numFmtId="176" fontId="23"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general" vertical="top" textRotation="0" wrapText="true" indent="0" shrinkToFit="false"/>
      <protection locked="true" hidden="false"/>
    </xf>
    <xf numFmtId="172" fontId="19" fillId="6" borderId="3" xfId="0" applyFont="true" applyBorder="true" applyAlignment="true" applyProtection="false">
      <alignment horizontal="general" vertical="center" textRotation="0" wrapText="false" indent="0" shrinkToFit="false"/>
      <protection locked="true" hidden="false"/>
    </xf>
    <xf numFmtId="169" fontId="29" fillId="0" borderId="3" xfId="0" applyFont="true" applyBorder="true" applyAlignment="true" applyProtection="false">
      <alignment horizontal="general" vertical="center" textRotation="0" wrapText="false" indent="0" shrinkToFit="false"/>
      <protection locked="true" hidden="false"/>
    </xf>
    <xf numFmtId="164" fontId="17" fillId="0" borderId="3" xfId="0" applyFont="true" applyBorder="true" applyAlignment="tru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21" fillId="3" borderId="3" xfId="0" applyFont="true" applyBorder="true" applyAlignment="true" applyProtection="false">
      <alignment horizontal="general" vertical="center" textRotation="0" wrapText="false" indent="0" shrinkToFit="false"/>
      <protection locked="true" hidden="false"/>
    </xf>
    <xf numFmtId="173" fontId="6" fillId="0" borderId="3" xfId="0" applyFont="true" applyBorder="true" applyAlignment="true" applyProtection="false">
      <alignment horizontal="general" vertical="center" textRotation="0" wrapText="false" indent="0" shrinkToFit="false"/>
      <protection locked="true" hidden="false"/>
    </xf>
    <xf numFmtId="172" fontId="10" fillId="0" borderId="3" xfId="0" applyFont="true" applyBorder="true" applyAlignment="true" applyProtection="false">
      <alignment horizontal="general" vertical="center" textRotation="0" wrapText="false" indent="0" shrinkToFit="false"/>
      <protection locked="true" hidden="false"/>
    </xf>
    <xf numFmtId="171" fontId="19" fillId="6" borderId="3" xfId="0" applyFont="true" applyBorder="true" applyAlignment="true" applyProtection="false">
      <alignment horizontal="right" vertical="center" textRotation="0" wrapText="false" indent="0" shrinkToFit="false"/>
      <protection locked="true" hidden="false"/>
    </xf>
    <xf numFmtId="173" fontId="41" fillId="6" borderId="3" xfId="0" applyFont="true" applyBorder="true" applyAlignment="true" applyProtection="false">
      <alignment horizontal="general" vertical="center" textRotation="0" wrapText="false" indent="0" shrinkToFit="false"/>
      <protection locked="true" hidden="false"/>
    </xf>
    <xf numFmtId="178" fontId="19" fillId="6" borderId="3" xfId="0" applyFont="true" applyBorder="true" applyAlignment="true" applyProtection="false">
      <alignment horizontal="general" vertical="center"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76" fontId="43" fillId="0" borderId="3" xfId="0" applyFont="true" applyBorder="true" applyAlignment="tru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general" vertical="center" textRotation="0" wrapText="true" indent="0" shrinkToFit="false"/>
      <protection locked="true" hidden="false"/>
    </xf>
    <xf numFmtId="166" fontId="10" fillId="0" borderId="3"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79" fontId="6" fillId="0" borderId="6" xfId="0" applyFont="true" applyBorder="true" applyAlignment="false" applyProtection="false">
      <alignment horizontal="general" vertical="bottom" textRotation="0" wrapText="false" indent="0" shrinkToFit="false"/>
      <protection locked="true" hidden="false"/>
    </xf>
    <xf numFmtId="164" fontId="20" fillId="0" borderId="6"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8" fillId="4" borderId="3" xfId="0" applyFont="true" applyBorder="true" applyAlignment="true" applyProtection="false">
      <alignment horizontal="left" vertical="center" textRotation="0" wrapText="true" indent="0" shrinkToFit="false"/>
      <protection locked="true" hidden="false"/>
    </xf>
    <xf numFmtId="164" fontId="18" fillId="4" borderId="3" xfId="0" applyFont="true" applyBorder="true" applyAlignment="true" applyProtection="false">
      <alignment horizontal="right"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center" textRotation="0" wrapText="true" indent="0" shrinkToFit="false"/>
      <protection locked="true" hidden="false"/>
    </xf>
    <xf numFmtId="174" fontId="19" fillId="6" borderId="3" xfId="0" applyFont="true" applyBorder="true" applyAlignment="true" applyProtection="false">
      <alignment horizontal="general" vertical="center" textRotation="0" wrapText="false" indent="0" shrinkToFit="false"/>
      <protection locked="true" hidden="false"/>
    </xf>
    <xf numFmtId="174" fontId="4" fillId="0" borderId="3" xfId="0" applyFont="true" applyBorder="true" applyAlignment="true" applyProtection="false">
      <alignment horizontal="general" vertical="center" textRotation="0" wrapText="false" indent="0" shrinkToFit="false"/>
      <protection locked="true" hidden="false"/>
    </xf>
    <xf numFmtId="179" fontId="4" fillId="0" borderId="3" xfId="0" applyFont="true" applyBorder="true" applyAlignment="true" applyProtection="false">
      <alignment horizontal="general" vertical="center" textRotation="0" wrapText="false" indent="0" shrinkToFit="false"/>
      <protection locked="true" hidden="false"/>
    </xf>
    <xf numFmtId="179" fontId="38" fillId="0" borderId="3" xfId="0" applyFont="true" applyBorder="true" applyAlignment="true" applyProtection="false">
      <alignment horizontal="general" vertical="center" textRotation="0" wrapText="false" indent="0" shrinkToFit="false"/>
      <protection locked="true" hidden="false"/>
    </xf>
    <xf numFmtId="164" fontId="45" fillId="0" borderId="3" xfId="0" applyFont="true" applyBorder="true" applyAlignment="true" applyProtection="false">
      <alignment horizontal="general" vertical="top" textRotation="0" wrapText="tru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3" fontId="4" fillId="0" borderId="3"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74" fontId="4" fillId="0" borderId="0" xfId="0" applyFont="true" applyBorder="false" applyAlignment="true" applyProtection="false">
      <alignment horizontal="general" vertical="center" textRotation="0" wrapText="true" indent="0" shrinkToFit="false"/>
      <protection locked="true" hidden="false"/>
    </xf>
    <xf numFmtId="179" fontId="17" fillId="0" borderId="0" xfId="0" applyFont="true" applyBorder="false" applyAlignment="false" applyProtection="false">
      <alignment horizontal="general" vertical="bottom" textRotation="0" wrapText="false" indent="0" shrinkToFit="false"/>
      <protection locked="true" hidden="false"/>
    </xf>
    <xf numFmtId="173" fontId="17"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true" applyAlignment="false" applyProtection="false">
      <alignment horizontal="general" vertical="bottom" textRotation="0" wrapText="false" indent="0" shrinkToFit="false"/>
      <protection locked="true" hidden="false"/>
    </xf>
    <xf numFmtId="164" fontId="20" fillId="0" borderId="7" xfId="0" applyFont="true" applyBorder="true" applyAlignment="true" applyProtection="false">
      <alignment horizontal="general" vertical="top" textRotation="0" wrapText="true" indent="0" shrinkToFit="false"/>
      <protection locked="true" hidden="false"/>
    </xf>
    <xf numFmtId="164" fontId="17" fillId="0" borderId="3" xfId="0" applyFont="true" applyBorder="true" applyAlignment="true" applyProtection="false">
      <alignment horizontal="general" vertical="center" textRotation="0" wrapText="true" indent="0" shrinkToFit="false"/>
      <protection locked="true" hidden="false"/>
    </xf>
    <xf numFmtId="164" fontId="20" fillId="0" borderId="8" xfId="0" applyFont="true" applyBorder="true" applyAlignment="true" applyProtection="false">
      <alignment horizontal="general" vertical="center" textRotation="0" wrapText="true" indent="0" shrinkToFit="false"/>
      <protection locked="true" hidden="false"/>
    </xf>
    <xf numFmtId="164" fontId="8" fillId="3" borderId="9" xfId="0" applyFont="true" applyBorder="true" applyAlignment="true" applyProtection="false">
      <alignment horizontal="general" vertical="top" textRotation="0" wrapText="true" indent="0" shrinkToFit="false"/>
      <protection locked="true" hidden="false"/>
    </xf>
    <xf numFmtId="164" fontId="18" fillId="4" borderId="10" xfId="0" applyFont="true" applyBorder="true" applyAlignment="false" applyProtection="false">
      <alignment horizontal="general" vertical="bottom" textRotation="0" wrapText="false" indent="0" shrinkToFit="false"/>
      <protection locked="true" hidden="false"/>
    </xf>
    <xf numFmtId="164" fontId="47" fillId="0" borderId="10" xfId="0" applyFont="true" applyBorder="true" applyAlignment="false" applyProtection="false">
      <alignment horizontal="general" vertical="bottom" textRotation="0" wrapText="false" indent="0" shrinkToFit="false"/>
      <protection locked="true" hidden="false"/>
    </xf>
    <xf numFmtId="166" fontId="41" fillId="6" borderId="10" xfId="0" applyFont="true" applyBorder="true" applyAlignment="true" applyProtection="false">
      <alignment horizontal="center" vertical="bottom" textRotation="0" wrapText="false" indent="0" shrinkToFit="false"/>
      <protection locked="true" hidden="false"/>
    </xf>
    <xf numFmtId="164" fontId="20" fillId="0" borderId="11" xfId="0" applyFont="true" applyBorder="true" applyAlignment="true" applyProtection="false">
      <alignment horizontal="general" vertical="top" textRotation="0" wrapText="true" indent="0" shrinkToFit="false"/>
      <protection locked="true" hidden="false"/>
    </xf>
    <xf numFmtId="165" fontId="48" fillId="0" borderId="10" xfId="0" applyFont="true" applyBorder="true" applyAlignment="true" applyProtection="false">
      <alignment horizontal="center" vertical="bottom" textRotation="0" wrapText="false" indent="0" shrinkToFit="false"/>
      <protection locked="true" hidden="false"/>
    </xf>
    <xf numFmtId="172" fontId="48" fillId="0" borderId="10" xfId="0" applyFont="true" applyBorder="true" applyAlignment="true" applyProtection="false">
      <alignment horizontal="center" vertical="bottom" textRotation="0" wrapText="false" indent="0" shrinkToFit="false"/>
      <protection locked="true" hidden="false"/>
    </xf>
    <xf numFmtId="171" fontId="48" fillId="0" borderId="10" xfId="0" applyFont="true" applyBorder="true" applyAlignment="true" applyProtection="false">
      <alignment horizontal="center" vertical="bottom" textRotation="0" wrapText="false" indent="0" shrinkToFit="false"/>
      <protection locked="true" hidden="false"/>
    </xf>
    <xf numFmtId="166" fontId="48" fillId="0" borderId="10" xfId="0" applyFont="true" applyBorder="true" applyAlignment="true" applyProtection="false">
      <alignment horizontal="center"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76" fontId="48" fillId="0" borderId="10" xfId="0" applyFont="true" applyBorder="true" applyAlignment="true" applyProtection="false">
      <alignment horizontal="center" vertical="bottom" textRotation="0" wrapText="false" indent="0" shrinkToFit="false"/>
      <protection locked="true" hidden="false"/>
    </xf>
    <xf numFmtId="176" fontId="49" fillId="0" borderId="10" xfId="0" applyFont="true" applyBorder="true" applyAlignment="true" applyProtection="false">
      <alignment horizontal="center"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73" fontId="50" fillId="6" borderId="10" xfId="0" applyFont="true" applyBorder="true" applyAlignment="true" applyProtection="false">
      <alignment horizontal="center" vertical="bottom" textRotation="0" wrapText="false" indent="0" shrinkToFit="false"/>
      <protection locked="true" hidden="false"/>
    </xf>
    <xf numFmtId="164" fontId="22" fillId="0" borderId="11" xfId="0" applyFont="true" applyBorder="true" applyAlignment="true" applyProtection="false">
      <alignment horizontal="general" vertical="top" textRotation="0" wrapText="true" indent="0" shrinkToFit="false"/>
      <protection locked="true" hidden="false"/>
    </xf>
    <xf numFmtId="172" fontId="48" fillId="6" borderId="10" xfId="0" applyFont="true" applyBorder="true" applyAlignment="true" applyProtection="false">
      <alignment horizontal="center" vertical="bottom" textRotation="0" wrapText="false" indent="0" shrinkToFit="false"/>
      <protection locked="true" hidden="false"/>
    </xf>
    <xf numFmtId="180" fontId="49" fillId="0" borderId="10" xfId="0" applyFont="true" applyBorder="true" applyAlignment="true" applyProtection="false">
      <alignment horizontal="center" vertical="bottom" textRotation="0" wrapText="false" indent="0" shrinkToFit="false"/>
      <protection locked="true" hidden="false"/>
    </xf>
    <xf numFmtId="164" fontId="0" fillId="3" borderId="9" xfId="0" applyFont="false" applyBorder="true" applyAlignment="false" applyProtection="false">
      <alignment horizontal="general" vertical="bottom" textRotation="0" wrapText="false" indent="0" shrinkToFit="false"/>
      <protection locked="true" hidden="false"/>
    </xf>
    <xf numFmtId="168" fontId="50" fillId="6" borderId="10" xfId="0" applyFont="true" applyBorder="true" applyAlignment="true" applyProtection="false">
      <alignment horizontal="center" vertical="bottom" textRotation="0" wrapText="false" indent="0" shrinkToFit="false"/>
      <protection locked="true" hidden="false"/>
    </xf>
    <xf numFmtId="173" fontId="48" fillId="0" borderId="10" xfId="0" applyFont="true" applyBorder="true" applyAlignment="true" applyProtection="false">
      <alignment horizontal="center" vertical="bottom" textRotation="0" wrapText="false" indent="0" shrinkToFit="false"/>
      <protection locked="true" hidden="false"/>
    </xf>
    <xf numFmtId="164" fontId="47" fillId="0" borderId="10" xfId="0" applyFont="true" applyBorder="true" applyAlignment="true" applyProtection="false">
      <alignment horizontal="general" vertical="top" textRotation="0" wrapText="true" indent="0" shrinkToFit="false"/>
      <protection locked="true" hidden="false"/>
    </xf>
    <xf numFmtId="164" fontId="22" fillId="0" borderId="10" xfId="0" applyFont="true" applyBorder="true" applyAlignment="true" applyProtection="false">
      <alignment horizontal="general" vertical="top" textRotation="0" wrapText="true" indent="0" shrinkToFit="false"/>
      <protection locked="true" hidden="false"/>
    </xf>
    <xf numFmtId="176" fontId="47" fillId="0" borderId="0" xfId="0" applyFont="true" applyBorder="false" applyAlignment="false" applyProtection="false">
      <alignment horizontal="general" vertical="bottom" textRotation="0" wrapText="false" indent="0" shrinkToFit="false"/>
      <protection locked="true" hidden="false"/>
    </xf>
    <xf numFmtId="180" fontId="47" fillId="0" borderId="0" xfId="0" applyFont="true" applyBorder="false" applyAlignment="false" applyProtection="false">
      <alignment horizontal="general" vertical="bottom" textRotation="0" wrapText="false" indent="0" shrinkToFit="false"/>
      <protection locked="true" hidden="false"/>
    </xf>
    <xf numFmtId="164" fontId="51" fillId="0" borderId="12" xfId="0" applyFont="true" applyBorder="true" applyAlignment="true" applyProtection="false">
      <alignment horizontal="left" vertical="center" textRotation="0" wrapText="true" indent="0" shrinkToFit="false"/>
      <protection locked="true" hidden="false"/>
    </xf>
    <xf numFmtId="164" fontId="10" fillId="4" borderId="13" xfId="0" applyFont="true" applyBorder="true" applyAlignment="true" applyProtection="false">
      <alignment horizontal="general" vertical="top" textRotation="0" wrapText="false" indent="0" shrinkToFit="false"/>
      <protection locked="true" hidden="false"/>
    </xf>
    <xf numFmtId="164" fontId="6" fillId="0" borderId="13" xfId="0" applyFont="true" applyBorder="true" applyAlignment="true" applyProtection="false">
      <alignment horizontal="general" vertical="top" textRotation="0" wrapText="true" indent="0" shrinkToFit="false"/>
      <protection locked="true" hidden="false"/>
    </xf>
    <xf numFmtId="164" fontId="10" fillId="4" borderId="13" xfId="0" applyFont="true" applyBorder="true" applyAlignment="true" applyProtection="false">
      <alignment horizontal="general" vertical="top" textRotation="0" wrapText="true" indent="0" shrinkToFit="false"/>
      <protection locked="true" hidden="false"/>
    </xf>
    <xf numFmtId="164" fontId="10" fillId="0" borderId="13" xfId="0" applyFont="true" applyBorder="true" applyAlignment="true" applyProtection="false">
      <alignment horizontal="general" vertical="top" textRotation="0" wrapText="false" indent="0" shrinkToFit="false"/>
      <protection locked="true" hidden="false"/>
    </xf>
    <xf numFmtId="167" fontId="6" fillId="0" borderId="13" xfId="0" applyFont="true" applyBorder="true" applyAlignment="true" applyProtection="false">
      <alignment horizontal="general" vertical="top" textRotation="0" wrapText="true" indent="0" shrinkToFit="false"/>
      <protection locked="true" hidden="false"/>
    </xf>
    <xf numFmtId="164" fontId="8" fillId="3" borderId="13" xfId="0" applyFont="true" applyBorder="true" applyAlignment="true" applyProtection="false">
      <alignment horizontal="general" vertical="top" textRotation="0" wrapText="false" indent="0" shrinkToFit="false"/>
      <protection locked="true" hidden="false"/>
    </xf>
    <xf numFmtId="164" fontId="8" fillId="3" borderId="13" xfId="0" applyFont="true" applyBorder="true" applyAlignment="true" applyProtection="false">
      <alignment horizontal="general" vertical="top" textRotation="0" wrapText="true" indent="0" shrinkToFit="false"/>
      <protection locked="true" hidden="false"/>
    </xf>
    <xf numFmtId="168" fontId="19" fillId="6" borderId="13" xfId="0" applyFont="true" applyBorder="true" applyAlignment="true" applyProtection="false">
      <alignment horizontal="general" vertical="top" textRotation="0" wrapText="true" indent="0" shrinkToFit="false"/>
      <protection locked="true" hidden="false"/>
    </xf>
    <xf numFmtId="167" fontId="19" fillId="6" borderId="13" xfId="0" applyFont="true" applyBorder="true" applyAlignment="true" applyProtection="false">
      <alignment horizontal="general" vertical="top" textRotation="0" wrapText="true" indent="0" shrinkToFit="false"/>
      <protection locked="true" hidden="false"/>
    </xf>
    <xf numFmtId="166" fontId="6" fillId="0" borderId="13" xfId="0" applyFont="true" applyBorder="true" applyAlignment="true" applyProtection="false">
      <alignment horizontal="general" vertical="top" textRotation="0" wrapText="true" indent="0" shrinkToFit="false"/>
      <protection locked="true" hidden="false"/>
    </xf>
    <xf numFmtId="164" fontId="10" fillId="0" borderId="13" xfId="0" applyFont="true" applyBorder="true" applyAlignment="true" applyProtection="false">
      <alignment horizontal="general" vertical="top" textRotation="0" wrapText="true" indent="0" shrinkToFit="false"/>
      <protection locked="true" hidden="false"/>
    </xf>
    <xf numFmtId="174" fontId="19" fillId="6" borderId="13" xfId="0" applyFont="true" applyBorder="true" applyAlignment="true" applyProtection="false">
      <alignment horizontal="general" vertical="top" textRotation="0" wrapText="true" indent="0" shrinkToFit="false"/>
      <protection locked="true" hidden="false"/>
    </xf>
    <xf numFmtId="166" fontId="19" fillId="6" borderId="13" xfId="0" applyFont="true" applyBorder="true" applyAlignment="true" applyProtection="false">
      <alignment horizontal="general" vertical="top" textRotation="0" wrapText="true" indent="0" shrinkToFit="false"/>
      <protection locked="true" hidden="false"/>
    </xf>
    <xf numFmtId="173" fontId="6" fillId="0" borderId="13" xfId="0" applyFont="true" applyBorder="true" applyAlignment="true" applyProtection="false">
      <alignment horizontal="general" vertical="top" textRotation="0" wrapText="true" indent="0" shrinkToFit="false"/>
      <protection locked="true" hidden="false"/>
    </xf>
    <xf numFmtId="178" fontId="29" fillId="0" borderId="13" xfId="0" applyFont="true" applyBorder="true" applyAlignment="true" applyProtection="false">
      <alignment horizontal="general" vertical="top" textRotation="0" wrapText="true" indent="0" shrinkToFit="false"/>
      <protection locked="true" hidden="false"/>
    </xf>
    <xf numFmtId="174" fontId="6" fillId="0" borderId="13" xfId="0" applyFont="true" applyBorder="true" applyAlignment="true" applyProtection="false">
      <alignment horizontal="general" vertical="top" textRotation="0" wrapText="true" indent="0" shrinkToFit="false"/>
      <protection locked="true" hidden="false"/>
    </xf>
    <xf numFmtId="167" fontId="29" fillId="0" borderId="13" xfId="0" applyFont="true" applyBorder="true" applyAlignment="true" applyProtection="false">
      <alignment horizontal="general" vertical="top" textRotation="0" wrapText="true" indent="0" shrinkToFit="false"/>
      <protection locked="true" hidden="false"/>
    </xf>
    <xf numFmtId="173" fontId="29" fillId="0" borderId="13" xfId="0" applyFont="true" applyBorder="true" applyAlignment="true" applyProtection="false">
      <alignment horizontal="general" vertical="top" textRotation="0" wrapText="true" indent="0" shrinkToFit="false"/>
      <protection locked="true" hidden="false"/>
    </xf>
    <xf numFmtId="173" fontId="19" fillId="6" borderId="13" xfId="0" applyFont="true" applyBorder="true" applyAlignment="true" applyProtection="false">
      <alignment horizontal="general" vertical="top" textRotation="0" wrapText="true" indent="0" shrinkToFit="false"/>
      <protection locked="true" hidden="false"/>
    </xf>
    <xf numFmtId="171" fontId="6" fillId="0" borderId="13" xfId="0" applyFont="true" applyBorder="true" applyAlignment="true" applyProtection="false">
      <alignment horizontal="general" vertical="top" textRotation="0" wrapText="true" indent="0" shrinkToFit="false"/>
      <protection locked="true" hidden="false"/>
    </xf>
    <xf numFmtId="176" fontId="29" fillId="0" borderId="13" xfId="0" applyFont="true" applyBorder="true" applyAlignment="true" applyProtection="false">
      <alignment horizontal="general" vertical="top" textRotation="0" wrapText="true" indent="0" shrinkToFit="false"/>
      <protection locked="true" hidden="false"/>
    </xf>
    <xf numFmtId="176" fontId="6" fillId="0" borderId="13" xfId="0" applyFont="true" applyBorder="true" applyAlignment="true" applyProtection="false">
      <alignment horizontal="general" vertical="top" textRotation="0" wrapText="true" indent="0" shrinkToFit="false"/>
      <protection locked="true" hidden="false"/>
    </xf>
    <xf numFmtId="168" fontId="6" fillId="0" borderId="13" xfId="17" applyFont="true" applyBorder="true" applyAlignment="true" applyProtection="true">
      <alignment horizontal="general" vertical="top" textRotation="0" wrapText="true" indent="0" shrinkToFit="false"/>
      <protection locked="true" hidden="false"/>
    </xf>
    <xf numFmtId="168" fontId="29" fillId="0" borderId="13" xfId="0" applyFont="true" applyBorder="true" applyAlignment="true" applyProtection="false">
      <alignment horizontal="general" vertical="top" textRotation="0" wrapText="true" indent="0" shrinkToFit="false"/>
      <protection locked="true" hidden="false"/>
    </xf>
    <xf numFmtId="177" fontId="6" fillId="0" borderId="13" xfId="0" applyFont="true" applyBorder="true" applyAlignment="true" applyProtection="false">
      <alignment horizontal="general" vertical="top" textRotation="0" wrapText="true" indent="0" shrinkToFit="false"/>
      <protection locked="true" hidden="false"/>
    </xf>
    <xf numFmtId="176" fontId="29" fillId="0" borderId="0" xfId="0" applyFont="true" applyBorder="false" applyAlignment="false" applyProtection="false">
      <alignment horizontal="general" vertical="bottom" textRotation="0" wrapText="false" indent="0" shrinkToFit="false"/>
      <protection locked="true" hidden="false"/>
    </xf>
    <xf numFmtId="168" fontId="2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3" fontId="29" fillId="0" borderId="0" xfId="0" applyFont="true" applyBorder="false" applyAlignment="false" applyProtection="false">
      <alignment horizontal="general" vertical="bottom" textRotation="0" wrapText="false" indent="0" shrinkToFit="false"/>
      <protection locked="true" hidden="false"/>
    </xf>
    <xf numFmtId="167" fontId="8" fillId="3" borderId="13" xfId="0" applyFont="true" applyBorder="true" applyAlignment="true" applyProtection="false">
      <alignment horizontal="general" vertical="top" textRotation="0" wrapText="true" indent="0" shrinkToFit="false"/>
      <protection locked="true" hidden="false"/>
    </xf>
    <xf numFmtId="175" fontId="6" fillId="0" borderId="13" xfId="0" applyFont="true" applyBorder="true" applyAlignment="true" applyProtection="false">
      <alignment horizontal="general" vertical="top" textRotation="0" wrapText="true" indent="0" shrinkToFit="false"/>
      <protection locked="true" hidden="false"/>
    </xf>
    <xf numFmtId="182" fontId="6" fillId="0" borderId="13"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0" fillId="0" borderId="6" xfId="0" applyFont="true" applyBorder="true" applyAlignment="true" applyProtection="false">
      <alignment horizontal="general" vertical="top" textRotation="0" wrapText="true" indent="0" shrinkToFit="false"/>
      <protection locked="true" hidden="false"/>
    </xf>
    <xf numFmtId="173" fontId="19" fillId="6" borderId="6" xfId="0" applyFont="true" applyBorder="true" applyAlignment="false" applyProtection="false">
      <alignment horizontal="general" vertical="bottom" textRotation="0" wrapText="false" indent="0" shrinkToFit="false"/>
      <protection locked="true" hidden="false"/>
    </xf>
    <xf numFmtId="164" fontId="47" fillId="4" borderId="10" xfId="0" applyFont="true" applyBorder="true" applyAlignment="false" applyProtection="false">
      <alignment horizontal="general" vertical="bottom" textRotation="0" wrapText="false" indent="0" shrinkToFit="false"/>
      <protection locked="true" hidden="false"/>
    </xf>
    <xf numFmtId="173" fontId="41" fillId="6" borderId="10" xfId="0" applyFont="true" applyBorder="true" applyAlignment="true" applyProtection="false">
      <alignment horizontal="center" vertical="bottom" textRotation="0" wrapText="false" indent="0" shrinkToFit="false"/>
      <protection locked="true" hidden="false"/>
    </xf>
    <xf numFmtId="172" fontId="47" fillId="0" borderId="10" xfId="0" applyFont="true" applyBorder="true" applyAlignment="true" applyProtection="false">
      <alignment horizontal="center" vertical="bottom" textRotation="0" wrapText="false" indent="0" shrinkToFit="false"/>
      <protection locked="true" hidden="false"/>
    </xf>
    <xf numFmtId="166" fontId="47" fillId="0" borderId="10" xfId="0" applyFont="true" applyBorder="true" applyAlignment="true" applyProtection="false">
      <alignment horizontal="center" vertical="bottom" textRotation="0" wrapText="false" indent="0" shrinkToFit="false"/>
      <protection locked="true" hidden="false"/>
    </xf>
    <xf numFmtId="168" fontId="47" fillId="0" borderId="10" xfId="0" applyFont="true" applyBorder="true" applyAlignment="true" applyProtection="false">
      <alignment horizontal="center" vertical="bottom" textRotation="0" wrapText="false" indent="0" shrinkToFit="false"/>
      <protection locked="true" hidden="false"/>
    </xf>
    <xf numFmtId="176" fontId="47" fillId="0" borderId="10" xfId="0" applyFont="true" applyBorder="true" applyAlignment="true" applyProtection="false">
      <alignment horizontal="center" vertical="bottom" textRotation="0" wrapText="false" indent="0" shrinkToFit="false"/>
      <protection locked="true" hidden="false"/>
    </xf>
    <xf numFmtId="176" fontId="27" fillId="0" borderId="10" xfId="0" applyFont="true" applyBorder="true" applyAlignment="true" applyProtection="false">
      <alignment horizontal="center" vertical="bottom" textRotation="0" wrapText="false" indent="0" shrinkToFit="false"/>
      <protection locked="true" hidden="false"/>
    </xf>
    <xf numFmtId="174" fontId="41" fillId="6" borderId="10" xfId="0" applyFont="true" applyBorder="true" applyAlignment="true" applyProtection="false">
      <alignment horizontal="center" vertical="bottom" textRotation="0" wrapText="false" indent="0" shrinkToFit="false"/>
      <protection locked="true" hidden="false"/>
    </xf>
    <xf numFmtId="174" fontId="47" fillId="0" borderId="10" xfId="0" applyFont="true" applyBorder="true" applyAlignment="true" applyProtection="false">
      <alignment horizontal="center" vertical="bottom" textRotation="0" wrapText="false" indent="0" shrinkToFit="false"/>
      <protection locked="true" hidden="false"/>
    </xf>
    <xf numFmtId="176" fontId="41" fillId="6" borderId="10" xfId="0" applyFont="true" applyBorder="true" applyAlignment="true" applyProtection="false">
      <alignment horizontal="center" vertical="bottom" textRotation="0" wrapText="false" indent="0" shrinkToFit="false"/>
      <protection locked="true" hidden="false"/>
    </xf>
    <xf numFmtId="180" fontId="27" fillId="0" borderId="10" xfId="0" applyFont="true" applyBorder="true" applyAlignment="true" applyProtection="false">
      <alignment horizontal="center" vertical="bottom" textRotation="0" wrapText="false" indent="0" shrinkToFit="false"/>
      <protection locked="true" hidden="false"/>
    </xf>
    <xf numFmtId="164" fontId="0" fillId="4" borderId="10" xfId="0" applyFont="false" applyBorder="true" applyAlignment="false" applyProtection="false">
      <alignment horizontal="general" vertical="bottom" textRotation="0" wrapText="false" indent="0" shrinkToFit="false"/>
      <protection locked="true" hidden="false"/>
    </xf>
    <xf numFmtId="164" fontId="41" fillId="6" borderId="10" xfId="0" applyFont="true" applyBorder="true" applyAlignment="true" applyProtection="false">
      <alignment horizontal="center" vertical="bottom" textRotation="0" wrapText="false" indent="0" shrinkToFit="false"/>
      <protection locked="true" hidden="false"/>
    </xf>
    <xf numFmtId="183" fontId="41" fillId="6" borderId="10" xfId="0" applyFont="true" applyBorder="true" applyAlignment="true" applyProtection="false">
      <alignment horizontal="center" vertical="bottom" textRotation="0" wrapText="false" indent="0" shrinkToFit="false"/>
      <protection locked="true" hidden="false"/>
    </xf>
    <xf numFmtId="180" fontId="47" fillId="0" borderId="10" xfId="0" applyFont="true" applyBorder="true" applyAlignment="true" applyProtection="false">
      <alignment horizontal="center" vertical="bottom" textRotation="0" wrapText="false" indent="0" shrinkToFit="false"/>
      <protection locked="true" hidden="false"/>
    </xf>
    <xf numFmtId="164" fontId="20" fillId="0" borderId="10" xfId="0" applyFont="true" applyBorder="true" applyAlignment="true" applyProtection="false">
      <alignment horizontal="general" vertical="top" textRotation="0" wrapText="tru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73" fontId="53" fillId="6" borderId="0" xfId="0" applyFont="true" applyBorder="false" applyAlignment="true" applyProtection="false">
      <alignment horizontal="center" vertical="bottom" textRotation="0" wrapText="false" indent="0" shrinkToFit="false"/>
      <protection locked="true" hidden="false"/>
    </xf>
    <xf numFmtId="166" fontId="52" fillId="0" borderId="0" xfId="0" applyFont="true" applyBorder="false" applyAlignment="true" applyProtection="false">
      <alignment horizontal="center" vertical="bottom" textRotation="0" wrapText="fals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72" fontId="41" fillId="6" borderId="6" xfId="0" applyFont="true" applyBorder="true" applyAlignment="false" applyProtection="false">
      <alignment horizontal="general" vertical="bottom" textRotation="0" wrapText="false" indent="0" shrinkToFit="false"/>
      <protection locked="true" hidden="false"/>
    </xf>
    <xf numFmtId="174" fontId="41" fillId="6" borderId="6" xfId="0" applyFont="true" applyBorder="true" applyAlignment="false" applyProtection="false">
      <alignment horizontal="general" vertical="bottom" textRotation="0" wrapText="false" indent="0" shrinkToFit="false"/>
      <protection locked="true" hidden="false"/>
    </xf>
    <xf numFmtId="172" fontId="17" fillId="0" borderId="3" xfId="0" applyFont="true" applyBorder="true" applyAlignment="true" applyProtection="false">
      <alignment horizontal="general" vertical="center" textRotation="0" wrapText="true" indent="0" shrinkToFit="false"/>
      <protection locked="true" hidden="false"/>
    </xf>
    <xf numFmtId="164" fontId="17" fillId="0" borderId="6" xfId="0" applyFont="true" applyBorder="true" applyAlignment="true" applyProtection="false">
      <alignment horizontal="general" vertical="top" textRotation="0" wrapText="true" indent="0" shrinkToFit="false"/>
      <protection locked="true" hidden="false"/>
    </xf>
    <xf numFmtId="168" fontId="41" fillId="6" borderId="6"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8" fontId="32" fillId="0" borderId="6" xfId="0" applyFont="true" applyBorder="true" applyAlignment="false" applyProtection="false">
      <alignment horizontal="general" vertical="bottom" textRotation="0" wrapText="false" indent="0" shrinkToFit="false"/>
      <protection locked="true" hidden="false"/>
    </xf>
    <xf numFmtId="165" fontId="32" fillId="0" borderId="6" xfId="19" applyFont="true" applyBorder="true" applyAlignment="true" applyProtection="true">
      <alignment horizontal="general" vertical="bottom" textRotation="0" wrapText="false" indent="0" shrinkToFit="false"/>
      <protection locked="true" hidden="false"/>
    </xf>
    <xf numFmtId="164" fontId="28" fillId="0" borderId="3" xfId="0" applyFont="true" applyBorder="true" applyAlignment="true" applyProtection="false">
      <alignment horizontal="general" vertical="center" textRotation="0" wrapText="true" indent="0" shrinkToFit="false"/>
      <protection locked="true" hidden="false"/>
    </xf>
    <xf numFmtId="178" fontId="32" fillId="0" borderId="3" xfId="0" applyFont="true" applyBorder="true" applyAlignment="true" applyProtection="false">
      <alignment horizontal="general" vertical="center" textRotation="0" wrapText="false" indent="0" shrinkToFit="false"/>
      <protection locked="true" hidden="false"/>
    </xf>
    <xf numFmtId="178" fontId="17" fillId="0" borderId="3"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8" fillId="4" borderId="0" xfId="0" applyFont="true" applyBorder="false" applyAlignment="true" applyProtection="false">
      <alignment horizontal="left" vertical="bottom" textRotation="0" wrapText="true" indent="0" shrinkToFit="false"/>
      <protection locked="true" hidden="false"/>
    </xf>
    <xf numFmtId="171" fontId="17" fillId="0" borderId="3" xfId="0" applyFont="true" applyBorder="true" applyAlignment="true" applyProtection="false">
      <alignment horizontal="general" vertical="center" textRotation="0" wrapText="false" indent="0" shrinkToFit="false"/>
      <protection locked="true" hidden="false"/>
    </xf>
    <xf numFmtId="166" fontId="17" fillId="0" borderId="3" xfId="0" applyFont="true" applyBorder="true" applyAlignment="true" applyProtection="false">
      <alignment horizontal="general" vertical="center" textRotation="0" wrapText="false" indent="0" shrinkToFit="false"/>
      <protection locked="true" hidden="false"/>
    </xf>
    <xf numFmtId="168" fontId="28" fillId="0" borderId="3" xfId="0" applyFont="true" applyBorder="true" applyAlignment="true" applyProtection="false">
      <alignment horizontal="general" vertical="center"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72" fontId="53" fillId="6" borderId="0" xfId="0" applyFont="true" applyBorder="false" applyAlignment="true" applyProtection="false">
      <alignment horizontal="general" vertical="bottom" textRotation="0" wrapText="false" indent="0" shrinkToFit="false"/>
      <protection locked="true" hidden="false"/>
    </xf>
    <xf numFmtId="173" fontId="5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84" fontId="6" fillId="0" borderId="0" xfId="0" applyFont="true" applyBorder="false" applyAlignment="false" applyProtection="false">
      <alignment horizontal="general" vertical="bottom" textRotation="0" wrapText="false" indent="0" shrinkToFit="false"/>
      <protection locked="true" hidden="false"/>
    </xf>
    <xf numFmtId="185" fontId="6" fillId="0" borderId="0" xfId="0" applyFont="true" applyBorder="false" applyAlignment="false" applyProtection="false">
      <alignment horizontal="general" vertical="bottom" textRotation="0" wrapText="false" indent="0" shrinkToFit="false"/>
      <protection locked="true" hidden="false"/>
    </xf>
    <xf numFmtId="184" fontId="41" fillId="6" borderId="6" xfId="0" applyFont="true" applyBorder="true" applyAlignment="fals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true" indent="0" shrinkToFit="false"/>
      <protection locked="true" hidden="false"/>
    </xf>
    <xf numFmtId="173" fontId="53" fillId="6" borderId="0" xfId="0" applyFont="tru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8" fontId="53" fillId="6" borderId="0" xfId="0" applyFont="true" applyBorder="false" applyAlignment="true" applyProtection="false">
      <alignment horizontal="general" vertical="bottom" textRotation="0" wrapText="false" indent="0" shrinkToFit="false"/>
      <protection locked="true" hidden="false"/>
    </xf>
    <xf numFmtId="166" fontId="53" fillId="6" borderId="0" xfId="0" applyFont="true" applyBorder="false" applyAlignment="true" applyProtection="false">
      <alignment horizontal="general" vertical="bottom" textRotation="0" wrapText="false" indent="0" shrinkToFit="false"/>
      <protection locked="true" hidden="false"/>
    </xf>
    <xf numFmtId="180" fontId="6" fillId="0" borderId="0" xfId="0" applyFont="true" applyBorder="false" applyAlignment="false" applyProtection="false">
      <alignment horizontal="general" vertical="bottom" textRotation="0" wrapText="false" indent="0" shrinkToFit="false"/>
      <protection locked="true" hidden="false"/>
    </xf>
    <xf numFmtId="186" fontId="6" fillId="0" borderId="0" xfId="0" applyFont="true" applyBorder="false" applyAlignment="false" applyProtection="false">
      <alignment horizontal="general" vertical="bottom" textRotation="0" wrapText="false" indent="0" shrinkToFit="false"/>
      <protection locked="true" hidden="false"/>
    </xf>
    <xf numFmtId="187" fontId="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top" textRotation="0" wrapText="tru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6" fontId="17" fillId="0" borderId="0" xfId="0" applyFont="true" applyBorder="false" applyAlignment="true" applyProtection="false">
      <alignment horizontal="general" vertical="center" textRotation="0" wrapText="false" indent="0" shrinkToFit="false"/>
      <protection locked="true" hidden="false"/>
    </xf>
    <xf numFmtId="171" fontId="17" fillId="0" borderId="0" xfId="0" applyFont="true" applyBorder="false" applyAlignment="true" applyProtection="false">
      <alignment horizontal="general" vertical="center" textRotation="0" wrapText="false" indent="0" shrinkToFit="false"/>
      <protection locked="true" hidden="false"/>
    </xf>
    <xf numFmtId="180" fontId="28"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82" fontId="17" fillId="0" borderId="0" xfId="0" applyFont="true" applyBorder="false" applyAlignment="true" applyProtection="false">
      <alignment horizontal="general" vertical="center" textRotation="0" wrapText="false" indent="0" shrinkToFit="false"/>
      <protection locked="true" hidden="false"/>
    </xf>
    <xf numFmtId="182" fontId="18" fillId="0"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true" applyAlignment="true" applyProtection="false">
      <alignment horizontal="general" vertical="center" textRotation="0" wrapText="fals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76" fontId="3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5" fillId="3" borderId="0" xfId="0" applyFont="true" applyBorder="false" applyAlignment="true" applyProtection="false">
      <alignment horizontal="general" vertical="bottom" textRotation="0" wrapText="false" indent="0" shrinkToFit="false"/>
      <protection locked="true" hidden="false"/>
    </xf>
    <xf numFmtId="174" fontId="32" fillId="0" borderId="0" xfId="0" applyFont="true" applyBorder="false" applyAlignment="false" applyProtection="false">
      <alignment horizontal="general" vertical="bottom" textRotation="0" wrapText="false" indent="0" shrinkToFit="false"/>
      <protection locked="true" hidden="false"/>
    </xf>
    <xf numFmtId="172" fontId="32" fillId="0" borderId="0" xfId="0" applyFont="true" applyBorder="false" applyAlignment="false" applyProtection="false">
      <alignment horizontal="general" vertical="bottom" textRotation="0" wrapText="false" indent="0" shrinkToFit="false"/>
      <protection locked="true" hidden="false"/>
    </xf>
    <xf numFmtId="176" fontId="54" fillId="0" borderId="0" xfId="0" applyFont="true" applyBorder="false" applyAlignment="true" applyProtection="false">
      <alignment horizontal="general" vertical="bottom" textRotation="0" wrapText="false" indent="0" shrinkToFit="false"/>
      <protection locked="true" hidden="false"/>
    </xf>
    <xf numFmtId="184" fontId="32" fillId="0" borderId="0" xfId="0" applyFont="true" applyBorder="false" applyAlignment="false" applyProtection="false">
      <alignment horizontal="general" vertical="bottom" textRotation="0" wrapText="false" indent="0" shrinkToFit="false"/>
      <protection locked="true" hidden="false"/>
    </xf>
    <xf numFmtId="185" fontId="17" fillId="0" borderId="0" xfId="0" applyFont="true" applyBorder="false" applyAlignment="false" applyProtection="false">
      <alignment horizontal="general" vertical="bottom" textRotation="0" wrapText="false" indent="0" shrinkToFit="false"/>
      <protection locked="true" hidden="false"/>
    </xf>
    <xf numFmtId="180" fontId="17" fillId="0" borderId="0" xfId="0" applyFont="true" applyBorder="false" applyAlignment="false" applyProtection="false">
      <alignment horizontal="general" vertical="bottom" textRotation="0" wrapText="false" indent="0" shrinkToFit="false"/>
      <protection locked="true" hidden="false"/>
    </xf>
    <xf numFmtId="180" fontId="54" fillId="0" borderId="0" xfId="0" applyFont="true" applyBorder="false" applyAlignment="true" applyProtection="false">
      <alignment horizontal="general" vertical="bottom" textRotation="0" wrapText="false" indent="0" shrinkToFit="false"/>
      <protection locked="true" hidden="false"/>
    </xf>
    <xf numFmtId="166" fontId="56" fillId="0" borderId="0" xfId="0" applyFont="true" applyBorder="false" applyAlignment="true" applyProtection="false">
      <alignment horizontal="general" vertical="bottom" textRotation="0" wrapText="false" indent="0" shrinkToFit="false"/>
      <protection locked="true" hidden="false"/>
    </xf>
    <xf numFmtId="165" fontId="54" fillId="0" borderId="0" xfId="0" applyFont="true" applyBorder="false" applyAlignment="true" applyProtection="false">
      <alignment horizontal="general" vertical="bottom" textRotation="0" wrapText="false" indent="0" shrinkToFit="false"/>
      <protection locked="true" hidden="false"/>
    </xf>
    <xf numFmtId="166" fontId="54" fillId="0" borderId="0" xfId="0" applyFont="true" applyBorder="false" applyAlignment="true" applyProtection="false">
      <alignment horizontal="general" vertical="bottom" textRotation="0" wrapText="false" indent="0" shrinkToFit="false"/>
      <protection locked="true" hidden="false"/>
    </xf>
    <xf numFmtId="172" fontId="54" fillId="0" borderId="0" xfId="0" applyFont="true" applyBorder="false" applyAlignment="true" applyProtection="false">
      <alignment horizontal="general" vertical="bottom" textRotation="0" wrapText="false" indent="0" shrinkToFit="false"/>
      <protection locked="true" hidden="false"/>
    </xf>
    <xf numFmtId="188" fontId="54" fillId="0" borderId="0" xfId="0" applyFont="true" applyBorder="false" applyAlignment="true" applyProtection="false">
      <alignment horizontal="general" vertical="bottom" textRotation="0" wrapText="false" indent="0" shrinkToFit="false"/>
      <protection locked="true" hidden="false"/>
    </xf>
    <xf numFmtId="164" fontId="21" fillId="3" borderId="0" xfId="0" applyFont="true" applyBorder="true" applyAlignment="fals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center" textRotation="0" wrapText="false" indent="0" shrinkToFit="false"/>
      <protection locked="true" hidden="false"/>
    </xf>
    <xf numFmtId="187" fontId="17"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72" fontId="17" fillId="0" borderId="0" xfId="0" applyFont="true" applyBorder="false" applyAlignment="true" applyProtection="false">
      <alignment horizontal="general" vertical="center" textRotation="0" wrapText="false" indent="0" shrinkToFit="false"/>
      <protection locked="true" hidden="false"/>
    </xf>
    <xf numFmtId="176"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89" fontId="6" fillId="0" borderId="0" xfId="0" applyFont="true" applyBorder="false" applyAlignment="false" applyProtection="false">
      <alignment horizontal="general" vertical="bottom" textRotation="0" wrapText="false" indent="0" shrinkToFit="false"/>
      <protection locked="true" hidden="false"/>
    </xf>
    <xf numFmtId="166" fontId="21" fillId="3" borderId="0" xfId="0" applyFont="true" applyBorder="false" applyAlignment="false" applyProtection="false">
      <alignment horizontal="general" vertical="bottom" textRotation="0" wrapText="false" indent="0" shrinkToFit="false"/>
      <protection locked="true" hidden="false"/>
    </xf>
    <xf numFmtId="166" fontId="55" fillId="3"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false" applyProtection="false">
      <alignment horizontal="general" vertical="bottom" textRotation="0" wrapText="false" indent="0" shrinkToFit="false"/>
      <protection locked="true" hidden="false"/>
    </xf>
    <xf numFmtId="187" fontId="17" fillId="0" borderId="0" xfId="0" applyFont="true" applyBorder="false" applyAlignment="false" applyProtection="false">
      <alignment horizontal="general" vertical="bottom" textRotation="0" wrapText="false" indent="0" shrinkToFit="false"/>
      <protection locked="true" hidden="false"/>
    </xf>
    <xf numFmtId="187" fontId="54" fillId="0" borderId="0" xfId="0" applyFont="true" applyBorder="false" applyAlignment="true" applyProtection="false">
      <alignment horizontal="general" vertical="bottom" textRotation="0" wrapText="false" indent="0" shrinkToFit="false"/>
      <protection locked="true" hidden="false"/>
    </xf>
    <xf numFmtId="166" fontId="20" fillId="0" borderId="0" xfId="0" applyFont="true" applyBorder="true" applyAlignment="true" applyProtection="false">
      <alignment horizontal="general" vertical="top" textRotation="0" wrapText="true" indent="0" shrinkToFit="false"/>
      <protection locked="true" hidden="false"/>
    </xf>
    <xf numFmtId="186" fontId="17" fillId="0" borderId="0" xfId="0" applyFont="true" applyBorder="false" applyAlignment="false" applyProtection="false">
      <alignment horizontal="general" vertical="bottom" textRotation="0" wrapText="false" indent="0" shrinkToFit="false"/>
      <protection locked="true" hidden="false"/>
    </xf>
    <xf numFmtId="180" fontId="24" fillId="0" borderId="0" xfId="0" applyFont="true" applyBorder="false" applyAlignment="true" applyProtection="false">
      <alignment horizontal="general" vertical="bottom" textRotation="0" wrapText="false" indent="0" shrinkToFit="false"/>
      <protection locked="true" hidden="false"/>
    </xf>
    <xf numFmtId="180" fontId="4" fillId="0" borderId="0" xfId="0" applyFont="true" applyBorder="false" applyAlignment="false" applyProtection="false">
      <alignment horizontal="general" vertical="bottom" textRotation="0" wrapText="false" indent="0" shrinkToFit="false"/>
      <protection locked="true" hidden="false"/>
    </xf>
    <xf numFmtId="180" fontId="4" fillId="0" borderId="0" xfId="0" applyFont="true" applyBorder="false" applyAlignment="true" applyProtection="false">
      <alignment horizontal="general" vertical="bottom" textRotation="0" wrapText="false" indent="0" shrinkToFit="false"/>
      <protection locked="true" hidden="false"/>
    </xf>
    <xf numFmtId="166" fontId="41" fillId="6"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89" fontId="17"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general" vertical="bottom" textRotation="0" wrapText="false" indent="0" shrinkToFit="false"/>
      <protection locked="true" hidden="false"/>
    </xf>
    <xf numFmtId="174" fontId="33" fillId="0" borderId="0" xfId="0" applyFont="true" applyBorder="false" applyAlignment="true" applyProtection="false">
      <alignment horizontal="general" vertical="bottom" textRotation="0" wrapText="false" indent="0" shrinkToFit="false"/>
      <protection locked="true" hidden="false"/>
    </xf>
    <xf numFmtId="188" fontId="33"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90"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84" fontId="0" fillId="0" borderId="0" xfId="0" applyFont="false" applyBorder="false" applyAlignment="false" applyProtection="false">
      <alignment horizontal="general" vertical="bottom" textRotation="0" wrapText="false" indent="0" shrinkToFit="false"/>
      <protection locked="true" hidden="false"/>
    </xf>
    <xf numFmtId="185" fontId="0" fillId="0" borderId="0" xfId="0" applyFont="fals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88" fontId="0" fillId="0" borderId="0" xfId="0" applyFont="false" applyBorder="false" applyAlignment="false" applyProtection="false">
      <alignment horizontal="general"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86" fontId="0" fillId="0" borderId="0" xfId="0" applyFont="false" applyBorder="false" applyAlignment="false" applyProtection="false">
      <alignment horizontal="general" vertical="bottom" textRotation="0" wrapText="fals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8EFA00"/>
      <rgbColor rgb="FFFF00FF"/>
      <rgbColor rgb="FF00FFFF"/>
      <rgbColor rgb="FF9C0006"/>
      <rgbColor rgb="FF008000"/>
      <rgbColor rgb="FF000080"/>
      <rgbColor rgb="FF548235"/>
      <rgbColor rgb="FF800080"/>
      <rgbColor rgb="FF008080"/>
      <rgbColor rgb="FFBFBFBF"/>
      <rgbColor rgb="FF878787"/>
      <rgbColor rgb="FFB0B0B0"/>
      <rgbColor rgb="FFC0504D"/>
      <rgbColor rgb="FFF2F2F2"/>
      <rgbColor rgb="FFDDEBF7"/>
      <rgbColor rgb="FF660066"/>
      <rgbColor rgb="FFE06666"/>
      <rgbColor rgb="FF0066CC"/>
      <rgbColor rgb="FFD0CECE"/>
      <rgbColor rgb="FF000080"/>
      <rgbColor rgb="FFFF00FF"/>
      <rgbColor rgb="FFFFFF00"/>
      <rgbColor rgb="FF00FFFF"/>
      <rgbColor rgb="FF800080"/>
      <rgbColor rgb="FF800000"/>
      <rgbColor rgb="FF008080"/>
      <rgbColor rgb="FF0000FF"/>
      <rgbColor rgb="FF00CCFF"/>
      <rgbColor rgb="FFE3F0E5"/>
      <rgbColor rgb="FFD9EAD3"/>
      <rgbColor rgb="FFD9D9D9"/>
      <rgbColor rgb="FFCBE4F7"/>
      <rgbColor rgb="FFFFC7CE"/>
      <rgbColor rgb="FFCC99FF"/>
      <rgbColor rgb="FFF4CCCC"/>
      <rgbColor rgb="FF3366FF"/>
      <rgbColor rgb="FF93C47D"/>
      <rgbColor rgb="FF9BBB59"/>
      <rgbColor rgb="FFFFCC00"/>
      <rgbColor rgb="FFFF9900"/>
      <rgbColor rgb="FFFF6600"/>
      <rgbColor rgb="FF4A6670"/>
      <rgbColor rgb="FF999999"/>
      <rgbColor rgb="FF003366"/>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Tornado Diagram — Levelized Cost per Tonne ($)</a:t>
            </a:r>
          </a:p>
        </c:rich>
      </c:tx>
      <c:overlay val="0"/>
      <c:spPr>
        <a:noFill/>
        <a:ln w="0">
          <a:noFill/>
        </a:ln>
      </c:spPr>
    </c:title>
    <c:autoTitleDeleted val="0"/>
    <c:plotArea>
      <c:layout>
        <c:manualLayout>
          <c:xMode val="edge"/>
          <c:yMode val="edge"/>
          <c:x val="0.135260175703072"/>
          <c:y val="0.185711485691886"/>
          <c:w val="0.842335083432968"/>
          <c:h val="0.61328890631125"/>
        </c:manualLayout>
      </c:layout>
      <c:barChart>
        <c:barDir val="bar"/>
        <c:grouping val="stacked"/>
        <c:varyColors val="0"/>
        <c:ser>
          <c:idx val="0"/>
          <c:order val="0"/>
          <c:tx>
            <c:strRef>
              <c:f>"spacer (hidden)"</c:f>
              <c:strCache>
                <c:ptCount val="1"/>
                <c:pt idx="0">
                  <c:v>spacer (hidden)</c:v>
                </c:pt>
              </c:strCache>
            </c:strRef>
          </c:tx>
          <c:spPr>
            <a:solidFill>
              <a:srgbClr val="FFFFFF"/>
            </a:solidFill>
            <a:ln w="9360">
              <a:solidFill>
                <a:srgbClr val="FFFFFF"/>
              </a:solidFill>
              <a:round/>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Vessel'!$B$64:$B$74</c:f>
              <c:numCache>
                <c:formatCode>\$#,##0</c:formatCode>
                <c:ptCount val="11"/>
                <c:pt idx="0">
                  <c:v>51756.1261825041</c:v>
                </c:pt>
                <c:pt idx="1">
                  <c:v>50407.8384871628</c:v>
                </c:pt>
                <c:pt idx="2">
                  <c:v>48805.7717220642</c:v>
                </c:pt>
                <c:pt idx="3">
                  <c:v>47612.6673977117</c:v>
                </c:pt>
                <c:pt idx="4">
                  <c:v>41829.7392229228</c:v>
                </c:pt>
                <c:pt idx="5">
                  <c:v>53376.5374819487</c:v>
                </c:pt>
                <c:pt idx="6">
                  <c:v>44856.7474782244</c:v>
                </c:pt>
                <c:pt idx="7">
                  <c:v>53365.7300723494</c:v>
                </c:pt>
                <c:pt idx="8">
                  <c:v>51241.2080696567</c:v>
                </c:pt>
                <c:pt idx="9">
                  <c:v>46998.2422853282</c:v>
                </c:pt>
                <c:pt idx="10">
                  <c:v>6090.40569501662</c:v>
                </c:pt>
              </c:numCache>
            </c:numRef>
          </c:val>
        </c:ser>
        <c:ser>
          <c:idx val="1"/>
          <c:order val="1"/>
          <c:tx>
            <c:strRef>
              <c:f>"cost-reducing span"</c:f>
              <c:strCache>
                <c:ptCount val="1"/>
                <c:pt idx="0">
                  <c:v>cost-reducing span</c:v>
                </c:pt>
              </c:strCache>
            </c:strRef>
          </c:tx>
          <c:spPr>
            <a:solidFill>
              <a:srgbClr val="93C47D"/>
            </a:solidFill>
            <a:ln w="0">
              <a:noFill/>
            </a:ln>
          </c:spPr>
          <c:invertIfNegative val="0"/>
          <c:dPt>
            <c:idx val="0"/>
            <c:invertIfNegative val="0"/>
            <c:spPr>
              <a:solidFill>
                <a:srgbClr val="C0504D"/>
              </a:solidFill>
              <a:ln w="0">
                <a:noFill/>
              </a:ln>
            </c:spPr>
          </c:dPt>
          <c:dPt>
            <c:idx val="1"/>
            <c:invertIfNegative val="0"/>
            <c:spPr>
              <a:solidFill>
                <a:srgbClr val="C0504D"/>
              </a:solidFill>
              <a:ln w="0">
                <a:noFill/>
              </a:ln>
            </c:spPr>
          </c:dPt>
          <c:dPt>
            <c:idx val="2"/>
            <c:invertIfNegative val="0"/>
            <c:spPr>
              <a:solidFill>
                <a:srgbClr val="C0504D"/>
              </a:solidFill>
              <a:ln w="0">
                <a:noFill/>
              </a:ln>
            </c:spPr>
          </c:dPt>
          <c:dPt>
            <c:idx val="3"/>
            <c:invertIfNegative val="0"/>
            <c:spPr>
              <a:solidFill>
                <a:srgbClr val="C0504D"/>
              </a:solidFill>
              <a:ln w="0">
                <a:noFill/>
              </a:ln>
            </c:spPr>
          </c:dPt>
          <c:dPt>
            <c:idx val="4"/>
            <c:invertIfNegative val="0"/>
            <c:spPr>
              <a:solidFill>
                <a:srgbClr val="C0504D"/>
              </a:solidFill>
              <a:ln w="0">
                <a:noFill/>
              </a:ln>
            </c:spPr>
          </c:dPt>
          <c:dPt>
            <c:idx val="5"/>
            <c:invertIfNegative val="0"/>
            <c:spPr>
              <a:solidFill>
                <a:srgbClr val="C0504D"/>
              </a:solidFill>
              <a:ln w="0">
                <a:noFill/>
              </a:ln>
            </c:spPr>
          </c:dPt>
          <c:dPt>
            <c:idx val="6"/>
            <c:invertIfNegative val="0"/>
            <c:spPr>
              <a:solidFill>
                <a:srgbClr val="C0504D"/>
              </a:solidFill>
              <a:ln w="0">
                <a:noFill/>
              </a:ln>
            </c:spPr>
          </c:dPt>
          <c:dPt>
            <c:idx val="7"/>
            <c:invertIfNegative val="0"/>
            <c:spPr>
              <a:solidFill>
                <a:srgbClr val="C0504D"/>
              </a:solidFill>
              <a:ln w="0">
                <a:noFill/>
              </a:ln>
            </c:spPr>
          </c:dPt>
          <c:dPt>
            <c:idx val="8"/>
            <c:invertIfNegative val="0"/>
            <c:spPr>
              <a:solidFill>
                <a:srgbClr val="C0504D"/>
              </a:solidFill>
              <a:ln w="0">
                <a:noFill/>
              </a:ln>
            </c:spPr>
          </c:dPt>
          <c:dPt>
            <c:idx val="9"/>
            <c:invertIfNegative val="0"/>
            <c:spPr>
              <a:solidFill>
                <a:srgbClr val="C0504D"/>
              </a:solidFill>
              <a:ln w="0">
                <a:noFill/>
              </a:ln>
            </c:spPr>
          </c:dPt>
          <c:dPt>
            <c:idx val="10"/>
            <c:invertIfNegative val="0"/>
            <c:spPr>
              <a:solidFill>
                <a:srgbClr val="C0504D"/>
              </a:solidFill>
              <a:ln w="0">
                <a:noFill/>
              </a:ln>
            </c:spPr>
          </c:dPt>
          <c:dLbls>
            <c:dLbl>
              <c:idx val="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Vessel'!$C$64:$C$74</c:f>
              <c:numCache>
                <c:formatCode>\$#,##0</c:formatCode>
                <c:ptCount val="11"/>
                <c:pt idx="0">
                  <c:v>2291.85244562334</c:v>
                </c:pt>
                <c:pt idx="1">
                  <c:v>3640.14014096458</c:v>
                </c:pt>
                <c:pt idx="2">
                  <c:v>5242.20690606318</c:v>
                </c:pt>
                <c:pt idx="3">
                  <c:v>6435.31123041574</c:v>
                </c:pt>
                <c:pt idx="4">
                  <c:v>12218.2394052046</c:v>
                </c:pt>
                <c:pt idx="5">
                  <c:v>671.441146178702</c:v>
                </c:pt>
                <c:pt idx="6">
                  <c:v>9191.23114990298</c:v>
                </c:pt>
                <c:pt idx="7">
                  <c:v>682.248555778017</c:v>
                </c:pt>
                <c:pt idx="8">
                  <c:v>2806.77055847075</c:v>
                </c:pt>
                <c:pt idx="9">
                  <c:v>7049.73634279921</c:v>
                </c:pt>
                <c:pt idx="10">
                  <c:v>47957.5729331108</c:v>
                </c:pt>
              </c:numCache>
            </c:numRef>
          </c:val>
        </c:ser>
        <c:ser>
          <c:idx val="2"/>
          <c:order val="2"/>
          <c:tx>
            <c:strRef>
              <c:f>"cost-raising span"</c:f>
              <c:strCache>
                <c:ptCount val="1"/>
                <c:pt idx="0">
                  <c:v>cost-raising span</c:v>
                </c:pt>
              </c:strCache>
            </c:strRef>
          </c:tx>
          <c:spPr>
            <a:solidFill>
              <a:srgbClr val="E06666"/>
            </a:solidFill>
            <a:ln w="0">
              <a:noFill/>
            </a:ln>
          </c:spPr>
          <c:invertIfNegative val="0"/>
          <c:dPt>
            <c:idx val="0"/>
            <c:invertIfNegative val="0"/>
            <c:spPr>
              <a:solidFill>
                <a:srgbClr val="9BBB59"/>
              </a:solidFill>
              <a:ln w="0">
                <a:noFill/>
              </a:ln>
            </c:spPr>
          </c:dPt>
          <c:dPt>
            <c:idx val="1"/>
            <c:invertIfNegative val="0"/>
            <c:spPr>
              <a:solidFill>
                <a:srgbClr val="9BBB59"/>
              </a:solidFill>
              <a:ln w="0">
                <a:noFill/>
              </a:ln>
            </c:spPr>
          </c:dPt>
          <c:dPt>
            <c:idx val="2"/>
            <c:invertIfNegative val="0"/>
            <c:spPr>
              <a:solidFill>
                <a:srgbClr val="9BBB59"/>
              </a:solidFill>
              <a:ln w="0">
                <a:noFill/>
              </a:ln>
            </c:spPr>
          </c:dPt>
          <c:dPt>
            <c:idx val="3"/>
            <c:invertIfNegative val="0"/>
            <c:spPr>
              <a:solidFill>
                <a:srgbClr val="9BBB59"/>
              </a:solidFill>
              <a:ln w="0">
                <a:noFill/>
              </a:ln>
            </c:spPr>
          </c:dPt>
          <c:dPt>
            <c:idx val="4"/>
            <c:invertIfNegative val="0"/>
            <c:spPr>
              <a:solidFill>
                <a:srgbClr val="9BBB59"/>
              </a:solidFill>
              <a:ln w="0">
                <a:noFill/>
              </a:ln>
            </c:spPr>
          </c:dPt>
          <c:dPt>
            <c:idx val="5"/>
            <c:invertIfNegative val="0"/>
            <c:spPr>
              <a:solidFill>
                <a:srgbClr val="9BBB59"/>
              </a:solidFill>
              <a:ln w="0">
                <a:noFill/>
              </a:ln>
            </c:spPr>
          </c:dPt>
          <c:dPt>
            <c:idx val="6"/>
            <c:invertIfNegative val="0"/>
            <c:spPr>
              <a:solidFill>
                <a:srgbClr val="9BBB59"/>
              </a:solidFill>
              <a:ln w="0">
                <a:noFill/>
              </a:ln>
            </c:spPr>
          </c:dPt>
          <c:dPt>
            <c:idx val="7"/>
            <c:invertIfNegative val="0"/>
            <c:spPr>
              <a:solidFill>
                <a:srgbClr val="9BBB59"/>
              </a:solidFill>
              <a:ln w="0">
                <a:noFill/>
              </a:ln>
            </c:spPr>
          </c:dPt>
          <c:dPt>
            <c:idx val="8"/>
            <c:invertIfNegative val="0"/>
            <c:spPr>
              <a:solidFill>
                <a:srgbClr val="9BBB59"/>
              </a:solidFill>
              <a:ln w="0">
                <a:noFill/>
              </a:ln>
            </c:spPr>
          </c:dPt>
          <c:dPt>
            <c:idx val="9"/>
            <c:invertIfNegative val="0"/>
            <c:spPr>
              <a:solidFill>
                <a:srgbClr val="9BBB59"/>
              </a:solidFill>
              <a:ln w="0">
                <a:noFill/>
              </a:ln>
            </c:spPr>
          </c:dPt>
          <c:dPt>
            <c:idx val="10"/>
            <c:invertIfNegative val="0"/>
            <c:spPr>
              <a:solidFill>
                <a:srgbClr val="9BBB59"/>
              </a:solidFill>
              <a:ln w="0">
                <a:noFill/>
              </a:ln>
            </c:spPr>
          </c:dPt>
          <c:dLbls>
            <c:dLbl>
              <c:idx val="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Vessel'!$D$64:$D$74</c:f>
              <c:numCache>
                <c:formatCode>\$#,##0</c:formatCode>
                <c:ptCount val="11"/>
                <c:pt idx="0">
                  <c:v>2864.81555702916</c:v>
                </c:pt>
                <c:pt idx="1">
                  <c:v>4550.17517620573</c:v>
                </c:pt>
                <c:pt idx="2">
                  <c:v>7270.66533082462</c:v>
                </c:pt>
                <c:pt idx="3">
                  <c:v>7722.37347649889</c:v>
                </c:pt>
                <c:pt idx="4">
                  <c:v>15272.7992565057</c:v>
                </c:pt>
                <c:pt idx="5">
                  <c:v>6714.4114617871</c:v>
                </c:pt>
                <c:pt idx="6">
                  <c:v>26552.4455441642</c:v>
                </c:pt>
                <c:pt idx="7">
                  <c:v>909.664741037348</c:v>
                </c:pt>
                <c:pt idx="8">
                  <c:v>2806.77055847075</c:v>
                </c:pt>
                <c:pt idx="9">
                  <c:v>9537.87858143427</c:v>
                </c:pt>
                <c:pt idx="10">
                  <c:v>26643.0960739504</c:v>
                </c:pt>
              </c:numCache>
            </c:numRef>
          </c:val>
        </c:ser>
        <c:gapWidth val="150"/>
        <c:overlap val="100"/>
        <c:axId val="22422364"/>
        <c:axId val="5636961"/>
      </c:barChart>
      <c:catAx>
        <c:axId val="2242236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36961"/>
        <c:crosses val="autoZero"/>
        <c:auto val="1"/>
        <c:lblAlgn val="ctr"/>
        <c:lblOffset val="100"/>
        <c:noMultiLvlLbl val="0"/>
      </c:catAx>
      <c:valAx>
        <c:axId val="5636961"/>
        <c:scaling>
          <c:orientation val="minMax"/>
          <c:max val="110000"/>
          <c:min val="0"/>
        </c:scaling>
        <c:delete val="0"/>
        <c:axPos val="l"/>
        <c:majorGridlines>
          <c:spPr>
            <a:ln w="9360">
              <a:solidFill>
                <a:srgbClr val="878787"/>
              </a:solidFill>
              <a:round/>
            </a:ln>
          </c:spPr>
        </c:majorGridlines>
        <c:title>
          <c:tx>
            <c:rich>
              <a:bodyPr rot="0"/>
              <a:lstStyle/>
              <a:p>
                <a:pPr>
                  <a:defRPr sz="1300" b="0" u="none" strike="noStrike">
                    <a:uFillTx/>
                    <a:latin typeface="Arial"/>
                  </a:defRPr>
                </a:pPr>
                <a:r>
                  <a:rPr lang="en-US" sz="1000" b="1" u="none" strike="noStrike">
                    <a:solidFill>
                      <a:srgbClr val="000000"/>
                    </a:solidFill>
                    <a:uFillTx/>
                    <a:latin typeface="Calibri"/>
                  </a:rPr>
                  <a:t>Levelized cost ($/tonne)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42236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Tornado Diagram — Cost per Unit Cooling ($/degC-ha-day)</a:t>
            </a:r>
          </a:p>
        </c:rich>
      </c:tx>
      <c:overlay val="0"/>
      <c:spPr>
        <a:noFill/>
        <a:ln w="0">
          <a:noFill/>
        </a:ln>
      </c:spPr>
    </c:title>
    <c:autoTitleDeleted val="0"/>
    <c:plotArea>
      <c:layout>
        <c:manualLayout>
          <c:xMode val="edge"/>
          <c:yMode val="edge"/>
          <c:x val="0.100143354495187"/>
          <c:y val="0.170582740533161"/>
          <c:w val="0.86814799645027"/>
          <c:h val="0.648703025077244"/>
        </c:manualLayout>
      </c:layout>
      <c:barChart>
        <c:barDir val="bar"/>
        <c:grouping val="stacked"/>
        <c:varyColors val="0"/>
        <c:ser>
          <c:idx val="0"/>
          <c:order val="0"/>
          <c:tx>
            <c:strRef>
              <c:f>"spacer (hidden)"</c:f>
              <c:strCache>
                <c:ptCount val="1"/>
                <c:pt idx="0">
                  <c:v>spacer (hidden)</c:v>
                </c:pt>
              </c:strCache>
            </c:strRef>
          </c:tx>
          <c:spPr>
            <a:solidFill>
              <a:srgbClr val="FFFFFF"/>
            </a:solidFill>
            <a:ln w="9360">
              <a:solidFill>
                <a:srgbClr val="FFFFFF"/>
              </a:solidFill>
              <a:round/>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Sensitivity'!$J$6:$J$17</c:f>
              <c:numCache>
                <c:formatCode>\$#,##0.00</c:formatCode>
                <c:ptCount val="12"/>
                <c:pt idx="0">
                  <c:v>1.72439233138157</c:v>
                </c:pt>
                <c:pt idx="1">
                  <c:v>1.608254227727</c:v>
                </c:pt>
                <c:pt idx="2">
                  <c:v>1.33457130813327</c:v>
                </c:pt>
                <c:pt idx="3">
                  <c:v>1.70297010629873</c:v>
                </c:pt>
                <c:pt idx="4">
                  <c:v>1.43114753457062</c:v>
                </c:pt>
                <c:pt idx="5">
                  <c:v>1.70262529758047</c:v>
                </c:pt>
                <c:pt idx="6">
                  <c:v>1.56016449029761</c:v>
                </c:pt>
                <c:pt idx="7">
                  <c:v>1.61132284062067</c:v>
                </c:pt>
                <c:pt idx="8">
                  <c:v>1.29329424853618</c:v>
                </c:pt>
                <c:pt idx="9">
                  <c:v>1.21246335800267</c:v>
                </c:pt>
                <c:pt idx="10">
                  <c:v>0.862196165690786</c:v>
                </c:pt>
                <c:pt idx="11">
                  <c:v>1.03463539882894</c:v>
                </c:pt>
              </c:numCache>
            </c:numRef>
          </c:val>
        </c:ser>
        <c:ser>
          <c:idx val="1"/>
          <c:order val="1"/>
          <c:tx>
            <c:strRef>
              <c:f>"cost-reducing span"</c:f>
              <c:strCache>
                <c:ptCount val="1"/>
                <c:pt idx="0">
                  <c:v>cost-reducing span</c:v>
                </c:pt>
              </c:strCache>
            </c:strRef>
          </c:tx>
          <c:spPr>
            <a:solidFill>
              <a:srgbClr val="93C47D"/>
            </a:solidFill>
            <a:ln w="0">
              <a:noFill/>
            </a:ln>
          </c:spPr>
          <c:invertIfNegative val="0"/>
          <c:dPt>
            <c:idx val="0"/>
            <c:invertIfNegative val="0"/>
            <c:spPr>
              <a:solidFill>
                <a:srgbClr val="C0504D"/>
              </a:solidFill>
              <a:ln w="0">
                <a:noFill/>
              </a:ln>
            </c:spPr>
          </c:dPt>
          <c:dPt>
            <c:idx val="1"/>
            <c:invertIfNegative val="0"/>
            <c:spPr>
              <a:solidFill>
                <a:srgbClr val="C0504D"/>
              </a:solidFill>
              <a:ln w="0">
                <a:noFill/>
              </a:ln>
            </c:spPr>
          </c:dPt>
          <c:dPt>
            <c:idx val="2"/>
            <c:invertIfNegative val="0"/>
            <c:spPr>
              <a:solidFill>
                <a:srgbClr val="C0504D"/>
              </a:solidFill>
              <a:ln w="0">
                <a:noFill/>
              </a:ln>
            </c:spPr>
          </c:dPt>
          <c:dPt>
            <c:idx val="3"/>
            <c:invertIfNegative val="0"/>
            <c:spPr>
              <a:solidFill>
                <a:srgbClr val="C0504D"/>
              </a:solidFill>
              <a:ln w="0">
                <a:noFill/>
              </a:ln>
            </c:spPr>
          </c:dPt>
          <c:dPt>
            <c:idx val="4"/>
            <c:invertIfNegative val="0"/>
            <c:spPr>
              <a:solidFill>
                <a:srgbClr val="C0504D"/>
              </a:solidFill>
              <a:ln w="0">
                <a:noFill/>
              </a:ln>
            </c:spPr>
          </c:dPt>
          <c:dPt>
            <c:idx val="5"/>
            <c:invertIfNegative val="0"/>
            <c:spPr>
              <a:solidFill>
                <a:srgbClr val="C0504D"/>
              </a:solidFill>
              <a:ln w="0">
                <a:noFill/>
              </a:ln>
            </c:spPr>
          </c:dPt>
          <c:dPt>
            <c:idx val="6"/>
            <c:invertIfNegative val="0"/>
            <c:spPr>
              <a:solidFill>
                <a:srgbClr val="C0504D"/>
              </a:solidFill>
              <a:ln w="0">
                <a:noFill/>
              </a:ln>
            </c:spPr>
          </c:dPt>
          <c:dPt>
            <c:idx val="7"/>
            <c:invertIfNegative val="0"/>
            <c:spPr>
              <a:solidFill>
                <a:srgbClr val="C0504D"/>
              </a:solidFill>
              <a:ln w="0">
                <a:noFill/>
              </a:ln>
            </c:spPr>
          </c:dPt>
          <c:dPt>
            <c:idx val="8"/>
            <c:invertIfNegative val="0"/>
            <c:spPr>
              <a:solidFill>
                <a:srgbClr val="C0504D"/>
              </a:solidFill>
              <a:ln w="0">
                <a:noFill/>
              </a:ln>
            </c:spPr>
          </c:dPt>
          <c:dPt>
            <c:idx val="9"/>
            <c:invertIfNegative val="0"/>
            <c:spPr>
              <a:solidFill>
                <a:srgbClr val="C0504D"/>
              </a:solidFill>
              <a:ln w="0">
                <a:noFill/>
              </a:ln>
            </c:spPr>
          </c:dPt>
          <c:dPt>
            <c:idx val="10"/>
            <c:invertIfNegative val="0"/>
            <c:spPr>
              <a:solidFill>
                <a:srgbClr val="C0504D"/>
              </a:solidFill>
              <a:ln w="0">
                <a:noFill/>
              </a:ln>
            </c:spPr>
          </c:dPt>
          <c:dLbls>
            <c:dLbl>
              <c:idx val="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Sensitivity'!$K$6:$K$17</c:f>
              <c:numCache>
                <c:formatCode>\$#,##0.00</c:formatCode>
                <c:ptCount val="12"/>
                <c:pt idx="0">
                  <c:v>0</c:v>
                </c:pt>
                <c:pt idx="1">
                  <c:v>0.116138103654573</c:v>
                </c:pt>
                <c:pt idx="2">
                  <c:v>0.389821023248302</c:v>
                </c:pt>
                <c:pt idx="3">
                  <c:v>0.0214222250828466</c:v>
                </c:pt>
                <c:pt idx="4">
                  <c:v>0.293244796810957</c:v>
                </c:pt>
                <c:pt idx="5">
                  <c:v>0.0217670338011038</c:v>
                </c:pt>
                <c:pt idx="6">
                  <c:v>0.164227841083959</c:v>
                </c:pt>
                <c:pt idx="7">
                  <c:v>0.113069490760906</c:v>
                </c:pt>
                <c:pt idx="8">
                  <c:v>0.431098082845393</c:v>
                </c:pt>
                <c:pt idx="9">
                  <c:v>0.511928973378904</c:v>
                </c:pt>
                <c:pt idx="10">
                  <c:v>0.862196165690786</c:v>
                </c:pt>
                <c:pt idx="11">
                  <c:v>0.689756932552629</c:v>
                </c:pt>
              </c:numCache>
            </c:numRef>
          </c:val>
        </c:ser>
        <c:ser>
          <c:idx val="2"/>
          <c:order val="2"/>
          <c:tx>
            <c:strRef>
              <c:f>"cost-raising span"</c:f>
              <c:strCache>
                <c:ptCount val="1"/>
                <c:pt idx="0">
                  <c:v>cost-raising span</c:v>
                </c:pt>
              </c:strCache>
            </c:strRef>
          </c:tx>
          <c:spPr>
            <a:solidFill>
              <a:srgbClr val="E06666"/>
            </a:solidFill>
            <a:ln w="0">
              <a:noFill/>
            </a:ln>
          </c:spPr>
          <c:invertIfNegative val="0"/>
          <c:dPt>
            <c:idx val="0"/>
            <c:invertIfNegative val="0"/>
            <c:spPr>
              <a:solidFill>
                <a:srgbClr val="9BBB59"/>
              </a:solidFill>
              <a:ln w="0">
                <a:noFill/>
              </a:ln>
            </c:spPr>
          </c:dPt>
          <c:dPt>
            <c:idx val="1"/>
            <c:invertIfNegative val="0"/>
            <c:spPr>
              <a:solidFill>
                <a:srgbClr val="9BBB59"/>
              </a:solidFill>
              <a:ln w="0">
                <a:noFill/>
              </a:ln>
            </c:spPr>
          </c:dPt>
          <c:dPt>
            <c:idx val="2"/>
            <c:invertIfNegative val="0"/>
            <c:spPr>
              <a:solidFill>
                <a:srgbClr val="9BBB59"/>
              </a:solidFill>
              <a:ln w="0">
                <a:noFill/>
              </a:ln>
            </c:spPr>
          </c:dPt>
          <c:dPt>
            <c:idx val="3"/>
            <c:invertIfNegative val="0"/>
            <c:spPr>
              <a:solidFill>
                <a:srgbClr val="9BBB59"/>
              </a:solidFill>
              <a:ln w="0">
                <a:noFill/>
              </a:ln>
            </c:spPr>
          </c:dPt>
          <c:dPt>
            <c:idx val="4"/>
            <c:invertIfNegative val="0"/>
            <c:spPr>
              <a:solidFill>
                <a:srgbClr val="9BBB59"/>
              </a:solidFill>
              <a:ln w="0">
                <a:noFill/>
              </a:ln>
            </c:spPr>
          </c:dPt>
          <c:dPt>
            <c:idx val="5"/>
            <c:invertIfNegative val="0"/>
            <c:spPr>
              <a:solidFill>
                <a:srgbClr val="9BBB59"/>
              </a:solidFill>
              <a:ln w="0">
                <a:noFill/>
              </a:ln>
            </c:spPr>
          </c:dPt>
          <c:dPt>
            <c:idx val="6"/>
            <c:invertIfNegative val="0"/>
            <c:spPr>
              <a:solidFill>
                <a:srgbClr val="9BBB59"/>
              </a:solidFill>
              <a:ln w="0">
                <a:noFill/>
              </a:ln>
            </c:spPr>
          </c:dPt>
          <c:dPt>
            <c:idx val="7"/>
            <c:invertIfNegative val="0"/>
            <c:spPr>
              <a:solidFill>
                <a:srgbClr val="9BBB59"/>
              </a:solidFill>
              <a:ln w="0">
                <a:noFill/>
              </a:ln>
            </c:spPr>
          </c:dPt>
          <c:dPt>
            <c:idx val="8"/>
            <c:invertIfNegative val="0"/>
            <c:spPr>
              <a:solidFill>
                <a:srgbClr val="9BBB59"/>
              </a:solidFill>
              <a:ln w="0">
                <a:noFill/>
              </a:ln>
            </c:spPr>
          </c:dPt>
          <c:dPt>
            <c:idx val="9"/>
            <c:invertIfNegative val="0"/>
            <c:spPr>
              <a:solidFill>
                <a:srgbClr val="9BBB59"/>
              </a:solidFill>
              <a:ln w="0">
                <a:noFill/>
              </a:ln>
            </c:spPr>
          </c:dPt>
          <c:dPt>
            <c:idx val="10"/>
            <c:invertIfNegative val="0"/>
            <c:spPr>
              <a:solidFill>
                <a:srgbClr val="9BBB59"/>
              </a:solidFill>
              <a:ln w="0">
                <a:noFill/>
              </a:ln>
            </c:spPr>
          </c:dPt>
          <c:dLbls>
            <c:dLbl>
              <c:idx val="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dLbl>
              <c:idx val="10"/>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dLbl>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Sensitivity'!$L$6:$L$17</c:f>
              <c:numCache>
                <c:formatCode>\$#,##0.00</c:formatCode>
                <c:ptCount val="12"/>
                <c:pt idx="0">
                  <c:v>0.246341761625939</c:v>
                </c:pt>
                <c:pt idx="1">
                  <c:v>0.145172629568215</c:v>
                </c:pt>
                <c:pt idx="2">
                  <c:v>0.487276279060376</c:v>
                </c:pt>
                <c:pt idx="3">
                  <c:v>0.214222250828464</c:v>
                </c:pt>
                <c:pt idx="4">
                  <c:v>0.84715163523165</c:v>
                </c:pt>
                <c:pt idx="5">
                  <c:v>0.0290227117348039</c:v>
                </c:pt>
                <c:pt idx="6">
                  <c:v>0.202869686044891</c:v>
                </c:pt>
                <c:pt idx="7">
                  <c:v>0.284078849250226</c:v>
                </c:pt>
                <c:pt idx="8">
                  <c:v>0.862196165690786</c:v>
                </c:pt>
                <c:pt idx="9">
                  <c:v>0.862196165690786</c:v>
                </c:pt>
                <c:pt idx="10">
                  <c:v>1.72439233138157</c:v>
                </c:pt>
                <c:pt idx="11">
                  <c:v>3.44878466276314</c:v>
                </c:pt>
              </c:numCache>
            </c:numRef>
          </c:val>
        </c:ser>
        <c:gapWidth val="150"/>
        <c:overlap val="100"/>
        <c:axId val="54028015"/>
        <c:axId val="22675738"/>
      </c:barChart>
      <c:catAx>
        <c:axId val="5402801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675738"/>
        <c:crosses val="autoZero"/>
        <c:auto val="1"/>
        <c:lblAlgn val="ctr"/>
        <c:lblOffset val="100"/>
        <c:noMultiLvlLbl val="0"/>
      </c:catAx>
      <c:valAx>
        <c:axId val="22675738"/>
        <c:scaling>
          <c:orientation val="minMax"/>
          <c:max val="7"/>
          <c:min val="0"/>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0280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660240</xdr:colOff>
      <xdr:row>28</xdr:row>
      <xdr:rowOff>101520</xdr:rowOff>
    </xdr:from>
    <xdr:to>
      <xdr:col>10</xdr:col>
      <xdr:colOff>818640</xdr:colOff>
      <xdr:row>46</xdr:row>
      <xdr:rowOff>259920</xdr:rowOff>
    </xdr:to>
    <xdr:graphicFrame>
      <xdr:nvGraphicFramePr>
        <xdr:cNvPr id="1" name="Chart 1"/>
        <xdr:cNvGraphicFramePr/>
      </xdr:nvGraphicFramePr>
      <xdr:xfrm>
        <a:off x="6921360" y="8506440"/>
        <a:ext cx="6924960" cy="3673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18</xdr:row>
      <xdr:rowOff>0</xdr:rowOff>
    </xdr:from>
    <xdr:to>
      <xdr:col>9</xdr:col>
      <xdr:colOff>538200</xdr:colOff>
      <xdr:row>44</xdr:row>
      <xdr:rowOff>56520</xdr:rowOff>
    </xdr:to>
    <xdr:graphicFrame>
      <xdr:nvGraphicFramePr>
        <xdr:cNvPr id="2" name="Chart 1"/>
        <xdr:cNvGraphicFramePr/>
      </xdr:nvGraphicFramePr>
      <xdr:xfrm>
        <a:off x="2819520" y="4286160"/>
        <a:ext cx="10546920" cy="5009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6" activeCellId="0" sqref="A6"/>
    </sheetView>
  </sheetViews>
  <sheetFormatPr defaultColWidth="8.66796875" defaultRowHeight="13.5" customHeight="false" zeroHeight="false" outlineLevelRow="0" outlineLevelCol="0"/>
  <cols>
    <col collapsed="false" customWidth="true" hidden="false" outlineLevel="0" max="1" min="1" style="1" width="34.16"/>
    <col collapsed="false" customWidth="true" hidden="false" outlineLevel="0" max="2" min="2" style="1" width="21.67"/>
    <col collapsed="false" customWidth="true" hidden="false" outlineLevel="0" max="7" min="3" style="1" width="13"/>
    <col collapsed="false" customWidth="false" hidden="false" outlineLevel="0" max="16384" min="8" style="1" width="8.67"/>
  </cols>
  <sheetData>
    <row r="1" customFormat="false" ht="24" hidden="false" customHeight="true" outlineLevel="0" collapsed="false">
      <c r="A1" s="2" t="s">
        <v>0</v>
      </c>
      <c r="B1" s="2"/>
      <c r="C1" s="2"/>
      <c r="D1" s="2"/>
      <c r="E1" s="2"/>
      <c r="F1" s="2"/>
      <c r="G1" s="2"/>
    </row>
    <row r="2" customFormat="false" ht="15" hidden="false" customHeight="true" outlineLevel="0" collapsed="false">
      <c r="A2" s="3"/>
    </row>
    <row r="3" customFormat="false" ht="15" hidden="false" customHeight="true" outlineLevel="0" collapsed="false">
      <c r="A3" s="4" t="s">
        <v>1</v>
      </c>
      <c r="B3" s="4"/>
      <c r="C3" s="4"/>
      <c r="D3" s="4"/>
      <c r="E3" s="4"/>
      <c r="F3" s="4"/>
      <c r="G3" s="4"/>
    </row>
    <row r="4" customFormat="false" ht="106.5" hidden="false" customHeight="true" outlineLevel="0" collapsed="false">
      <c r="A4" s="5" t="s">
        <v>2</v>
      </c>
      <c r="B4" s="5"/>
      <c r="C4" s="5"/>
      <c r="D4" s="5"/>
      <c r="E4" s="5"/>
      <c r="F4" s="5"/>
      <c r="G4" s="5"/>
    </row>
    <row r="5" customFormat="false" ht="15" hidden="false" customHeight="true" outlineLevel="0" collapsed="false">
      <c r="A5" s="4" t="s">
        <v>3</v>
      </c>
      <c r="B5" s="4"/>
      <c r="C5" s="4"/>
      <c r="D5" s="4"/>
      <c r="E5" s="4"/>
      <c r="F5" s="4"/>
      <c r="G5" s="4"/>
    </row>
    <row r="6" customFormat="false" ht="91.5" hidden="false" customHeight="true" outlineLevel="0" collapsed="false">
      <c r="A6" s="5" t="s">
        <v>4</v>
      </c>
      <c r="B6" s="5"/>
      <c r="C6" s="5"/>
      <c r="D6" s="5"/>
      <c r="E6" s="5"/>
      <c r="F6" s="5"/>
      <c r="G6" s="5"/>
    </row>
    <row r="7" customFormat="false" ht="15" hidden="false" customHeight="true" outlineLevel="0" collapsed="false">
      <c r="A7" s="6" t="s">
        <v>5</v>
      </c>
      <c r="B7" s="6"/>
      <c r="C7" s="6"/>
      <c r="D7" s="6"/>
      <c r="E7" s="6"/>
      <c r="F7" s="6"/>
      <c r="G7" s="7"/>
    </row>
    <row r="8" customFormat="false" ht="54" hidden="false" customHeight="true" outlineLevel="0" collapsed="false">
      <c r="A8" s="5" t="s">
        <v>6</v>
      </c>
      <c r="B8" s="5"/>
      <c r="C8" s="5"/>
      <c r="D8" s="5"/>
      <c r="E8" s="5"/>
      <c r="F8" s="5"/>
      <c r="G8" s="5"/>
    </row>
    <row r="9" customFormat="false" ht="31.5" hidden="false" customHeight="true" outlineLevel="0" collapsed="false">
      <c r="A9" s="8" t="s">
        <v>7</v>
      </c>
      <c r="B9" s="8"/>
      <c r="C9" s="8"/>
      <c r="D9" s="8"/>
      <c r="E9" s="8"/>
      <c r="F9" s="8"/>
      <c r="G9" s="9"/>
    </row>
    <row r="10" customFormat="false" ht="15" hidden="false" customHeight="true" outlineLevel="0" collapsed="false">
      <c r="A10" s="10" t="s">
        <v>8</v>
      </c>
      <c r="B10" s="10"/>
      <c r="C10" s="10"/>
      <c r="D10" s="10"/>
      <c r="E10" s="10"/>
      <c r="F10" s="10"/>
      <c r="G10" s="10"/>
      <c r="H10" s="10"/>
    </row>
    <row r="11" customFormat="false" ht="15" hidden="false" customHeight="true" outlineLevel="0" collapsed="false">
      <c r="A11" s="10" t="s">
        <v>9</v>
      </c>
      <c r="B11" s="10"/>
      <c r="C11" s="10"/>
      <c r="D11" s="10"/>
      <c r="E11" s="10"/>
      <c r="F11" s="10"/>
      <c r="G11" s="10"/>
      <c r="H11" s="10"/>
    </row>
    <row r="12" customFormat="false" ht="15" hidden="false" customHeight="true" outlineLevel="0" collapsed="false">
      <c r="A12" s="10" t="s">
        <v>10</v>
      </c>
      <c r="B12" s="10"/>
      <c r="C12" s="10"/>
      <c r="D12" s="10"/>
      <c r="E12" s="10"/>
      <c r="F12" s="10"/>
      <c r="G12" s="10"/>
      <c r="H12" s="10"/>
    </row>
    <row r="13" customFormat="false" ht="38.25" hidden="false" customHeight="true" outlineLevel="0" collapsed="false">
      <c r="A13" s="10" t="s">
        <v>11</v>
      </c>
      <c r="B13" s="10"/>
      <c r="C13" s="10"/>
      <c r="D13" s="10"/>
      <c r="E13" s="10"/>
      <c r="F13" s="10"/>
      <c r="G13" s="10"/>
      <c r="H13" s="10"/>
    </row>
    <row r="14" customFormat="false" ht="31.5" hidden="false" customHeight="true" outlineLevel="0" collapsed="false">
      <c r="A14" s="10" t="s">
        <v>12</v>
      </c>
      <c r="B14" s="10"/>
      <c r="C14" s="10"/>
      <c r="D14" s="10"/>
      <c r="E14" s="10"/>
      <c r="F14" s="10"/>
      <c r="G14" s="10"/>
      <c r="H14" s="10"/>
    </row>
    <row r="15" customFormat="false" ht="27" hidden="false" customHeight="true" outlineLevel="0" collapsed="false">
      <c r="A15" s="8" t="s">
        <v>13</v>
      </c>
      <c r="B15" s="8"/>
      <c r="C15" s="8"/>
      <c r="D15" s="8"/>
      <c r="E15" s="8"/>
      <c r="F15" s="8"/>
      <c r="G15" s="8"/>
      <c r="H15" s="8"/>
    </row>
    <row r="16" customFormat="false" ht="25.5" hidden="false" customHeight="true" outlineLevel="0" collapsed="false">
      <c r="A16" s="10" t="s">
        <v>14</v>
      </c>
      <c r="B16" s="10"/>
      <c r="C16" s="10"/>
      <c r="D16" s="10"/>
      <c r="E16" s="10"/>
      <c r="F16" s="10"/>
      <c r="G16" s="10"/>
      <c r="H16" s="10"/>
    </row>
    <row r="17" customFormat="false" ht="30" hidden="false" customHeight="true" outlineLevel="0" collapsed="false">
      <c r="A17" s="10" t="s">
        <v>15</v>
      </c>
      <c r="B17" s="10"/>
      <c r="C17" s="10"/>
      <c r="D17" s="10"/>
      <c r="E17" s="10"/>
      <c r="F17" s="10"/>
      <c r="G17" s="10"/>
      <c r="H17" s="10"/>
    </row>
    <row r="18" customFormat="false" ht="25.5" hidden="false" customHeight="true" outlineLevel="0" collapsed="false">
      <c r="A18" s="10" t="s">
        <v>16</v>
      </c>
      <c r="B18" s="10"/>
      <c r="C18" s="10"/>
      <c r="D18" s="10"/>
      <c r="E18" s="10"/>
      <c r="F18" s="10"/>
      <c r="G18" s="10"/>
      <c r="H18" s="10"/>
    </row>
    <row r="19" customFormat="false" ht="15" hidden="false" customHeight="true" outlineLevel="0" collapsed="false">
      <c r="A19" s="11"/>
      <c r="B19" s="11"/>
      <c r="C19" s="11"/>
      <c r="D19" s="11"/>
      <c r="E19" s="11"/>
      <c r="F19" s="11"/>
    </row>
    <row r="20" customFormat="false" ht="15" hidden="false" customHeight="true" outlineLevel="0" collapsed="false">
      <c r="A20" s="12"/>
      <c r="B20" s="11"/>
      <c r="C20" s="11"/>
      <c r="D20" s="11"/>
      <c r="E20" s="11"/>
      <c r="F20" s="11"/>
    </row>
    <row r="21" customFormat="false" ht="30.75" hidden="false" customHeight="true" outlineLevel="0" collapsed="false">
      <c r="A21" s="13" t="s">
        <v>17</v>
      </c>
      <c r="B21" s="13"/>
      <c r="C21" s="13"/>
      <c r="D21" s="13"/>
      <c r="E21" s="14"/>
      <c r="F21" s="14"/>
      <c r="G21" s="3"/>
    </row>
    <row r="22" customFormat="false" ht="25.5" hidden="false" customHeight="true" outlineLevel="0" collapsed="false">
      <c r="A22" s="10" t="s">
        <v>18</v>
      </c>
      <c r="B22" s="10"/>
      <c r="C22" s="10"/>
      <c r="D22" s="10"/>
      <c r="E22" s="15"/>
      <c r="F22" s="15"/>
      <c r="G22" s="16"/>
    </row>
    <row r="23" customFormat="false" ht="54.75" hidden="false" customHeight="true" outlineLevel="0" collapsed="false">
      <c r="A23" s="10" t="s">
        <v>19</v>
      </c>
      <c r="B23" s="10"/>
      <c r="C23" s="10"/>
      <c r="D23" s="10"/>
      <c r="E23" s="10"/>
      <c r="F23" s="10"/>
    </row>
    <row r="24" customFormat="false" ht="27.75" hidden="false" customHeight="true" outlineLevel="0" collapsed="false">
      <c r="A24" s="10"/>
      <c r="B24" s="10"/>
      <c r="C24" s="10"/>
      <c r="D24" s="10"/>
      <c r="E24" s="10"/>
      <c r="F24" s="10"/>
    </row>
    <row r="25" customFormat="false" ht="15" hidden="false" customHeight="true" outlineLevel="0" collapsed="false">
      <c r="A25" s="8" t="s">
        <v>20</v>
      </c>
      <c r="B25" s="11"/>
      <c r="C25" s="11"/>
      <c r="D25" s="11"/>
      <c r="E25" s="11"/>
      <c r="F25" s="11"/>
    </row>
    <row r="26" customFormat="false" ht="15" hidden="false" customHeight="true" outlineLevel="0" collapsed="false">
      <c r="A26" s="14" t="s">
        <v>21</v>
      </c>
      <c r="B26" s="11"/>
      <c r="C26" s="11"/>
      <c r="D26" s="11"/>
      <c r="E26" s="11"/>
      <c r="F26" s="11"/>
    </row>
    <row r="27" customFormat="false" ht="25.5" hidden="false" customHeight="true" outlineLevel="0" collapsed="false">
      <c r="A27" s="17" t="s">
        <v>22</v>
      </c>
      <c r="B27" s="11"/>
      <c r="C27" s="11"/>
      <c r="D27" s="11"/>
      <c r="E27" s="11"/>
      <c r="F27" s="11"/>
    </row>
    <row r="28" customFormat="false" ht="15" hidden="false" customHeight="true" outlineLevel="0" collapsed="false">
      <c r="A28" s="18" t="s">
        <v>23</v>
      </c>
      <c r="B28" s="11"/>
      <c r="C28" s="11"/>
      <c r="D28" s="11"/>
      <c r="E28" s="11"/>
      <c r="F28" s="11"/>
    </row>
    <row r="29" customFormat="false" ht="15" hidden="false" customHeight="true" outlineLevel="0" collapsed="false">
      <c r="A29" s="14"/>
      <c r="B29" s="11"/>
      <c r="C29" s="11"/>
      <c r="D29" s="11"/>
      <c r="E29" s="11"/>
      <c r="F29" s="11"/>
    </row>
    <row r="30" customFormat="false" ht="15" hidden="false" customHeight="true" outlineLevel="0" collapsed="false">
      <c r="A30" s="19" t="s">
        <v>24</v>
      </c>
      <c r="B30" s="19"/>
      <c r="C30" s="19"/>
      <c r="D30" s="11"/>
      <c r="E30" s="11"/>
      <c r="F30" s="11"/>
    </row>
    <row r="31" customFormat="false" ht="15" hidden="false" customHeight="true" outlineLevel="0" collapsed="false">
      <c r="A31" s="11" t="s">
        <v>25</v>
      </c>
      <c r="B31" s="11"/>
      <c r="C31" s="11"/>
      <c r="D31" s="11"/>
      <c r="E31" s="11"/>
      <c r="F31" s="11"/>
    </row>
    <row r="32" customFormat="false" ht="15" hidden="false" customHeight="true" outlineLevel="0" collapsed="false">
      <c r="A32" s="11"/>
      <c r="B32" s="11"/>
      <c r="C32" s="11"/>
      <c r="D32" s="11"/>
      <c r="E32" s="11"/>
      <c r="F32" s="11"/>
    </row>
    <row r="33" customFormat="false" ht="15" hidden="false" customHeight="true" outlineLevel="0" collapsed="false">
      <c r="A33" s="11"/>
      <c r="B33" s="11"/>
      <c r="C33" s="11"/>
      <c r="D33" s="11"/>
      <c r="E33" s="11"/>
      <c r="F33" s="11"/>
    </row>
    <row r="34" customFormat="false" ht="15" hidden="false" customHeight="true" outlineLevel="0" collapsed="false">
      <c r="A34" s="11"/>
      <c r="B34" s="11"/>
      <c r="C34" s="11"/>
      <c r="D34" s="11"/>
      <c r="E34" s="11"/>
      <c r="F34" s="11"/>
    </row>
    <row r="35" customFormat="false" ht="15" hidden="false" customHeight="true" outlineLevel="0" collapsed="false">
      <c r="A35" s="11"/>
      <c r="B35" s="11"/>
      <c r="C35" s="11"/>
      <c r="D35" s="11"/>
      <c r="E35" s="11"/>
      <c r="F35" s="11"/>
    </row>
    <row r="36" customFormat="false" ht="15" hidden="false" customHeight="true" outlineLevel="0" collapsed="false">
      <c r="A36" s="11"/>
      <c r="B36" s="11"/>
      <c r="C36" s="11"/>
      <c r="D36" s="11"/>
      <c r="E36" s="11"/>
      <c r="F36" s="11"/>
    </row>
    <row r="37" customFormat="false" ht="15" hidden="false" customHeight="true" outlineLevel="0" collapsed="false"/>
  </sheetData>
  <mergeCells count="19">
    <mergeCell ref="A1:G1"/>
    <mergeCell ref="A3:G3"/>
    <mergeCell ref="A4:G4"/>
    <mergeCell ref="A5:G5"/>
    <mergeCell ref="A6:G6"/>
    <mergeCell ref="A8:G8"/>
    <mergeCell ref="A10:H10"/>
    <mergeCell ref="A11:H11"/>
    <mergeCell ref="A12:H12"/>
    <mergeCell ref="A13:H13"/>
    <mergeCell ref="A14:H14"/>
    <mergeCell ref="A16:H16"/>
    <mergeCell ref="A17:H17"/>
    <mergeCell ref="A18:H18"/>
    <mergeCell ref="A21:D21"/>
    <mergeCell ref="A22:D22"/>
    <mergeCell ref="A23:F23"/>
    <mergeCell ref="A24:F24"/>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6796875" defaultRowHeight="13.5" customHeight="false"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14"/>
    <col collapsed="false" customWidth="true" hidden="false" outlineLevel="0" max="4" min="4" style="1" width="68"/>
    <col collapsed="false" customWidth="true" hidden="false" outlineLevel="0" max="5" min="5" style="1" width="55"/>
    <col collapsed="false" customWidth="false" hidden="false" outlineLevel="0" max="16384" min="6" style="1" width="8.67"/>
  </cols>
  <sheetData>
    <row r="1" customFormat="false" ht="21.75" hidden="false" customHeight="true" outlineLevel="0" collapsed="false">
      <c r="A1" s="20" t="s">
        <v>26</v>
      </c>
      <c r="B1" s="21"/>
      <c r="C1" s="21"/>
      <c r="D1" s="21"/>
    </row>
    <row r="3" customFormat="false" ht="19.5" hidden="false" customHeight="true" outlineLevel="0" collapsed="false">
      <c r="A3" s="7" t="s">
        <v>27</v>
      </c>
      <c r="B3" s="22"/>
      <c r="C3" s="22"/>
      <c r="D3" s="22"/>
    </row>
    <row r="4" customFormat="false" ht="16.5" hidden="false" customHeight="true" outlineLevel="0" collapsed="false">
      <c r="A4" s="23" t="s">
        <v>28</v>
      </c>
      <c r="B4" s="23"/>
      <c r="C4" s="23"/>
      <c r="D4" s="23"/>
    </row>
    <row r="6" customFormat="false" ht="19.5" hidden="false" customHeight="true" outlineLevel="0" collapsed="false">
      <c r="A6" s="7" t="s">
        <v>29</v>
      </c>
      <c r="B6" s="7"/>
      <c r="C6" s="7"/>
      <c r="D6" s="7"/>
      <c r="E6" s="3"/>
      <c r="F6" s="3"/>
    </row>
    <row r="7" customFormat="false" ht="15.75" hidden="false" customHeight="true" outlineLevel="0" collapsed="false">
      <c r="A7" s="24" t="s">
        <v>30</v>
      </c>
      <c r="B7" s="24" t="s">
        <v>31</v>
      </c>
      <c r="C7" s="24" t="s">
        <v>32</v>
      </c>
      <c r="D7" s="25" t="s">
        <v>33</v>
      </c>
      <c r="E7" s="25" t="s">
        <v>34</v>
      </c>
      <c r="F7" s="3"/>
    </row>
    <row r="8" customFormat="false" ht="117" hidden="false" customHeight="true" outlineLevel="0" collapsed="false">
      <c r="A8" s="26" t="s">
        <v>35</v>
      </c>
      <c r="B8" s="27" t="n">
        <v>1730000000000</v>
      </c>
      <c r="C8" s="28" t="s">
        <v>36</v>
      </c>
      <c r="D8" s="29" t="s">
        <v>37</v>
      </c>
      <c r="E8" s="29" t="s">
        <v>38</v>
      </c>
      <c r="F8" s="3"/>
    </row>
    <row r="9" customFormat="false" ht="66" hidden="false" customHeight="true" outlineLevel="0" collapsed="false">
      <c r="A9" s="26" t="s">
        <v>39</v>
      </c>
      <c r="B9" s="30" t="n">
        <v>0.71</v>
      </c>
      <c r="C9" s="28"/>
      <c r="D9" s="29" t="s">
        <v>40</v>
      </c>
      <c r="E9" s="29" t="s">
        <v>38</v>
      </c>
      <c r="F9" s="3"/>
    </row>
    <row r="10" customFormat="false" ht="66" hidden="false" customHeight="true" outlineLevel="0" collapsed="false">
      <c r="A10" s="26" t="s">
        <v>41</v>
      </c>
      <c r="B10" s="31" t="n">
        <v>150</v>
      </c>
      <c r="C10" s="28" t="s">
        <v>42</v>
      </c>
      <c r="D10" s="29" t="s">
        <v>43</v>
      </c>
      <c r="E10" s="29" t="s">
        <v>44</v>
      </c>
      <c r="F10" s="3"/>
    </row>
    <row r="11" customFormat="false" ht="41.25" hidden="false" customHeight="true" outlineLevel="0" collapsed="false">
      <c r="A11" s="26" t="s">
        <v>45</v>
      </c>
      <c r="B11" s="32" t="n">
        <f aca="false">1000/B12</f>
        <v>2.61983445418758E+020</v>
      </c>
      <c r="C11" s="28" t="s">
        <v>46</v>
      </c>
      <c r="D11" s="29" t="s">
        <v>47</v>
      </c>
      <c r="E11" s="3"/>
      <c r="F11" s="3"/>
    </row>
    <row r="12" customFormat="false" ht="27.75" hidden="false" customHeight="true" outlineLevel="0" collapsed="false">
      <c r="A12" s="26" t="s">
        <v>48</v>
      </c>
      <c r="B12" s="33" t="n">
        <f aca="false">PI()/6*(B10*10^-9)^3*2160</f>
        <v>3.8170350741116E-018</v>
      </c>
      <c r="C12" s="28" t="s">
        <v>49</v>
      </c>
      <c r="D12" s="29" t="s">
        <v>50</v>
      </c>
      <c r="E12" s="3"/>
      <c r="F12" s="3"/>
    </row>
    <row r="13" customFormat="false" ht="26.85" hidden="false" customHeight="false" outlineLevel="0" collapsed="false">
      <c r="A13" s="26" t="s">
        <v>51</v>
      </c>
      <c r="B13" s="34" t="n">
        <f aca="false">B8*B9*B12*86400*1000</f>
        <v>405.083305284303</v>
      </c>
      <c r="C13" s="28" t="s">
        <v>52</v>
      </c>
      <c r="D13" s="29" t="s">
        <v>53</v>
      </c>
      <c r="E13" s="3"/>
      <c r="F13" s="3"/>
    </row>
    <row r="14" customFormat="false" ht="26.85" hidden="false" customHeight="false" outlineLevel="0" collapsed="false">
      <c r="A14" s="35" t="s">
        <v>51</v>
      </c>
      <c r="B14" s="36" t="n">
        <f aca="false">B13/1000000</f>
        <v>0.000405083305284303</v>
      </c>
      <c r="C14" s="37" t="s">
        <v>54</v>
      </c>
      <c r="D14" s="38"/>
      <c r="E14" s="3"/>
      <c r="F14" s="3"/>
    </row>
    <row r="15" customFormat="false" ht="15" hidden="false" customHeight="true" outlineLevel="0" collapsed="false">
      <c r="A15" s="3"/>
      <c r="B15" s="39"/>
      <c r="C15" s="3"/>
      <c r="D15" s="40"/>
      <c r="E15" s="3"/>
      <c r="F15" s="3"/>
    </row>
    <row r="16" customFormat="false" ht="19.5" hidden="false" customHeight="true" outlineLevel="0" collapsed="false">
      <c r="A16" s="41" t="s">
        <v>55</v>
      </c>
      <c r="B16" s="41"/>
      <c r="C16" s="41"/>
      <c r="D16" s="41"/>
      <c r="E16" s="3"/>
      <c r="F16" s="3"/>
      <c r="G16" s="7" t="s">
        <v>56</v>
      </c>
    </row>
    <row r="17" customFormat="false" ht="66" hidden="false" customHeight="true" outlineLevel="0" collapsed="false">
      <c r="A17" s="26" t="s">
        <v>57</v>
      </c>
      <c r="B17" s="42" t="n">
        <f aca="false">CHOOSE($H$17,$H$18,$H$19)</f>
        <v>512</v>
      </c>
      <c r="C17" s="28" t="s">
        <v>58</v>
      </c>
      <c r="D17" s="29" t="s">
        <v>59</v>
      </c>
      <c r="E17" s="29" t="s">
        <v>60</v>
      </c>
      <c r="F17" s="3"/>
      <c r="G17" s="26" t="s">
        <v>61</v>
      </c>
      <c r="H17" s="42" t="n">
        <v>1</v>
      </c>
      <c r="I17" s="28" t="s">
        <v>62</v>
      </c>
    </row>
    <row r="18" customFormat="false" ht="21" hidden="false" customHeight="true" outlineLevel="0" collapsed="false">
      <c r="A18" s="26" t="s">
        <v>63</v>
      </c>
      <c r="B18" s="43" t="n">
        <f aca="false">B17/1000</f>
        <v>0.512</v>
      </c>
      <c r="C18" s="28" t="s">
        <v>64</v>
      </c>
      <c r="D18" s="29"/>
      <c r="E18" s="38"/>
      <c r="F18" s="3"/>
      <c r="G18" s="26" t="s">
        <v>65</v>
      </c>
      <c r="H18" s="42" t="n">
        <v>512</v>
      </c>
      <c r="I18" s="28" t="s">
        <v>58</v>
      </c>
    </row>
    <row r="19" customFormat="false" ht="21" hidden="false" customHeight="true" outlineLevel="0" collapsed="false">
      <c r="A19" s="26" t="s">
        <v>66</v>
      </c>
      <c r="B19" s="43" t="n">
        <f aca="false">B18*24</f>
        <v>12.288</v>
      </c>
      <c r="C19" s="28" t="s">
        <v>64</v>
      </c>
      <c r="D19" s="29"/>
      <c r="E19" s="38"/>
      <c r="F19" s="3"/>
      <c r="G19" s="26" t="s">
        <v>67</v>
      </c>
      <c r="H19" s="42" t="n">
        <v>51.2</v>
      </c>
      <c r="I19" s="28" t="s">
        <v>58</v>
      </c>
    </row>
    <row r="20" customFormat="false" ht="128.35" hidden="false" customHeight="false" outlineLevel="0" collapsed="false">
      <c r="A20" s="26" t="s">
        <v>68</v>
      </c>
      <c r="B20" s="34" t="n">
        <f aca="false">B19/B14</f>
        <v>30334.5011747049</v>
      </c>
      <c r="C20" s="28" t="s">
        <v>69</v>
      </c>
      <c r="D20" s="29" t="s">
        <v>70</v>
      </c>
      <c r="E20" s="3"/>
      <c r="F20" s="3"/>
      <c r="G20" s="26" t="s">
        <v>71</v>
      </c>
    </row>
    <row r="21" customFormat="false" ht="15" hidden="false" customHeight="true" outlineLevel="0" collapsed="false">
      <c r="A21" s="44"/>
      <c r="B21" s="45"/>
      <c r="C21" s="44"/>
      <c r="D21" s="46"/>
      <c r="E21" s="3"/>
      <c r="F21" s="3"/>
    </row>
    <row r="22" customFormat="false" ht="19.5" hidden="false" customHeight="true" outlineLevel="0" collapsed="false">
      <c r="A22" s="47" t="s">
        <v>72</v>
      </c>
      <c r="B22" s="47"/>
      <c r="C22" s="47"/>
      <c r="D22" s="47"/>
      <c r="E22" s="3"/>
      <c r="F22" s="3"/>
    </row>
    <row r="23" customFormat="false" ht="78.75" hidden="false" customHeight="true" outlineLevel="0" collapsed="false">
      <c r="A23" s="26" t="s">
        <v>73</v>
      </c>
      <c r="B23" s="48" t="n">
        <v>0.41</v>
      </c>
      <c r="C23" s="28" t="s">
        <v>74</v>
      </c>
      <c r="D23" s="29" t="s">
        <v>75</v>
      </c>
      <c r="E23" s="29" t="s">
        <v>76</v>
      </c>
      <c r="F23" s="3"/>
    </row>
    <row r="24" customFormat="false" ht="22.35" hidden="false" customHeight="false" outlineLevel="0" collapsed="false">
      <c r="A24" s="26" t="s">
        <v>77</v>
      </c>
      <c r="B24" s="49" t="n">
        <f aca="false">B23*86.4</f>
        <v>35.424</v>
      </c>
      <c r="C24" s="28" t="s">
        <v>78</v>
      </c>
      <c r="D24" s="29" t="s">
        <v>79</v>
      </c>
      <c r="E24" s="3"/>
      <c r="F24" s="3"/>
    </row>
    <row r="25" customFormat="false" ht="27.75" hidden="false" customHeight="true" outlineLevel="0" collapsed="false">
      <c r="A25" s="26" t="s">
        <v>80</v>
      </c>
      <c r="B25" s="50" t="n">
        <f aca="false">B24/(B13/1000000)/1000</f>
        <v>87.4486791677038</v>
      </c>
      <c r="C25" s="28" t="s">
        <v>81</v>
      </c>
      <c r="D25" s="29" t="s">
        <v>82</v>
      </c>
      <c r="E25" s="3"/>
      <c r="F25" s="3"/>
    </row>
    <row r="26" customFormat="false" ht="32.8" hidden="false" customHeight="false" outlineLevel="0" collapsed="false">
      <c r="A26" s="26" t="s">
        <v>83</v>
      </c>
      <c r="B26" s="48" t="n">
        <v>0.6</v>
      </c>
      <c r="C26" s="28" t="s">
        <v>84</v>
      </c>
      <c r="D26" s="29" t="s">
        <v>85</v>
      </c>
      <c r="E26" s="3"/>
      <c r="F26" s="3"/>
    </row>
    <row r="27" customFormat="false" ht="19.5" hidden="false" customHeight="true" outlineLevel="0" collapsed="false">
      <c r="A27" s="7" t="s">
        <v>86</v>
      </c>
      <c r="B27" s="22"/>
      <c r="C27" s="22"/>
      <c r="D27" s="22"/>
    </row>
    <row r="29" customFormat="false" ht="30" hidden="false" customHeight="true" outlineLevel="0" collapsed="false">
      <c r="B29" s="51" t="s">
        <v>87</v>
      </c>
      <c r="D29" s="52"/>
    </row>
    <row r="30" customFormat="false" ht="15" hidden="false" customHeight="true" outlineLevel="0" collapsed="false">
      <c r="B30" s="53" t="s">
        <v>88</v>
      </c>
    </row>
    <row r="31" customFormat="false" ht="30" hidden="false" customHeight="true" outlineLevel="0" collapsed="false">
      <c r="B31" s="51" t="s">
        <v>89</v>
      </c>
    </row>
    <row r="32" customFormat="false" ht="15" hidden="false" customHeight="true" outlineLevel="0" collapsed="false">
      <c r="B32" s="53" t="s">
        <v>88</v>
      </c>
      <c r="D32" s="52"/>
    </row>
    <row r="33" customFormat="false" ht="30" hidden="false" customHeight="true" outlineLevel="0" collapsed="false">
      <c r="B33" s="51" t="s">
        <v>90</v>
      </c>
    </row>
    <row r="34" customFormat="false" ht="15" hidden="false" customHeight="true" outlineLevel="0" collapsed="false">
      <c r="B34" s="53" t="s">
        <v>88</v>
      </c>
    </row>
    <row r="35" customFormat="false" ht="19.5" hidden="false" customHeight="true" outlineLevel="0" collapsed="false">
      <c r="B35" s="51" t="s">
        <v>91</v>
      </c>
      <c r="D35" s="52"/>
    </row>
    <row r="36" customFormat="false" ht="15" hidden="false" customHeight="true" outlineLevel="0" collapsed="false">
      <c r="B36" s="53" t="s">
        <v>88</v>
      </c>
    </row>
    <row r="37" customFormat="false" ht="30" hidden="false" customHeight="true" outlineLevel="0" collapsed="false">
      <c r="B37" s="51" t="s">
        <v>92</v>
      </c>
    </row>
    <row r="38" customFormat="false" ht="15" hidden="false" customHeight="true" outlineLevel="0" collapsed="false">
      <c r="B38" s="53" t="s">
        <v>88</v>
      </c>
      <c r="D38" s="52"/>
    </row>
    <row r="39" customFormat="false" ht="19.5" hidden="false" customHeight="true" outlineLevel="0" collapsed="false">
      <c r="B39" s="51" t="s">
        <v>93</v>
      </c>
    </row>
    <row r="40" customFormat="false" ht="15" hidden="false" customHeight="true" outlineLevel="0" collapsed="false">
      <c r="B40" s="53" t="s">
        <v>88</v>
      </c>
    </row>
    <row r="41" customFormat="false" ht="30" hidden="false" customHeight="true" outlineLevel="0" collapsed="false">
      <c r="B41" s="51" t="s">
        <v>94</v>
      </c>
      <c r="D41" s="52"/>
    </row>
    <row r="42" customFormat="false" ht="15" hidden="false" customHeight="true" outlineLevel="0" collapsed="false"/>
    <row r="43" customFormat="false" ht="15" hidden="false" customHeight="true" outlineLevel="0" collapsed="false">
      <c r="B43" s="53" t="s">
        <v>88</v>
      </c>
    </row>
    <row r="44" customFormat="false" ht="30" hidden="false" customHeight="true" outlineLevel="0" collapsed="false">
      <c r="B44" s="54" t="s">
        <v>95</v>
      </c>
      <c r="D44" s="52"/>
    </row>
    <row r="45" customFormat="false" ht="15" hidden="false" customHeight="true" outlineLevel="0" collapsed="false">
      <c r="B45" s="53" t="s">
        <v>88</v>
      </c>
    </row>
    <row r="46" customFormat="false" ht="30" hidden="false" customHeight="true" outlineLevel="0" collapsed="false">
      <c r="B46" s="54" t="s">
        <v>96</v>
      </c>
    </row>
    <row r="47" customFormat="false" ht="15" hidden="false" customHeight="true" outlineLevel="0" collapsed="false">
      <c r="B47" s="53" t="s">
        <v>88</v>
      </c>
      <c r="D47" s="52"/>
    </row>
    <row r="48" customFormat="false" ht="30" hidden="false" customHeight="true" outlineLevel="0" collapsed="false">
      <c r="B48" s="54" t="s">
        <v>97</v>
      </c>
    </row>
    <row r="49" customFormat="false" ht="15" hidden="false" customHeight="true" outlineLevel="0" collapsed="false">
      <c r="A49" s="38"/>
      <c r="B49" s="53" t="s">
        <v>88</v>
      </c>
    </row>
    <row r="50" customFormat="false" ht="30" hidden="false" customHeight="true" outlineLevel="0" collapsed="false">
      <c r="B50" s="54" t="s">
        <v>98</v>
      </c>
    </row>
    <row r="51" customFormat="false" ht="15" hidden="false" customHeight="true" outlineLevel="0" collapsed="false">
      <c r="A51" s="3"/>
      <c r="B51" s="53" t="s">
        <v>88</v>
      </c>
      <c r="C51" s="3"/>
      <c r="D51" s="3"/>
      <c r="E51" s="3"/>
      <c r="F51" s="3"/>
    </row>
    <row r="52" customFormat="false" ht="30" hidden="false" customHeight="true" outlineLevel="0" collapsed="false">
      <c r="A52" s="3"/>
      <c r="B52" s="54" t="s">
        <v>99</v>
      </c>
      <c r="C52" s="3"/>
      <c r="D52" s="3"/>
      <c r="E52" s="3"/>
      <c r="F52" s="3"/>
    </row>
    <row r="53" customFormat="false" ht="15" hidden="false" customHeight="true" outlineLevel="0" collapsed="false">
      <c r="A53" s="3"/>
      <c r="B53" s="55"/>
      <c r="C53" s="3"/>
      <c r="D53" s="3"/>
      <c r="E53" s="3"/>
      <c r="F53" s="3"/>
    </row>
    <row r="54" customFormat="false" ht="15" hidden="false" customHeight="true" outlineLevel="0" collapsed="false">
      <c r="A54" s="3"/>
      <c r="B54" s="56"/>
      <c r="C54" s="3"/>
      <c r="D54" s="3"/>
      <c r="E54" s="3"/>
      <c r="F54" s="3"/>
    </row>
  </sheetData>
  <mergeCells count="3">
    <mergeCell ref="A4:D4"/>
    <mergeCell ref="A16:D16"/>
    <mergeCell ref="A22:D22"/>
  </mergeCells>
  <dataValidations count="1">
    <dataValidation allowBlank="true" errorStyle="stop" operator="between" showDropDown="false" showErrorMessage="true" showInputMessage="true" sqref="H17" type="list">
      <formula1>"1,2"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6796875" defaultRowHeight="15" customHeight="false" zeroHeight="false" outlineLevelRow="0" outlineLevelCol="0"/>
  <cols>
    <col collapsed="false" customWidth="true" hidden="false" outlineLevel="0" max="1" min="1" style="0" width="40"/>
    <col collapsed="false" customWidth="true" hidden="false" outlineLevel="0" max="2" min="2" style="0" width="24.33"/>
    <col collapsed="false" customWidth="true" hidden="false" outlineLevel="0" max="3" min="3" style="0" width="14"/>
    <col collapsed="false" customWidth="true" hidden="false" outlineLevel="0" max="4" min="4" style="0" width="13"/>
    <col collapsed="false" customWidth="true" hidden="false" outlineLevel="0" max="5" min="5" style="0" width="69.5"/>
    <col collapsed="false" customWidth="true" hidden="false" outlineLevel="0" max="6" min="6" style="0" width="55"/>
  </cols>
  <sheetData>
    <row r="1" customFormat="false" ht="17.25" hidden="false" customHeight="true" outlineLevel="0" collapsed="false">
      <c r="A1" s="20" t="s">
        <v>100</v>
      </c>
      <c r="B1" s="57"/>
      <c r="C1" s="57"/>
      <c r="D1" s="57"/>
      <c r="E1" s="57"/>
    </row>
    <row r="2" customFormat="false" ht="18" hidden="false" customHeight="true" outlineLevel="0" collapsed="false">
      <c r="A2" s="58" t="s">
        <v>101</v>
      </c>
      <c r="B2" s="58"/>
      <c r="C2" s="58"/>
      <c r="D2" s="58"/>
      <c r="E2" s="58"/>
    </row>
    <row r="3" customFormat="false" ht="15" hidden="false" customHeight="true" outlineLevel="0" collapsed="false">
      <c r="A3" s="59"/>
      <c r="B3" s="59"/>
      <c r="C3" s="59"/>
      <c r="D3" s="59"/>
      <c r="E3" s="59"/>
    </row>
    <row r="4" customFormat="false" ht="15" hidden="false" customHeight="true" outlineLevel="0" collapsed="false">
      <c r="A4" s="25"/>
      <c r="B4" s="25" t="s">
        <v>31</v>
      </c>
      <c r="C4" s="25" t="s">
        <v>32</v>
      </c>
      <c r="D4" s="25"/>
      <c r="E4" s="25" t="s">
        <v>33</v>
      </c>
      <c r="F4" s="25" t="s">
        <v>34</v>
      </c>
    </row>
    <row r="5" customFormat="false" ht="39" hidden="false" customHeight="true" outlineLevel="0" collapsed="false">
      <c r="A5" s="26" t="s">
        <v>102</v>
      </c>
      <c r="B5" s="60" t="n">
        <v>0.9</v>
      </c>
      <c r="C5" s="28" t="s">
        <v>103</v>
      </c>
      <c r="D5" s="61"/>
      <c r="E5" s="62" t="s">
        <v>104</v>
      </c>
      <c r="F5" s="62" t="s">
        <v>105</v>
      </c>
    </row>
    <row r="6" customFormat="false" ht="16.5" hidden="false" customHeight="true" outlineLevel="0" collapsed="false">
      <c r="A6" s="26" t="s">
        <v>106</v>
      </c>
      <c r="B6" s="63" t="n">
        <v>15</v>
      </c>
      <c r="C6" s="28" t="s">
        <v>107</v>
      </c>
      <c r="D6" s="61"/>
      <c r="E6" s="62" t="s">
        <v>108</v>
      </c>
      <c r="F6" s="62" t="s">
        <v>109</v>
      </c>
    </row>
    <row r="7" customFormat="false" ht="16.5" hidden="false" customHeight="true" outlineLevel="0" collapsed="false">
      <c r="A7" s="26" t="s">
        <v>110</v>
      </c>
      <c r="B7" s="60" t="n">
        <v>0.1</v>
      </c>
      <c r="C7" s="28"/>
      <c r="D7" s="61"/>
      <c r="E7" s="62" t="s">
        <v>111</v>
      </c>
      <c r="F7" s="62" t="s">
        <v>112</v>
      </c>
    </row>
    <row r="8" customFormat="false" ht="18" hidden="false" customHeight="true" outlineLevel="0" collapsed="false">
      <c r="A8" s="26" t="s">
        <v>113</v>
      </c>
      <c r="B8" s="60" t="n">
        <v>0.7</v>
      </c>
      <c r="C8" s="28" t="s">
        <v>114</v>
      </c>
      <c r="E8" s="62" t="s">
        <v>115</v>
      </c>
      <c r="F8" s="62" t="s">
        <v>116</v>
      </c>
    </row>
    <row r="9" customFormat="false" ht="15" hidden="false" customHeight="true" outlineLevel="0" collapsed="false">
      <c r="A9" s="7" t="s">
        <v>117</v>
      </c>
      <c r="B9" s="64"/>
      <c r="C9" s="64"/>
      <c r="D9" s="64"/>
      <c r="E9" s="64"/>
    </row>
    <row r="10" customFormat="false" ht="34.5" hidden="false" customHeight="true" outlineLevel="0" collapsed="false">
      <c r="A10" s="25"/>
      <c r="B10" s="25" t="s">
        <v>31</v>
      </c>
      <c r="C10" s="25" t="s">
        <v>32</v>
      </c>
      <c r="D10" s="25"/>
      <c r="E10" s="25" t="s">
        <v>33</v>
      </c>
      <c r="F10" s="25" t="s">
        <v>34</v>
      </c>
    </row>
    <row r="11" customFormat="false" ht="19.5" hidden="false" customHeight="true" outlineLevel="0" collapsed="false">
      <c r="A11" s="26" t="s">
        <v>118</v>
      </c>
      <c r="B11" s="65" t="n">
        <f aca="false">'1. Technology Description'!B13*365*$B$5/1000000</f>
        <v>0.133069865785893</v>
      </c>
      <c r="C11" s="28" t="s">
        <v>119</v>
      </c>
      <c r="D11" s="61"/>
      <c r="E11" s="62" t="s">
        <v>120</v>
      </c>
    </row>
    <row r="12" customFormat="false" ht="28.5" hidden="false" customHeight="true" outlineLevel="0" collapsed="false">
      <c r="A12" s="26" t="s">
        <v>121</v>
      </c>
      <c r="B12" s="34" t="n">
        <f aca="false">B13*'1. Technology Description'!B8*'1. Technology Description'!B9</f>
        <v>10000000000000000</v>
      </c>
      <c r="C12" s="28" t="s">
        <v>36</v>
      </c>
      <c r="D12" s="61"/>
      <c r="E12" s="62" t="s">
        <v>122</v>
      </c>
    </row>
    <row r="13" customFormat="false" ht="28.5" hidden="false" customHeight="true" outlineLevel="0" collapsed="false">
      <c r="A13" s="26" t="s">
        <v>123</v>
      </c>
      <c r="B13" s="34" t="n">
        <f aca="false">B14*1000/'1. Technology Description'!B17</f>
        <v>8141.33355043556</v>
      </c>
      <c r="C13" s="28" t="s">
        <v>124</v>
      </c>
      <c r="D13" s="61"/>
      <c r="E13" s="62" t="s">
        <v>125</v>
      </c>
      <c r="F13" s="62"/>
      <c r="G13" s="62"/>
    </row>
    <row r="14" customFormat="false" ht="12.75" hidden="false" customHeight="true" outlineLevel="0" collapsed="false">
      <c r="A14" s="26" t="s">
        <v>126</v>
      </c>
      <c r="B14" s="60" t="n">
        <v>4168.36277782301</v>
      </c>
      <c r="C14" s="28" t="s">
        <v>127</v>
      </c>
      <c r="D14" s="61"/>
      <c r="E14" s="66" t="s">
        <v>128</v>
      </c>
      <c r="F14" s="0" t="s">
        <v>129</v>
      </c>
    </row>
    <row r="15" customFormat="false" ht="15" hidden="false" customHeight="true" outlineLevel="0" collapsed="false">
      <c r="A15" s="26" t="s">
        <v>130</v>
      </c>
      <c r="B15" s="49" t="n">
        <f aca="false">B13*B11</f>
        <v>1083.36616287465</v>
      </c>
      <c r="C15" s="28" t="s">
        <v>119</v>
      </c>
      <c r="D15" s="61"/>
      <c r="E15" s="62" t="s">
        <v>131</v>
      </c>
    </row>
    <row r="16" customFormat="false" ht="16.5" hidden="false" customHeight="true" outlineLevel="0" collapsed="false">
      <c r="E16" s="67"/>
    </row>
    <row r="17" customFormat="false" ht="16.5" hidden="false" customHeight="true" outlineLevel="0" collapsed="false">
      <c r="A17" s="68" t="s">
        <v>132</v>
      </c>
      <c r="B17" s="68"/>
      <c r="C17" s="68"/>
      <c r="D17" s="68"/>
      <c r="E17" s="64"/>
    </row>
    <row r="18" customFormat="false" ht="16.5" hidden="false" customHeight="true" outlineLevel="0" collapsed="false">
      <c r="A18" s="9" t="s">
        <v>133</v>
      </c>
      <c r="B18" s="69"/>
      <c r="C18" s="69"/>
      <c r="D18" s="69"/>
      <c r="E18" s="69"/>
    </row>
    <row r="19" customFormat="false" ht="16.5" hidden="false" customHeight="true" outlineLevel="0" collapsed="false">
      <c r="A19" s="25"/>
      <c r="B19" s="25" t="s">
        <v>134</v>
      </c>
      <c r="C19" s="25" t="s">
        <v>32</v>
      </c>
      <c r="D19" s="25" t="s">
        <v>135</v>
      </c>
      <c r="E19" s="25" t="s">
        <v>33</v>
      </c>
      <c r="F19" s="25" t="s">
        <v>34</v>
      </c>
    </row>
    <row r="20" customFormat="false" ht="16.5" hidden="false" customHeight="true" outlineLevel="0" collapsed="false">
      <c r="A20" s="26" t="s">
        <v>136</v>
      </c>
      <c r="B20" s="34" t="n">
        <f aca="false">'1. Technology Description'!B25*1000</f>
        <v>87448.6791677038</v>
      </c>
      <c r="C20" s="28" t="s">
        <v>137</v>
      </c>
      <c r="D20" s="70" t="n">
        <v>0</v>
      </c>
      <c r="E20" s="62" t="s">
        <v>138</v>
      </c>
      <c r="F20" s="62" t="s">
        <v>139</v>
      </c>
    </row>
    <row r="21" customFormat="false" ht="15" hidden="false" customHeight="true" outlineLevel="0" collapsed="false">
      <c r="A21" s="3"/>
      <c r="B21" s="3"/>
      <c r="C21" s="3"/>
      <c r="D21" s="3"/>
      <c r="E21" s="3"/>
    </row>
    <row r="22" customFormat="false" ht="27.75" hidden="false" customHeight="true" outlineLevel="0" collapsed="false">
      <c r="A22" s="9" t="s">
        <v>140</v>
      </c>
      <c r="B22" s="69"/>
      <c r="C22" s="69"/>
      <c r="D22" s="69"/>
      <c r="E22" s="69"/>
    </row>
    <row r="23" customFormat="false" ht="18" hidden="false" customHeight="true" outlineLevel="0" collapsed="false">
      <c r="A23" s="25"/>
      <c r="B23" s="25" t="s">
        <v>134</v>
      </c>
      <c r="C23" s="25" t="s">
        <v>32</v>
      </c>
      <c r="D23" s="25" t="s">
        <v>135</v>
      </c>
      <c r="E23" s="71"/>
    </row>
    <row r="24" customFormat="false" ht="28.5" hidden="false" customHeight="true" outlineLevel="0" collapsed="false">
      <c r="A24" s="26" t="s">
        <v>141</v>
      </c>
      <c r="B24" s="34" t="n">
        <f aca="false">'1. Technology Description'!B20</f>
        <v>30334.5011747049</v>
      </c>
      <c r="C24" s="28" t="s">
        <v>69</v>
      </c>
      <c r="D24" s="70" t="n">
        <v>0.3</v>
      </c>
      <c r="E24" s="62" t="s">
        <v>142</v>
      </c>
      <c r="F24" s="62" t="s">
        <v>143</v>
      </c>
    </row>
    <row r="25" customFormat="false" ht="66" hidden="false" customHeight="true" outlineLevel="0" collapsed="false">
      <c r="A25" s="26" t="s">
        <v>144</v>
      </c>
      <c r="B25" s="34" t="n">
        <v>16000</v>
      </c>
      <c r="C25" s="28" t="s">
        <v>78</v>
      </c>
      <c r="D25" s="72" t="n">
        <v>0.9</v>
      </c>
      <c r="E25" s="62" t="s">
        <v>145</v>
      </c>
      <c r="F25" s="62" t="s">
        <v>146</v>
      </c>
    </row>
    <row r="26" customFormat="false" ht="15" hidden="false" customHeight="true" outlineLevel="0" collapsed="false">
      <c r="A26" s="26" t="s">
        <v>147</v>
      </c>
      <c r="B26" s="34" t="n">
        <v>2700</v>
      </c>
      <c r="C26" s="28" t="s">
        <v>78</v>
      </c>
      <c r="D26" s="72" t="n">
        <f aca="false">D25</f>
        <v>0.9</v>
      </c>
      <c r="E26" s="73" t="s">
        <v>148</v>
      </c>
    </row>
    <row r="27" customFormat="false" ht="15" hidden="false" customHeight="true" outlineLevel="0" collapsed="false">
      <c r="A27" s="26" t="s">
        <v>149</v>
      </c>
      <c r="B27" s="34" t="n">
        <v>1000000</v>
      </c>
      <c r="C27" s="28" t="s">
        <v>150</v>
      </c>
      <c r="D27" s="61"/>
      <c r="E27" s="73"/>
    </row>
    <row r="28" customFormat="false" ht="28.5" hidden="false" customHeight="true" outlineLevel="0" collapsed="false">
      <c r="A28" s="26" t="s">
        <v>151</v>
      </c>
      <c r="B28" s="34" t="n">
        <f aca="false">'1. Technology Description'!B25*'1. Technology Description'!B26</f>
        <v>52.4692075006223</v>
      </c>
      <c r="C28" s="28" t="s">
        <v>69</v>
      </c>
      <c r="D28" s="72" t="n">
        <v>0.3</v>
      </c>
      <c r="E28" s="62" t="s">
        <v>152</v>
      </c>
      <c r="F28" s="62" t="s">
        <v>153</v>
      </c>
    </row>
    <row r="29" customFormat="false" ht="18" hidden="false" customHeight="true" outlineLevel="0" collapsed="false">
      <c r="A29" s="9" t="s">
        <v>154</v>
      </c>
      <c r="B29" s="69"/>
      <c r="C29" s="69"/>
      <c r="D29" s="69"/>
      <c r="E29" s="74"/>
    </row>
    <row r="30" customFormat="false" ht="15" hidden="false" customHeight="true" outlineLevel="0" collapsed="false">
      <c r="A30" s="25"/>
      <c r="B30" s="25" t="s">
        <v>134</v>
      </c>
      <c r="C30" s="25" t="s">
        <v>32</v>
      </c>
      <c r="D30" s="25" t="s">
        <v>135</v>
      </c>
      <c r="E30" s="71"/>
    </row>
    <row r="31" customFormat="false" ht="34.5" hidden="false" customHeight="true" outlineLevel="0" collapsed="false">
      <c r="A31" s="26" t="s">
        <v>155</v>
      </c>
      <c r="B31" s="34" t="n">
        <v>6</v>
      </c>
      <c r="C31" s="28" t="s">
        <v>156</v>
      </c>
      <c r="D31" s="75" t="n">
        <v>150000</v>
      </c>
      <c r="E31" s="62" t="s">
        <v>157</v>
      </c>
      <c r="F31" s="62" t="s">
        <v>158</v>
      </c>
    </row>
    <row r="32" customFormat="false" ht="15" hidden="false" customHeight="false" outlineLevel="0" collapsed="false">
      <c r="A32" s="3"/>
      <c r="B32" s="3"/>
      <c r="C32" s="3"/>
      <c r="D32" s="3"/>
      <c r="E32" s="3"/>
    </row>
    <row r="33" customFormat="false" ht="15" hidden="false" customHeight="false" outlineLevel="0" collapsed="false">
      <c r="A33" s="9" t="s">
        <v>159</v>
      </c>
      <c r="B33" s="69"/>
      <c r="C33" s="69"/>
      <c r="D33" s="69"/>
      <c r="E33" s="69"/>
    </row>
    <row r="34" customFormat="false" ht="15" hidden="false" customHeight="true" outlineLevel="0" collapsed="false">
      <c r="A34" s="3"/>
      <c r="B34" s="76" t="s">
        <v>134</v>
      </c>
      <c r="C34" s="76" t="s">
        <v>32</v>
      </c>
      <c r="D34" s="3"/>
      <c r="E34" s="3"/>
    </row>
    <row r="35" customFormat="false" ht="25.5" hidden="false" customHeight="true" outlineLevel="0" collapsed="false">
      <c r="A35" s="26" t="s">
        <v>160</v>
      </c>
      <c r="B35" s="60" t="n">
        <v>0.07</v>
      </c>
      <c r="C35" s="28" t="s">
        <v>161</v>
      </c>
      <c r="D35" s="28"/>
      <c r="E35" s="62" t="s">
        <v>162</v>
      </c>
      <c r="F35" s="62" t="s">
        <v>163</v>
      </c>
    </row>
    <row r="36" customFormat="false" ht="16.5" hidden="false" customHeight="true" outlineLevel="0" collapsed="false">
      <c r="A36" s="77"/>
      <c r="B36" s="77"/>
      <c r="C36" s="77"/>
      <c r="D36" s="77"/>
      <c r="E36" s="77"/>
    </row>
    <row r="37" customFormat="false" ht="18" hidden="false" customHeight="true" outlineLevel="0" collapsed="false">
      <c r="A37" s="7" t="s">
        <v>164</v>
      </c>
      <c r="B37" s="64"/>
      <c r="C37" s="64"/>
      <c r="D37" s="64"/>
      <c r="E37" s="64"/>
    </row>
    <row r="38" customFormat="false" ht="15" hidden="false" customHeight="true" outlineLevel="0" collapsed="false">
      <c r="A38" s="9" t="s">
        <v>165</v>
      </c>
      <c r="B38" s="69"/>
      <c r="C38" s="69"/>
      <c r="D38" s="69"/>
      <c r="E38" s="74"/>
    </row>
    <row r="39" customFormat="false" ht="15" hidden="false" customHeight="true" outlineLevel="0" collapsed="false">
      <c r="A39" s="25"/>
      <c r="B39" s="25" t="s">
        <v>134</v>
      </c>
      <c r="C39" s="25" t="s">
        <v>32</v>
      </c>
      <c r="D39" s="25" t="s">
        <v>135</v>
      </c>
      <c r="E39" s="25" t="s">
        <v>33</v>
      </c>
      <c r="F39" s="25" t="s">
        <v>34</v>
      </c>
      <c r="G39" s="7" t="s">
        <v>166</v>
      </c>
    </row>
    <row r="40" customFormat="false" ht="54" hidden="false" customHeight="true" outlineLevel="0" collapsed="false">
      <c r="A40" s="26" t="s">
        <v>167</v>
      </c>
      <c r="B40" s="34" t="n">
        <f aca="false">B13</f>
        <v>8141.33355043556</v>
      </c>
      <c r="C40" s="28" t="s">
        <v>124</v>
      </c>
      <c r="D40" s="75" t="n">
        <f aca="false">CHOOSE($H$40,$H$41,$H$42,$H$43)</f>
        <v>100</v>
      </c>
      <c r="E40" s="78" t="s">
        <v>168</v>
      </c>
      <c r="F40" s="78" t="s">
        <v>169</v>
      </c>
      <c r="G40" s="26" t="s">
        <v>61</v>
      </c>
      <c r="H40" s="75" t="n">
        <v>2</v>
      </c>
      <c r="I40" s="28" t="s">
        <v>170</v>
      </c>
    </row>
    <row r="41" customFormat="false" ht="66" hidden="false" customHeight="true" outlineLevel="0" collapsed="false">
      <c r="A41" s="26" t="s">
        <v>171</v>
      </c>
      <c r="B41" s="34" t="n">
        <f aca="false">B14</f>
        <v>4168.36277782301</v>
      </c>
      <c r="C41" s="28" t="s">
        <v>127</v>
      </c>
      <c r="D41" s="75" t="n">
        <v>1500</v>
      </c>
      <c r="E41" s="78" t="s">
        <v>172</v>
      </c>
      <c r="F41" s="78" t="s">
        <v>173</v>
      </c>
      <c r="G41" s="26" t="s">
        <v>174</v>
      </c>
      <c r="H41" s="75" t="n">
        <v>10</v>
      </c>
      <c r="I41" s="28" t="s">
        <v>175</v>
      </c>
    </row>
    <row r="42" customFormat="false" ht="78.75" hidden="false" customHeight="true" outlineLevel="0" collapsed="false">
      <c r="A42" s="26" t="s">
        <v>176</v>
      </c>
      <c r="B42" s="34" t="n">
        <v>1</v>
      </c>
      <c r="C42" s="28" t="s">
        <v>177</v>
      </c>
      <c r="D42" s="75" t="n">
        <v>25000</v>
      </c>
      <c r="E42" s="78" t="s">
        <v>178</v>
      </c>
      <c r="F42" s="78" t="s">
        <v>179</v>
      </c>
      <c r="G42" s="26" t="s">
        <v>180</v>
      </c>
      <c r="H42" s="75" t="n">
        <v>100</v>
      </c>
      <c r="I42" s="28" t="s">
        <v>175</v>
      </c>
    </row>
    <row r="43" customFormat="false" ht="12.75" hidden="false" customHeight="true" outlineLevel="0" collapsed="false">
      <c r="A43" s="26" t="s">
        <v>181</v>
      </c>
      <c r="B43" s="34" t="n">
        <v>1</v>
      </c>
      <c r="C43" s="28" t="s">
        <v>177</v>
      </c>
      <c r="D43" s="34" t="n">
        <f aca="false">D44*0.25</f>
        <v>7500000</v>
      </c>
      <c r="E43" s="78" t="s">
        <v>182</v>
      </c>
      <c r="G43" s="26" t="s">
        <v>183</v>
      </c>
      <c r="H43" s="75" t="n">
        <v>1000</v>
      </c>
      <c r="I43" s="28" t="s">
        <v>175</v>
      </c>
    </row>
    <row r="44" customFormat="false" ht="66" hidden="false" customHeight="true" outlineLevel="0" collapsed="false">
      <c r="A44" s="26" t="s">
        <v>184</v>
      </c>
      <c r="B44" s="34" t="n">
        <v>1</v>
      </c>
      <c r="C44" s="28" t="s">
        <v>185</v>
      </c>
      <c r="D44" s="75" t="n">
        <v>30000000</v>
      </c>
      <c r="E44" s="78" t="s">
        <v>186</v>
      </c>
      <c r="F44" s="78" t="s">
        <v>187</v>
      </c>
      <c r="G44" s="26" t="s">
        <v>188</v>
      </c>
    </row>
    <row r="45" customFormat="false" ht="15" hidden="false" customHeight="true" outlineLevel="0" collapsed="false">
      <c r="A45" s="79" t="s">
        <v>189</v>
      </c>
      <c r="B45" s="80" t="n">
        <f aca="false">B40*D40+B41*D41+B42*D42+B43*D43+B44*D44</f>
        <v>44591677.5217781</v>
      </c>
      <c r="C45" s="28"/>
      <c r="D45" s="28"/>
      <c r="E45" s="26"/>
    </row>
    <row r="46" customFormat="false" ht="15" hidden="false" customHeight="true" outlineLevel="0" collapsed="false">
      <c r="A46" s="3"/>
      <c r="B46" s="3"/>
      <c r="C46" s="3"/>
      <c r="D46" s="3"/>
      <c r="E46" s="3"/>
    </row>
    <row r="47" customFormat="false" ht="15" hidden="false" customHeight="true" outlineLevel="0" collapsed="false">
      <c r="A47" s="9" t="s">
        <v>190</v>
      </c>
      <c r="B47" s="69"/>
      <c r="C47" s="69"/>
      <c r="D47" s="69"/>
      <c r="E47" s="25" t="s">
        <v>33</v>
      </c>
      <c r="F47" s="25" t="s">
        <v>34</v>
      </c>
    </row>
    <row r="48" customFormat="false" ht="15" hidden="false" customHeight="true" outlineLevel="0" collapsed="false">
      <c r="A48" s="3"/>
      <c r="B48" s="76" t="s">
        <v>191</v>
      </c>
      <c r="C48" s="3"/>
      <c r="D48" s="3"/>
      <c r="E48" s="3"/>
    </row>
    <row r="49" customFormat="false" ht="16.5" hidden="false" customHeight="true" outlineLevel="0" collapsed="false">
      <c r="A49" s="26" t="s">
        <v>192</v>
      </c>
      <c r="B49" s="60" t="n">
        <v>0.2</v>
      </c>
      <c r="C49" s="28"/>
      <c r="D49" s="28"/>
      <c r="E49" s="62"/>
      <c r="F49" s="62" t="s">
        <v>193</v>
      </c>
    </row>
    <row r="50" customFormat="false" ht="16.5" hidden="false" customHeight="true" outlineLevel="0" collapsed="false">
      <c r="A50" s="26" t="s">
        <v>194</v>
      </c>
      <c r="B50" s="60" t="n">
        <v>0.15</v>
      </c>
      <c r="C50" s="28"/>
      <c r="D50" s="28"/>
      <c r="E50" s="62"/>
      <c r="F50" s="62" t="s">
        <v>193</v>
      </c>
    </row>
    <row r="51" customFormat="false" ht="28.5" hidden="false" customHeight="true" outlineLevel="0" collapsed="false">
      <c r="A51" s="26" t="s">
        <v>195</v>
      </c>
      <c r="B51" s="60" t="n">
        <v>0.2</v>
      </c>
      <c r="C51" s="81" t="n">
        <f aca="false">((D42*B42)+(D40*B40)+(D41*B41))*B51</f>
        <v>1418335.50435561</v>
      </c>
      <c r="D51" s="28"/>
      <c r="E51" s="78" t="s">
        <v>196</v>
      </c>
      <c r="F51" s="78" t="s">
        <v>197</v>
      </c>
    </row>
    <row r="52" customFormat="false" ht="16.5" hidden="false" customHeight="true" outlineLevel="0" collapsed="false">
      <c r="A52" s="26" t="s">
        <v>198</v>
      </c>
      <c r="B52" s="60" t="n">
        <v>0.25</v>
      </c>
      <c r="C52" s="28"/>
      <c r="D52" s="28"/>
      <c r="E52" s="62"/>
      <c r="F52" s="62" t="s">
        <v>199</v>
      </c>
    </row>
    <row r="53" customFormat="false" ht="15" hidden="false" customHeight="true" outlineLevel="0" collapsed="false">
      <c r="A53" s="79" t="s">
        <v>200</v>
      </c>
      <c r="B53" s="80" t="n">
        <f aca="false">B45*(1+B49+B50+B52)+C51</f>
        <v>72765019.5392005</v>
      </c>
      <c r="C53" s="28"/>
      <c r="D53" s="28"/>
      <c r="E53" s="28"/>
    </row>
    <row r="54" customFormat="false" ht="15" hidden="false" customHeight="true" outlineLevel="0" collapsed="false">
      <c r="A54" s="3"/>
      <c r="B54" s="82"/>
      <c r="C54" s="3"/>
      <c r="D54" s="3"/>
      <c r="E54" s="82"/>
    </row>
    <row r="55" customFormat="false" ht="15" hidden="false" customHeight="true" outlineLevel="0" collapsed="false">
      <c r="A55" s="9" t="s">
        <v>201</v>
      </c>
      <c r="B55" s="69"/>
      <c r="C55" s="69"/>
      <c r="D55" s="69"/>
      <c r="E55" s="25" t="s">
        <v>33</v>
      </c>
      <c r="F55" s="25"/>
    </row>
    <row r="56" customFormat="false" ht="15" hidden="false" customHeight="false" outlineLevel="0" collapsed="false">
      <c r="A56" s="0" t="s">
        <v>202</v>
      </c>
      <c r="B56" s="75" t="n">
        <v>150000</v>
      </c>
      <c r="C56" s="0" t="s">
        <v>203</v>
      </c>
      <c r="D56" s="0" t="s">
        <v>204</v>
      </c>
      <c r="E56" s="0" t="s">
        <v>205</v>
      </c>
    </row>
    <row r="57" customFormat="false" ht="26.85" hidden="false" customHeight="false" outlineLevel="0" collapsed="false">
      <c r="A57" s="79" t="s">
        <v>206</v>
      </c>
      <c r="B57" s="80" t="n">
        <f aca="false">(B40*D40+B41*D41+B42*D42)*(1+B49+B50+B52)+C51</f>
        <v>12765019.5392005</v>
      </c>
      <c r="C57" s="28" t="s">
        <v>207</v>
      </c>
      <c r="D57" s="0" t="s">
        <v>208</v>
      </c>
    </row>
    <row r="58" customFormat="false" ht="26.85" hidden="false" customHeight="false" outlineLevel="0" collapsed="false">
      <c r="A58" s="79" t="s">
        <v>209</v>
      </c>
      <c r="B58" s="80" t="n">
        <f aca="false">B57*((B7*(1+B7)^B6)/((1+B7)^B6-1))/365</f>
        <v>4597.98720783506</v>
      </c>
      <c r="C58" s="28" t="s">
        <v>210</v>
      </c>
      <c r="D58" s="0" t="s">
        <v>211</v>
      </c>
    </row>
    <row r="60" customFormat="false" ht="15" hidden="false" customHeight="false" outlineLevel="0" collapsed="false">
      <c r="A60" s="83" t="s">
        <v>212</v>
      </c>
    </row>
    <row r="61" customFormat="false" ht="15" hidden="false" customHeight="false" outlineLevel="0" collapsed="false">
      <c r="A61" s="84" t="s">
        <v>213</v>
      </c>
      <c r="B61" s="85" t="n">
        <v>3.206</v>
      </c>
      <c r="C61" s="86" t="s">
        <v>214</v>
      </c>
      <c r="E61" s="87" t="s">
        <v>215</v>
      </c>
      <c r="F61" s="87" t="s">
        <v>216</v>
      </c>
    </row>
    <row r="62" customFormat="false" ht="22.35" hidden="false" customHeight="false" outlineLevel="0" collapsed="false">
      <c r="A62" s="84" t="s">
        <v>217</v>
      </c>
      <c r="B62" s="85" t="n">
        <v>0.845</v>
      </c>
      <c r="C62" s="86" t="s">
        <v>218</v>
      </c>
      <c r="E62" s="87" t="s">
        <v>219</v>
      </c>
      <c r="F62" s="87" t="s">
        <v>220</v>
      </c>
    </row>
    <row r="63" customFormat="false" ht="32.8" hidden="false" customHeight="false" outlineLevel="0" collapsed="false">
      <c r="A63" s="84" t="s">
        <v>221</v>
      </c>
      <c r="B63" s="88" t="n">
        <v>190</v>
      </c>
      <c r="C63" s="86" t="s">
        <v>222</v>
      </c>
      <c r="E63" s="87" t="s">
        <v>223</v>
      </c>
      <c r="F63" s="87" t="s">
        <v>224</v>
      </c>
    </row>
    <row r="64" customFormat="false" ht="15" hidden="false" customHeight="false" outlineLevel="0" collapsed="false">
      <c r="A64" s="84" t="s">
        <v>225</v>
      </c>
      <c r="B64" s="89" t="n">
        <f aca="false">'6c. Benefit - Global Piggyback'!B50</f>
        <v>0.2</v>
      </c>
      <c r="C64" s="86" t="s">
        <v>226</v>
      </c>
      <c r="E64" s="87" t="s">
        <v>227</v>
      </c>
      <c r="F64" s="87" t="s">
        <v>228</v>
      </c>
    </row>
  </sheetData>
  <mergeCells count="6">
    <mergeCell ref="A2:E2"/>
    <mergeCell ref="A3:E3"/>
    <mergeCell ref="F13:G13"/>
    <mergeCell ref="A17:B17"/>
    <mergeCell ref="C17:D17"/>
    <mergeCell ref="A36:E36"/>
  </mergeCells>
  <dataValidations count="1">
    <dataValidation allowBlank="true" errorStyle="stop" operator="between" showDropDown="false" showErrorMessage="true" showInputMessage="true" sqref="H40"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57" activeCellId="0" sqref="F57"/>
    </sheetView>
  </sheetViews>
  <sheetFormatPr defaultColWidth="8.66796875" defaultRowHeight="15" customHeight="false" zeroHeight="false" outlineLevelRow="0" outlineLevelCol="1"/>
  <cols>
    <col collapsed="false" customWidth="true" hidden="false" outlineLevel="0" max="1" min="1" style="0" width="40"/>
    <col collapsed="false" customWidth="true" hidden="false" outlineLevel="0" max="2" min="2" style="0" width="16"/>
    <col collapsed="false" customWidth="true" hidden="false" outlineLevel="0" max="3" min="3" style="0" width="17.83"/>
    <col collapsed="false" customWidth="true" hidden="false" outlineLevel="0" max="4" min="4" style="0" width="15"/>
    <col collapsed="false" customWidth="true" hidden="false" outlineLevel="0" max="5" min="5" style="0" width="13"/>
    <col collapsed="false" customWidth="true" hidden="false" outlineLevel="0" max="6" min="6" style="0" width="26"/>
    <col collapsed="false" customWidth="true" hidden="false" outlineLevel="0" max="7" min="7" style="0" width="14"/>
    <col collapsed="false" customWidth="true" hidden="false" outlineLevel="0" max="8" min="8" style="0" width="13"/>
    <col collapsed="false" customWidth="true" hidden="false" outlineLevel="0" max="17" min="9" style="0" width="15"/>
    <col collapsed="false" customWidth="true" hidden="false" outlineLevel="1" max="45" min="18" style="0" width="15"/>
  </cols>
  <sheetData>
    <row r="1" customFormat="false" ht="17.25" hidden="false" customHeight="true" outlineLevel="0" collapsed="false">
      <c r="A1" s="20" t="s">
        <v>229</v>
      </c>
      <c r="B1" s="57"/>
      <c r="C1" s="57"/>
      <c r="D1" s="57"/>
      <c r="E1" s="57"/>
      <c r="F1" s="57"/>
      <c r="G1" s="57"/>
    </row>
    <row r="2" customFormat="false" ht="15" hidden="false" customHeight="true" outlineLevel="0" collapsed="false"/>
    <row r="3" customFormat="false" ht="24" hidden="false" customHeight="true" outlineLevel="0" collapsed="false">
      <c r="A3" s="41" t="s">
        <v>230</v>
      </c>
      <c r="B3" s="41"/>
      <c r="C3" s="41"/>
      <c r="D3" s="41"/>
      <c r="E3" s="41"/>
      <c r="F3" s="58" t="s">
        <v>231</v>
      </c>
      <c r="G3" s="58"/>
      <c r="H3" s="58"/>
    </row>
    <row r="4" customFormat="false" ht="15" hidden="false" customHeight="true" outlineLevel="0" collapsed="false">
      <c r="A4" s="71" t="s">
        <v>232</v>
      </c>
      <c r="B4" s="25" t="s">
        <v>233</v>
      </c>
      <c r="C4" s="25" t="s">
        <v>234</v>
      </c>
      <c r="D4" s="25" t="s">
        <v>235</v>
      </c>
      <c r="E4" s="25"/>
      <c r="F4" s="25" t="s">
        <v>236</v>
      </c>
      <c r="G4" s="25" t="s">
        <v>31</v>
      </c>
      <c r="H4" s="25" t="s">
        <v>32</v>
      </c>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row>
    <row r="5" customFormat="false" ht="15" hidden="false" customHeight="true" outlineLevel="0" collapsed="false">
      <c r="A5" s="26" t="s">
        <v>237</v>
      </c>
      <c r="B5" s="65" t="n">
        <f aca="false">('2. Cost Inputs'!B7*(1+'2. Cost Inputs'!B7)^'2. Cost Inputs'!B6)/((1+'2. Cost Inputs'!B7)^'2. Cost Inputs'!B6-1)</f>
        <v>0.131473776887372</v>
      </c>
      <c r="C5" s="61"/>
      <c r="D5" s="61"/>
      <c r="E5" s="61"/>
      <c r="F5" s="91" t="s">
        <v>238</v>
      </c>
      <c r="G5" s="80" t="n">
        <f aca="false">B13/$B$22</f>
        <v>54047.9786281274</v>
      </c>
      <c r="H5" s="92" t="s">
        <v>234</v>
      </c>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row>
    <row r="6" customFormat="false" ht="15" hidden="false" customHeight="true" outlineLevel="0" collapsed="false">
      <c r="A6" s="26" t="s">
        <v>239</v>
      </c>
      <c r="B6" s="81" t="n">
        <f aca="false">'2. Cost Inputs'!B53*B5</f>
        <v>9566691.94410213</v>
      </c>
      <c r="C6" s="81" t="n">
        <f aca="false">B6/$B$22</f>
        <v>24173.5620830994</v>
      </c>
      <c r="D6" s="93" t="n">
        <f aca="false">B6/$B$13</f>
        <v>0.447261168626186</v>
      </c>
      <c r="E6" s="61"/>
      <c r="F6" s="28" t="s">
        <v>240</v>
      </c>
      <c r="G6" s="34" t="n">
        <f aca="false">$B$22</f>
        <v>395.750196483891</v>
      </c>
      <c r="H6" s="92" t="s">
        <v>119</v>
      </c>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row>
    <row r="7" customFormat="false" ht="15" hidden="false" customHeight="true" outlineLevel="0" collapsed="false">
      <c r="A7" s="26" t="s">
        <v>55</v>
      </c>
      <c r="B7" s="81" t="n">
        <f aca="false">'2. Cost Inputs'!B24*'2. Cost Inputs'!D24*$B$22</f>
        <v>3601465.44003908</v>
      </c>
      <c r="C7" s="81" t="n">
        <f aca="false">B7/$B$22</f>
        <v>9100.35035241146</v>
      </c>
      <c r="D7" s="93" t="n">
        <f aca="false">B7/$B$13</f>
        <v>0.168375406137307</v>
      </c>
      <c r="E7" s="61"/>
      <c r="F7" s="28" t="s">
        <v>200</v>
      </c>
      <c r="G7" s="81" t="n">
        <f aca="false">'2. Cost Inputs'!B53</f>
        <v>72765019.5392005</v>
      </c>
      <c r="H7" s="92" t="s">
        <v>207</v>
      </c>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row>
    <row r="8" customFormat="false" ht="15" hidden="false" customHeight="true" outlineLevel="0" collapsed="false">
      <c r="A8" s="26" t="s">
        <v>241</v>
      </c>
      <c r="B8" s="81" t="n">
        <f aca="false">'2. Cost Inputs'!B28*'2. Cost Inputs'!D28*$B$22</f>
        <v>6229.40975331759</v>
      </c>
      <c r="C8" s="81" t="n">
        <f aca="false">B8/$B$22</f>
        <v>15.7407622501867</v>
      </c>
      <c r="D8" s="93" t="n">
        <f aca="false">B8/$B$13</f>
        <v>0.000291236835303124</v>
      </c>
      <c r="E8" s="61"/>
      <c r="F8" s="28" t="s">
        <v>242</v>
      </c>
      <c r="G8" s="81" t="n">
        <f aca="false">B13</f>
        <v>21389498.1616386</v>
      </c>
      <c r="H8" s="92" t="s">
        <v>243</v>
      </c>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row>
    <row r="9" customFormat="false" ht="15" hidden="false" customHeight="true" outlineLevel="0" collapsed="false">
      <c r="A9" s="26" t="s">
        <v>244</v>
      </c>
      <c r="B9" s="81" t="n">
        <f aca="false">'2. Cost Inputs'!B20*'2. Cost Inputs'!D20*$B$22</f>
        <v>0</v>
      </c>
      <c r="C9" s="81" t="n">
        <f aca="false">B9/$B$22</f>
        <v>0</v>
      </c>
      <c r="D9" s="93" t="n">
        <f aca="false">B9/$B$13</f>
        <v>0</v>
      </c>
      <c r="E9" s="61"/>
      <c r="F9" s="28" t="s">
        <v>245</v>
      </c>
      <c r="G9" s="34" t="n">
        <f aca="false">'2. Cost Inputs'!B13</f>
        <v>8141.33355043556</v>
      </c>
      <c r="H9" s="92" t="s">
        <v>124</v>
      </c>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row>
    <row r="10" customFormat="false" ht="15" hidden="false" customHeight="true" outlineLevel="0" collapsed="false">
      <c r="A10" s="26" t="s">
        <v>155</v>
      </c>
      <c r="B10" s="81" t="n">
        <f aca="false">'2. Cost Inputs'!B31*'2. Cost Inputs'!D31</f>
        <v>900000</v>
      </c>
      <c r="C10" s="81" t="n">
        <f aca="false">B10/$B$22</f>
        <v>2274.16185259338</v>
      </c>
      <c r="D10" s="93" t="n">
        <f aca="false">B10/$B$13</f>
        <v>0.0420767235022897</v>
      </c>
      <c r="E10" s="61"/>
      <c r="F10" s="28" t="s">
        <v>246</v>
      </c>
      <c r="G10" s="34" t="n">
        <f aca="false">B21</f>
        <v>132</v>
      </c>
      <c r="H10" s="92" t="s">
        <v>247</v>
      </c>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row>
    <row r="11" customFormat="false" ht="15" hidden="false" customHeight="true" outlineLevel="0" collapsed="false">
      <c r="A11" s="26" t="s">
        <v>160</v>
      </c>
      <c r="B11" s="81" t="n">
        <f aca="false">'2. Cost Inputs'!B53*'2. Cost Inputs'!B35</f>
        <v>5093551.36774404</v>
      </c>
      <c r="C11" s="81" t="n">
        <f aca="false">B11/$B$22</f>
        <v>12870.6224608315</v>
      </c>
      <c r="D11" s="93" t="n">
        <f aca="false">B11/$B$13</f>
        <v>0.238133280605862</v>
      </c>
      <c r="E11" s="61"/>
      <c r="F11" s="28" t="s">
        <v>248</v>
      </c>
      <c r="G11" s="34" t="n">
        <f aca="false">'2. Cost Inputs'!B14</f>
        <v>4168.36277782301</v>
      </c>
      <c r="H11" s="92" t="s">
        <v>127</v>
      </c>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row>
    <row r="12" customFormat="false" ht="16.5" hidden="false" customHeight="true" outlineLevel="0" collapsed="false">
      <c r="A12" s="26" t="s">
        <v>249</v>
      </c>
      <c r="B12" s="81" t="n">
        <f aca="false">(B24+B25)*'2. Cost Inputs'!D25</f>
        <v>2221560</v>
      </c>
      <c r="C12" s="81" t="n">
        <f aca="false">B12/$B$22</f>
        <v>5613.54111694151</v>
      </c>
      <c r="D12" s="93" t="n">
        <f aca="false">B12/$B$13</f>
        <v>0.103862184293052</v>
      </c>
      <c r="E12" s="61"/>
      <c r="F12" s="26" t="s">
        <v>250</v>
      </c>
      <c r="G12" s="93" t="n">
        <f aca="false">B6/B13</f>
        <v>0.447261168626186</v>
      </c>
      <c r="H12" s="92" t="s">
        <v>103</v>
      </c>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row>
    <row r="13" customFormat="false" ht="15" hidden="false" customHeight="true" outlineLevel="0" collapsed="false">
      <c r="A13" s="79" t="s">
        <v>251</v>
      </c>
      <c r="B13" s="80" t="n">
        <f aca="false">SUM(B6:B12)</f>
        <v>21389498.1616386</v>
      </c>
      <c r="C13" s="80" t="n">
        <f aca="false">B13/$B$22</f>
        <v>54047.9786281274</v>
      </c>
      <c r="D13" s="94" t="n">
        <f aca="false">1</f>
        <v>1</v>
      </c>
      <c r="E13" s="61"/>
      <c r="F13" s="28" t="s">
        <v>252</v>
      </c>
      <c r="G13" s="93" t="n">
        <f aca="false">(B7+B8)/B13</f>
        <v>0.16866664297261</v>
      </c>
      <c r="H13" s="3" t="s">
        <v>103</v>
      </c>
    </row>
    <row r="14" customFormat="false" ht="15" hidden="false" customHeight="true" outlineLevel="0" collapsed="false">
      <c r="A14" s="84" t="s">
        <v>253</v>
      </c>
      <c r="B14" s="95" t="n">
        <f aca="false">B13+G15*'2. Cost Inputs'!$B$63*$B$22</f>
        <v>24122572.2607888</v>
      </c>
      <c r="C14" s="95" t="n">
        <f aca="false">B14/$B$22</f>
        <v>60954.0373576814</v>
      </c>
      <c r="F14" s="0" t="s">
        <v>254</v>
      </c>
      <c r="G14" s="96" t="n">
        <f aca="false">G5/'5a. Cooling Model - Local'!B5</f>
        <v>180159.928760425</v>
      </c>
      <c r="H14" s="0" t="s">
        <v>255</v>
      </c>
    </row>
    <row r="15" customFormat="false" ht="15" hidden="false" customHeight="false" outlineLevel="0" collapsed="false">
      <c r="F15" s="97" t="s">
        <v>256</v>
      </c>
      <c r="G15" s="98" t="n">
        <f aca="false">('2. Cost Inputs'!$B$24*'2. Cost Inputs'!$B$64+($B$24+$B$25)*'2. Cost Inputs'!$B$62/$B$22)/1000*'2. Cost Inputs'!$B$61</f>
        <v>36.3476775239682</v>
      </c>
      <c r="H15" s="97" t="s">
        <v>257</v>
      </c>
    </row>
    <row r="16" customFormat="false" ht="15" hidden="false" customHeight="true" outlineLevel="0" collapsed="false">
      <c r="A16" s="41" t="s">
        <v>258</v>
      </c>
      <c r="B16" s="41"/>
      <c r="C16" s="41"/>
      <c r="D16" s="41"/>
      <c r="E16" s="41"/>
      <c r="F16" s="41"/>
      <c r="G16" s="41"/>
      <c r="H16" s="41"/>
      <c r="I16" s="7"/>
    </row>
    <row r="17" customFormat="false" ht="15" hidden="false" customHeight="true" outlineLevel="0" collapsed="false">
      <c r="A17" s="71" t="s">
        <v>232</v>
      </c>
      <c r="B17" s="25"/>
      <c r="C17" s="25"/>
      <c r="D17" s="25"/>
      <c r="E17" s="25" t="s">
        <v>259</v>
      </c>
      <c r="F17" s="25"/>
      <c r="G17" s="25"/>
      <c r="H17" s="25"/>
      <c r="I17" s="25" t="s">
        <v>34</v>
      </c>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row>
    <row r="18" customFormat="false" ht="54" hidden="false" customHeight="true" outlineLevel="0" collapsed="false">
      <c r="A18" s="26" t="s">
        <v>260</v>
      </c>
      <c r="B18" s="60" t="n">
        <v>0.365296803652968</v>
      </c>
      <c r="C18" s="28" t="s">
        <v>261</v>
      </c>
      <c r="E18" s="99" t="s">
        <v>262</v>
      </c>
      <c r="F18" s="99"/>
      <c r="G18" s="99"/>
      <c r="H18" s="99"/>
      <c r="I18" s="100" t="s">
        <v>263</v>
      </c>
    </row>
    <row r="19" customFormat="false" ht="66" hidden="false" customHeight="true" outlineLevel="0" collapsed="false">
      <c r="A19" s="26" t="s">
        <v>264</v>
      </c>
      <c r="B19" s="60" t="n">
        <v>0</v>
      </c>
      <c r="C19" s="28" t="s">
        <v>261</v>
      </c>
      <c r="E19" s="99" t="s">
        <v>265</v>
      </c>
      <c r="F19" s="99"/>
      <c r="G19" s="99"/>
      <c r="H19" s="99"/>
      <c r="I19" s="100" t="s">
        <v>266</v>
      </c>
    </row>
    <row r="20" customFormat="false" ht="54" hidden="false" customHeight="true" outlineLevel="0" collapsed="false">
      <c r="A20" s="26" t="s">
        <v>267</v>
      </c>
      <c r="B20" s="60" t="n">
        <v>0.0365296803652968</v>
      </c>
      <c r="C20" s="28" t="s">
        <v>261</v>
      </c>
      <c r="E20" s="99" t="s">
        <v>268</v>
      </c>
      <c r="F20" s="99"/>
      <c r="G20" s="99"/>
      <c r="H20" s="99"/>
      <c r="I20" s="100" t="s">
        <v>269</v>
      </c>
    </row>
    <row r="21" customFormat="false" ht="15" hidden="false" customHeight="true" outlineLevel="0" collapsed="false">
      <c r="A21" s="26" t="s">
        <v>246</v>
      </c>
      <c r="B21" s="34" t="n">
        <f aca="false">(B18+B19+B20)*365*'2. Cost Inputs'!$B$5</f>
        <v>132</v>
      </c>
      <c r="C21" s="28" t="s">
        <v>270</v>
      </c>
      <c r="E21" s="99" t="s">
        <v>271</v>
      </c>
      <c r="F21" s="99"/>
      <c r="G21" s="99"/>
      <c r="H21" s="99"/>
    </row>
    <row r="22" customFormat="false" ht="15" hidden="false" customHeight="true" outlineLevel="0" collapsed="false">
      <c r="A22" s="26" t="s">
        <v>272</v>
      </c>
      <c r="B22" s="34" t="n">
        <f aca="false">(B18+B19)*'2. Cost Inputs'!$B$15</f>
        <v>395.750196483891</v>
      </c>
      <c r="C22" s="28" t="s">
        <v>119</v>
      </c>
      <c r="E22" s="99" t="s">
        <v>273</v>
      </c>
      <c r="F22" s="99"/>
      <c r="G22" s="99"/>
      <c r="H22" s="99"/>
    </row>
    <row r="23" customFormat="false" ht="15" hidden="false" customHeight="true" outlineLevel="0" collapsed="false">
      <c r="A23" s="26" t="s">
        <v>274</v>
      </c>
      <c r="B23" s="34" t="n">
        <f aca="false">$B$26*'2. Cost Inputs'!B27/('2. Cost Inputs'!B25+'2. Cost Inputs'!B26)</f>
        <v>48.1283422459893</v>
      </c>
      <c r="C23" s="28" t="s">
        <v>270</v>
      </c>
      <c r="E23" s="99" t="s">
        <v>275</v>
      </c>
      <c r="F23" s="99"/>
      <c r="G23" s="99"/>
      <c r="H23" s="99"/>
    </row>
    <row r="24" customFormat="false" ht="15" hidden="false" customHeight="true" outlineLevel="0" collapsed="false">
      <c r="A24" s="26" t="s">
        <v>276</v>
      </c>
      <c r="B24" s="34" t="n">
        <f aca="false">(B18+B20)*365*'2. Cost Inputs'!$B$5*'2. Cost Inputs'!B25</f>
        <v>2112000</v>
      </c>
      <c r="C24" s="28" t="s">
        <v>277</v>
      </c>
      <c r="E24" s="99" t="s">
        <v>278</v>
      </c>
      <c r="F24" s="99"/>
      <c r="G24" s="99"/>
      <c r="H24" s="99"/>
    </row>
    <row r="25" customFormat="false" ht="25.5" hidden="false" customHeight="true" outlineLevel="0" collapsed="false">
      <c r="A25" s="26" t="s">
        <v>279</v>
      </c>
      <c r="B25" s="34" t="n">
        <f aca="false">B21*'2. Cost Inputs'!B26</f>
        <v>356400</v>
      </c>
      <c r="C25" s="28" t="s">
        <v>277</v>
      </c>
      <c r="E25" s="100" t="s">
        <v>280</v>
      </c>
    </row>
    <row r="26" customFormat="false" ht="85.05" hidden="false" customHeight="false" outlineLevel="0" collapsed="false">
      <c r="A26" s="26" t="s">
        <v>281</v>
      </c>
      <c r="B26" s="60" t="n">
        <v>0.9</v>
      </c>
      <c r="C26" s="28" t="s">
        <v>103</v>
      </c>
      <c r="E26" s="100" t="s">
        <v>282</v>
      </c>
    </row>
    <row r="27" customFormat="false" ht="21.75" hidden="false" customHeight="true" outlineLevel="0" collapsed="false">
      <c r="A27" s="41" t="s">
        <v>283</v>
      </c>
      <c r="B27" s="41"/>
      <c r="C27" s="41"/>
      <c r="D27" s="41"/>
      <c r="E27" s="41"/>
      <c r="F27" s="41"/>
      <c r="G27" s="41"/>
      <c r="H27" s="41"/>
    </row>
    <row r="28" customFormat="false" ht="27.75" hidden="false" customHeight="true" outlineLevel="0" collapsed="false">
      <c r="A28" s="101" t="s">
        <v>284</v>
      </c>
      <c r="B28" s="101"/>
      <c r="C28" s="101"/>
      <c r="D28" s="101"/>
      <c r="E28" s="101"/>
      <c r="F28" s="101"/>
      <c r="G28" s="101"/>
      <c r="H28" s="101"/>
    </row>
    <row r="29" customFormat="false" ht="15" hidden="false" customHeight="true" outlineLevel="0" collapsed="false">
      <c r="A29" s="101"/>
      <c r="B29" s="101"/>
      <c r="C29" s="101"/>
      <c r="D29" s="101"/>
      <c r="E29" s="101"/>
      <c r="F29" s="101"/>
      <c r="G29" s="101"/>
      <c r="H29" s="101"/>
    </row>
    <row r="30" customFormat="false" ht="15" hidden="false" customHeight="true" outlineLevel="0" collapsed="false">
      <c r="A30" s="102" t="s">
        <v>232</v>
      </c>
      <c r="B30" s="102" t="s">
        <v>285</v>
      </c>
      <c r="C30" s="102" t="s">
        <v>286</v>
      </c>
      <c r="D30" s="102" t="s">
        <v>287</v>
      </c>
    </row>
    <row r="31" customFormat="false" ht="15" hidden="false" customHeight="true" outlineLevel="0" collapsed="false">
      <c r="A31" s="0" t="s">
        <v>288</v>
      </c>
      <c r="B31" s="103" t="n">
        <f aca="false">('2. Cost Inputs'!$B$14*1000/B49)*B50*'1. Technology Description'!$B$9*'1. Technology Description'!$B$12*86400*365*B53/1000</f>
        <v>134.555066804523</v>
      </c>
      <c r="C31" s="103" t="n">
        <f aca="false">('2. Cost Inputs'!$B$14*1000/C49)*C50*'1. Technology Description'!$B$9*'1. Technology Description'!$B$12*86400*365*C53/1000</f>
        <v>395.750196483891</v>
      </c>
      <c r="D31" s="103" t="n">
        <f aca="false">('2. Cost Inputs'!$B$14*1000/D49)*D50*'1. Technology Description'!$B$9*'1. Technology Description'!$B$12*86400*365*D53/1000</f>
        <v>5916.46543743416</v>
      </c>
      <c r="E31" s="0" t="s">
        <v>289</v>
      </c>
    </row>
    <row r="32" customFormat="false" ht="15" hidden="false" customHeight="true" outlineLevel="0" collapsed="false">
      <c r="A32" s="0" t="s">
        <v>290</v>
      </c>
      <c r="B32" s="103" t="n">
        <f aca="false">B49*24/1000/(B50*'1. Technology Description'!$B$9*'1. Technology Description'!$B$12*86400/1000)</f>
        <v>53531.4726612439</v>
      </c>
      <c r="C32" s="103" t="n">
        <f aca="false">C49*24/1000/(C50*'1. Technology Description'!$B$9*'1. Technology Description'!$B$12*86400/1000)</f>
        <v>30334.5011747049</v>
      </c>
      <c r="D32" s="103" t="n">
        <f aca="false">D49*24/1000/(D50*'1. Technology Description'!$B$9*'1. Technology Description'!$B$12*86400/1000)</f>
        <v>2637.7827108439</v>
      </c>
    </row>
    <row r="33" customFormat="false" ht="15" hidden="false" customHeight="true" outlineLevel="0" collapsed="false">
      <c r="A33" s="0" t="s">
        <v>291</v>
      </c>
      <c r="B33" s="104" t="n">
        <f aca="false">(('2. Cost Inputs'!$B$14*1000/B49)*B54+'2. Cost Inputs'!$B$14*B59+'2. Cost Inputs'!$D$42+B55)*(1+'2. Cost Inputs'!$B$49+'2. Cost Inputs'!$B$50+'2. Cost Inputs'!$B$52)+(('2. Cost Inputs'!$B$14*1000/B49)*B54+'2. Cost Inputs'!$B$14*B59+'2. Cost Inputs'!$D$42)*'2. Cost Inputs'!$B$51</f>
        <v>116696469.510706</v>
      </c>
      <c r="C33" s="104" t="n">
        <f aca="false">(('2. Cost Inputs'!$B$14*1000/C49)*C54+'2. Cost Inputs'!$B$14*C59+'2. Cost Inputs'!$D$42+C55)*(1+'2. Cost Inputs'!$B$49+'2. Cost Inputs'!$B$50+'2. Cost Inputs'!$B$52)+(('2. Cost Inputs'!$B$14*1000/C49)*C54+'2. Cost Inputs'!$B$14*C59+'2. Cost Inputs'!$D$42)*'2. Cost Inputs'!$B$51</f>
        <v>72765019.5392005</v>
      </c>
      <c r="D33" s="104" t="n">
        <f aca="false">(('2. Cost Inputs'!$B$14*1000/D49)*D54+'2. Cost Inputs'!$B$14*D59+'2. Cost Inputs'!$D$42+D55)*(1+'2. Cost Inputs'!$B$49+'2. Cost Inputs'!$B$50+'2. Cost Inputs'!$B$52)+(('2. Cost Inputs'!$B$14*1000/D49)*D54+'2. Cost Inputs'!$B$14*D59+'2. Cost Inputs'!$D$42)*'2. Cost Inputs'!$B$51</f>
        <v>44263187.7391517</v>
      </c>
    </row>
    <row r="34" customFormat="false" ht="15" hidden="false" customHeight="true" outlineLevel="0" collapsed="false">
      <c r="A34" s="0" t="s">
        <v>237</v>
      </c>
      <c r="B34" s="105" t="n">
        <f aca="false">(B57*(1+B57)^'2. Cost Inputs'!B6)/((1+B57)^'2. Cost Inputs'!B6-1)</f>
        <v>0.171017052646301</v>
      </c>
      <c r="C34" s="105" t="n">
        <f aca="false">(C57*(1+C57)^'2. Cost Inputs'!B6)/((1+C57)^'2. Cost Inputs'!B6-1)</f>
        <v>0.131473776887372</v>
      </c>
      <c r="D34" s="105" t="n">
        <f aca="false">(D57*(1+D57)^'2. Cost Inputs'!B6)/((1+D57)^'2. Cost Inputs'!B6-1)</f>
        <v>0.102962763955313</v>
      </c>
    </row>
    <row r="35" customFormat="false" ht="15" hidden="false" customHeight="true" outlineLevel="0" collapsed="false">
      <c r="A35" s="0" t="s">
        <v>292</v>
      </c>
      <c r="B35" s="104" t="n">
        <f aca="false">B33*B34</f>
        <v>19957086.2699499</v>
      </c>
      <c r="C35" s="104" t="n">
        <f aca="false">C33*C34</f>
        <v>9566691.94410213</v>
      </c>
      <c r="D35" s="104" t="n">
        <f aca="false">D33*D34</f>
        <v>4557460.15109596</v>
      </c>
    </row>
    <row r="36" customFormat="false" ht="15" hidden="false" customHeight="true" outlineLevel="0" collapsed="false">
      <c r="A36" s="0" t="s">
        <v>293</v>
      </c>
      <c r="B36" s="104" t="n">
        <f aca="false">B32*B58*B31</f>
        <v>3241318.89603517</v>
      </c>
      <c r="C36" s="104" t="n">
        <f aca="false">C32*C58*C31</f>
        <v>3601465.44003908</v>
      </c>
      <c r="D36" s="104" t="n">
        <f aca="false">D32*D58*D31</f>
        <v>2809143.04323048</v>
      </c>
    </row>
    <row r="37" customFormat="false" ht="15" hidden="false" customHeight="true" outlineLevel="0" collapsed="false">
      <c r="A37" s="0" t="s">
        <v>294</v>
      </c>
      <c r="B37" s="104" t="n">
        <f aca="false">'2. Cost Inputs'!$B$28*'2. Cost Inputs'!$D$28*B31</f>
        <v>2117.99931612798</v>
      </c>
      <c r="C37" s="104" t="n">
        <f aca="false">'2. Cost Inputs'!$B$28*'2. Cost Inputs'!$D$28*C31</f>
        <v>6229.40975331759</v>
      </c>
      <c r="D37" s="104" t="n">
        <f aca="false">'2. Cost Inputs'!$B$28*'2. Cost Inputs'!$D$28*D31</f>
        <v>93129.675812098</v>
      </c>
      <c r="E37" s="100" t="s">
        <v>295</v>
      </c>
    </row>
    <row r="38" customFormat="false" ht="15" hidden="false" customHeight="true" outlineLevel="0" collapsed="false">
      <c r="A38" s="0" t="s">
        <v>296</v>
      </c>
      <c r="B38" s="104" t="n">
        <f aca="false">'2. Cost Inputs'!$B$31*B52</f>
        <v>1260000</v>
      </c>
      <c r="C38" s="104" t="n">
        <f aca="false">'2. Cost Inputs'!$B$31*C52</f>
        <v>900000</v>
      </c>
      <c r="D38" s="104" t="n">
        <f aca="false">'2. Cost Inputs'!$B$31*D52</f>
        <v>630000</v>
      </c>
    </row>
    <row r="39" customFormat="false" ht="15" hidden="false" customHeight="true" outlineLevel="0" collapsed="false">
      <c r="A39" s="0" t="s">
        <v>297</v>
      </c>
      <c r="B39" s="104" t="n">
        <f aca="false">B33*B56</f>
        <v>13070004.5851991</v>
      </c>
      <c r="C39" s="104" t="n">
        <f aca="false">C33*C56</f>
        <v>5093551.36774404</v>
      </c>
      <c r="D39" s="104" t="n">
        <f aca="false">D33*D56</f>
        <v>1549211.57087031</v>
      </c>
    </row>
    <row r="40" customFormat="false" ht="15" hidden="false" customHeight="true" outlineLevel="0" collapsed="false">
      <c r="A40" s="0" t="s">
        <v>298</v>
      </c>
      <c r="B40" s="104" t="n">
        <f aca="false">B51*'2. Cost Inputs'!$D$25</f>
        <v>3332340</v>
      </c>
      <c r="C40" s="104" t="n">
        <f aca="false">C51*'2. Cost Inputs'!$D$25</f>
        <v>2221560</v>
      </c>
      <c r="D40" s="104" t="n">
        <f aca="false">D51*'2. Cost Inputs'!$D$25</f>
        <v>1110780</v>
      </c>
    </row>
    <row r="41" customFormat="false" ht="15" hidden="false" customHeight="true" outlineLevel="0" collapsed="false">
      <c r="A41" s="102" t="s">
        <v>299</v>
      </c>
      <c r="B41" s="106" t="n">
        <f aca="false">SUM(B35:B40)/B31</f>
        <v>303688.807273712</v>
      </c>
      <c r="C41" s="106" t="n">
        <f aca="false">SUM(C35:C40)/C31</f>
        <v>54047.9786281274</v>
      </c>
      <c r="D41" s="106" t="n">
        <f aca="false">SUM(D35:D40)/D31</f>
        <v>1816.91662947849</v>
      </c>
    </row>
    <row r="42" customFormat="false" ht="15" hidden="false" customHeight="true" outlineLevel="0" collapsed="false">
      <c r="A42" s="107"/>
      <c r="B42" s="108"/>
      <c r="C42" s="109"/>
      <c r="D42" s="109"/>
    </row>
    <row r="45" customFormat="false" ht="21.75" hidden="false" customHeight="true" outlineLevel="0" collapsed="false">
      <c r="A45" s="7" t="s">
        <v>300</v>
      </c>
      <c r="B45" s="64"/>
      <c r="C45" s="64"/>
      <c r="D45" s="64"/>
      <c r="E45" s="64"/>
      <c r="F45" s="64"/>
      <c r="G45" s="64"/>
    </row>
    <row r="47" customFormat="false" ht="32.25" hidden="false" customHeight="true" outlineLevel="0" collapsed="false">
      <c r="A47" s="110" t="s">
        <v>301</v>
      </c>
    </row>
    <row r="48" customFormat="false" ht="32.25" hidden="false" customHeight="true" outlineLevel="0" collapsed="false">
      <c r="A48" s="71" t="s">
        <v>302</v>
      </c>
      <c r="B48" s="25" t="s">
        <v>285</v>
      </c>
      <c r="C48" s="25" t="s">
        <v>303</v>
      </c>
      <c r="D48" s="25" t="s">
        <v>287</v>
      </c>
      <c r="E48" s="25" t="s">
        <v>304</v>
      </c>
      <c r="F48" s="25" t="s">
        <v>305</v>
      </c>
      <c r="I48" s="111" t="s">
        <v>306</v>
      </c>
      <c r="J48" s="111"/>
      <c r="K48" s="111"/>
      <c r="R48" s="59"/>
      <c r="S48" s="59"/>
      <c r="T48" s="59"/>
      <c r="U48" s="59"/>
    </row>
    <row r="49" customFormat="false" ht="39.75" hidden="false" customHeight="true" outlineLevel="0" collapsed="false">
      <c r="A49" s="26" t="s">
        <v>307</v>
      </c>
      <c r="B49" s="112" t="n">
        <f aca="false">C49*1.5</f>
        <v>768</v>
      </c>
      <c r="C49" s="113" t="n">
        <f aca="false">'1. Technology Description'!B17</f>
        <v>512</v>
      </c>
      <c r="D49" s="114" t="n">
        <f aca="false">C49*0.1</f>
        <v>51.2</v>
      </c>
      <c r="E49" s="81" t="s">
        <v>58</v>
      </c>
      <c r="F49" s="115" t="s">
        <v>308</v>
      </c>
      <c r="G49" s="115"/>
      <c r="H49" s="115"/>
      <c r="I49" s="116"/>
      <c r="J49" s="117" t="s">
        <v>309</v>
      </c>
      <c r="K49" s="117" t="s">
        <v>310</v>
      </c>
      <c r="L49" s="117" t="s">
        <v>311</v>
      </c>
      <c r="M49" s="117" t="s">
        <v>312</v>
      </c>
      <c r="N49" s="117" t="s">
        <v>313</v>
      </c>
      <c r="O49" s="117" t="s">
        <v>314</v>
      </c>
      <c r="P49" s="117" t="s">
        <v>315</v>
      </c>
      <c r="Q49" s="117" t="s">
        <v>316</v>
      </c>
      <c r="R49" s="117" t="s">
        <v>317</v>
      </c>
      <c r="S49" s="117" t="s">
        <v>156</v>
      </c>
      <c r="AJ49" s="118" t="s">
        <v>234</v>
      </c>
      <c r="AK49" s="119" t="s">
        <v>318</v>
      </c>
    </row>
    <row r="50" customFormat="false" ht="28.5" hidden="false" customHeight="true" outlineLevel="0" collapsed="false">
      <c r="A50" s="26" t="s">
        <v>319</v>
      </c>
      <c r="B50" s="120" t="n">
        <f aca="false">C50*0.85</f>
        <v>1470500000000</v>
      </c>
      <c r="C50" s="121" t="n">
        <f aca="false">'1. Technology Description'!B8</f>
        <v>1730000000000</v>
      </c>
      <c r="D50" s="120" t="n">
        <f aca="false">C50*1.15</f>
        <v>1989500000000</v>
      </c>
      <c r="E50" s="81" t="s">
        <v>36</v>
      </c>
      <c r="F50" s="115" t="s">
        <v>320</v>
      </c>
      <c r="G50" s="116"/>
      <c r="H50" s="116"/>
      <c r="I50" s="116"/>
      <c r="J50" s="122" t="n">
        <f aca="false">'1. Technology Description'!$B$10</f>
        <v>150</v>
      </c>
      <c r="K50" s="123" t="n">
        <f aca="false">($B$18+$B$19)*'2. Cost Inputs'!$B$5</f>
        <v>0.328767123287671</v>
      </c>
      <c r="L50" s="123" t="n">
        <f aca="false">'2. Cost Inputs'!$B$7</f>
        <v>0.1</v>
      </c>
      <c r="M50" s="124" t="n">
        <f aca="false">'2. Cost Inputs'!$D$40</f>
        <v>100</v>
      </c>
      <c r="N50" s="124" t="n">
        <f aca="false">'2. Cost Inputs'!$D$41</f>
        <v>1500</v>
      </c>
      <c r="O50" s="124" t="n">
        <f aca="false">'2. Cost Inputs'!$D$43</f>
        <v>7500000</v>
      </c>
      <c r="P50" s="123" t="n">
        <f aca="false">'2. Cost Inputs'!$B$35</f>
        <v>0.07</v>
      </c>
      <c r="Q50" s="125" t="n">
        <f aca="false">'2. Cost Inputs'!$D$24</f>
        <v>0.3</v>
      </c>
      <c r="R50" s="126" t="n">
        <f aca="false">((K50/'2. Cost Inputs'!$B$5-$B$19+$B$20)*'2. Cost Inputs'!$B$25+(K50/'2. Cost Inputs'!$B$5+$B$20)*'2. Cost Inputs'!$B$26)*365*'2. Cost Inputs'!$B$5</f>
        <v>2468400</v>
      </c>
      <c r="S50" s="124" t="n">
        <f aca="false">'2. Cost Inputs'!$D$31</f>
        <v>150000</v>
      </c>
      <c r="T50" s="127" t="n">
        <f aca="false">PI()/6*(J50*10^-9)^3*2160</f>
        <v>3.8170350741116E-018</v>
      </c>
      <c r="U50" s="128" t="n">
        <f aca="false">'1. Technology Description'!$B$8*'1. Technology Description'!$B$9*T50*86400*1000</f>
        <v>405.083305284303</v>
      </c>
      <c r="V50" s="127" t="n">
        <f aca="false">U50*365*K50/1000000</f>
        <v>0.0486099966341163</v>
      </c>
      <c r="W50" s="127" t="n">
        <f aca="false">'2. Cost Inputs'!$B$14*1000/'1. Technology Description'!$B$17</f>
        <v>8141.33355043556</v>
      </c>
      <c r="X50" s="126" t="n">
        <f aca="false">'2. Cost Inputs'!$B$14</f>
        <v>4168.36277782301</v>
      </c>
      <c r="Y50" s="126" t="n">
        <f aca="false">1</f>
        <v>1</v>
      </c>
      <c r="Z50" s="127" t="n">
        <f aca="false">W50*M50+X50*N50+Y50*'2. Cost Inputs'!$D$42+Y50*O50+Y50*'2. Cost Inputs'!$D$44</f>
        <v>44591677.5217781</v>
      </c>
      <c r="AA50" s="127" t="n">
        <f aca="false">Z50*(1+'2. Cost Inputs'!$B$49+'2. Cost Inputs'!$B$50+'2. Cost Inputs'!$B$52)+(W50*M50+X50*N50+Y50*'2. Cost Inputs'!$D$42)*'2. Cost Inputs'!$B$51</f>
        <v>72765019.5392005</v>
      </c>
      <c r="AB50" s="127" t="n">
        <f aca="false">(L50*(1+L50)^'2. Cost Inputs'!$B$6)/((1+L50)^'2. Cost Inputs'!$B$6-1)</f>
        <v>0.131473776887372</v>
      </c>
      <c r="AC50" s="127" t="n">
        <f aca="false">AA50*AB50</f>
        <v>9566691.94410213</v>
      </c>
      <c r="AD50" s="127" t="n">
        <f aca="false">'1. Technology Description'!$B$17*24/1000/(U50/1000000)</f>
        <v>30334.5011747049</v>
      </c>
      <c r="AE50" s="127" t="n">
        <f aca="false">AD50*Q50*AK50</f>
        <v>3601465.44003908</v>
      </c>
      <c r="AF50" s="127" t="n">
        <f aca="false">Y50*'2. Cost Inputs'!$B$31*S50</f>
        <v>900000</v>
      </c>
      <c r="AG50" s="127" t="n">
        <f aca="false">AA50*P50</f>
        <v>5093551.36774404</v>
      </c>
      <c r="AH50" s="127" t="n">
        <f aca="false">R50*'2. Cost Inputs'!$D$25*Y50</f>
        <v>2221560</v>
      </c>
      <c r="AI50" s="127" t="n">
        <f aca="false">AC50+AE50+AF50+AG50+AH50+(('1. Technology Description'!$B$24/(U50/1000000)/1000)*'1. Technology Description'!$B$26*'2. Cost Inputs'!$D$28*AK50)</f>
        <v>21389498.1616386</v>
      </c>
      <c r="AJ50" s="129" t="n">
        <f aca="false">AI50/AK50</f>
        <v>54047.9786281274</v>
      </c>
      <c r="AK50" s="130" t="n">
        <f aca="false">W50*V50</f>
        <v>395.750196483891</v>
      </c>
    </row>
    <row r="51" customFormat="false" ht="32.25" hidden="false" customHeight="true" outlineLevel="0" collapsed="false">
      <c r="A51" s="26" t="s">
        <v>321</v>
      </c>
      <c r="B51" s="131" t="n">
        <f aca="false">C51*1.5</f>
        <v>3702600</v>
      </c>
      <c r="C51" s="132" t="n">
        <f aca="false">$B$24+$B$25</f>
        <v>2468400</v>
      </c>
      <c r="D51" s="133" t="n">
        <f aca="false">C51*0.5</f>
        <v>1234200</v>
      </c>
      <c r="E51" s="81" t="s">
        <v>322</v>
      </c>
      <c r="F51" s="115" t="s">
        <v>323</v>
      </c>
      <c r="G51" s="116"/>
      <c r="H51" s="116"/>
      <c r="I51" s="116"/>
      <c r="J51" s="122" t="n">
        <f aca="false">$B$49</f>
        <v>768</v>
      </c>
      <c r="K51" s="123" t="n">
        <f aca="false">($B$18+$B$19)*'2. Cost Inputs'!$B$5</f>
        <v>0.328767123287671</v>
      </c>
      <c r="L51" s="123" t="n">
        <f aca="false">'2. Cost Inputs'!$B$7</f>
        <v>0.1</v>
      </c>
      <c r="M51" s="124" t="n">
        <f aca="false">'2. Cost Inputs'!$D$40</f>
        <v>100</v>
      </c>
      <c r="N51" s="124" t="n">
        <f aca="false">'2. Cost Inputs'!$D$41</f>
        <v>1500</v>
      </c>
      <c r="O51" s="124" t="n">
        <f aca="false">'2. Cost Inputs'!$D$43</f>
        <v>7500000</v>
      </c>
      <c r="P51" s="123" t="n">
        <f aca="false">'2. Cost Inputs'!$B$35</f>
        <v>0.07</v>
      </c>
      <c r="Q51" s="125" t="n">
        <f aca="false">'2. Cost Inputs'!$D$24</f>
        <v>0.3</v>
      </c>
      <c r="R51" s="126" t="n">
        <f aca="false">((K51/'2. Cost Inputs'!$B$5-$B$19+$B$20)*'2. Cost Inputs'!$B$25+(K51/'2. Cost Inputs'!$B$5+$B$20)*'2. Cost Inputs'!$B$26)*365*'2. Cost Inputs'!$B$5</f>
        <v>2468400</v>
      </c>
      <c r="S51" s="124" t="n">
        <f aca="false">'2. Cost Inputs'!$D$31</f>
        <v>150000</v>
      </c>
      <c r="T51" s="127" t="n">
        <f aca="false">$T$50</f>
        <v>3.8170350741116E-018</v>
      </c>
      <c r="U51" s="128" t="n">
        <f aca="false">'1. Technology Description'!$B$8*'1. Technology Description'!$B$9*T51*86400*1000</f>
        <v>405.083305284303</v>
      </c>
      <c r="V51" s="127" t="n">
        <f aca="false">U51*365*K51/1000000</f>
        <v>0.0486099966341163</v>
      </c>
      <c r="W51" s="127" t="n">
        <f aca="false">'2. Cost Inputs'!$B$14*1000/J51</f>
        <v>5427.55570029037</v>
      </c>
      <c r="X51" s="126" t="n">
        <f aca="false">'2. Cost Inputs'!$B$14</f>
        <v>4168.36277782301</v>
      </c>
      <c r="Y51" s="126" t="n">
        <f aca="false">1</f>
        <v>1</v>
      </c>
      <c r="Z51" s="127" t="n">
        <f aca="false">W51*M51+X51*N51+Y51*'2. Cost Inputs'!$D$42+Y51*O51+Y51*'2. Cost Inputs'!$D$44</f>
        <v>44320299.7367636</v>
      </c>
      <c r="AA51" s="127" t="n">
        <f aca="false">Z51*(1+'2. Cost Inputs'!$B$49+'2. Cost Inputs'!$B$50+'2. Cost Inputs'!$B$52)+(W51*M51+X51*N51+Y51*'2. Cost Inputs'!$D$42)*'2. Cost Inputs'!$B$51</f>
        <v>72276539.5261744</v>
      </c>
      <c r="AB51" s="127" t="n">
        <f aca="false">(L51*(1+L51)^'2. Cost Inputs'!$B$6)/((1+L51)^'2. Cost Inputs'!$B$6-1)</f>
        <v>0.131473776887372</v>
      </c>
      <c r="AC51" s="127" t="n">
        <f aca="false">AA51*AB51</f>
        <v>9502469.63185559</v>
      </c>
      <c r="AD51" s="127" t="n">
        <f aca="false">J51*24/1000/(U51/1000000)</f>
        <v>45501.7517620573</v>
      </c>
      <c r="AE51" s="127" t="n">
        <f aca="false">AD51*Q51*AK51</f>
        <v>3601465.44003908</v>
      </c>
      <c r="AF51" s="127" t="n">
        <f aca="false">Y51*'2. Cost Inputs'!$B$31*S51</f>
        <v>900000</v>
      </c>
      <c r="AG51" s="127" t="n">
        <f aca="false">AA51*P51</f>
        <v>5059357.76683221</v>
      </c>
      <c r="AH51" s="127" t="n">
        <f aca="false">R51*'2. Cost Inputs'!$D$25*Y51</f>
        <v>2221560</v>
      </c>
      <c r="AI51" s="127" t="n">
        <f aca="false">AC51+AE51+AF51+AG51+AH51+(('1. Technology Description'!$B$24/(U51/1000000)/1000)*'1. Technology Description'!$B$26*'2. Cost Inputs'!$D$28*AK51)</f>
        <v>21289005.7785624</v>
      </c>
      <c r="AJ51" s="129" t="n">
        <f aca="false">AI51/AK51</f>
        <v>80691.0747020779</v>
      </c>
      <c r="AK51" s="130" t="n">
        <f aca="false">W51*V51</f>
        <v>263.833464322594</v>
      </c>
    </row>
    <row r="52" customFormat="false" ht="32.25" hidden="false" customHeight="true" outlineLevel="0" collapsed="false">
      <c r="A52" s="26" t="s">
        <v>324</v>
      </c>
      <c r="B52" s="134" t="n">
        <f aca="false">C52*1.4</f>
        <v>210000</v>
      </c>
      <c r="C52" s="135" t="n">
        <f aca="false">'2. Cost Inputs'!D31</f>
        <v>150000</v>
      </c>
      <c r="D52" s="136" t="n">
        <f aca="false">C52*0.7</f>
        <v>105000</v>
      </c>
      <c r="E52" s="81" t="s">
        <v>325</v>
      </c>
      <c r="F52" s="115" t="s">
        <v>326</v>
      </c>
      <c r="G52" s="116"/>
      <c r="H52" s="116"/>
      <c r="I52" s="116"/>
      <c r="J52" s="122" t="n">
        <f aca="false">$D$49</f>
        <v>51.2</v>
      </c>
      <c r="K52" s="123" t="n">
        <f aca="false">($B$18+$B$19)*'2. Cost Inputs'!$B$5</f>
        <v>0.328767123287671</v>
      </c>
      <c r="L52" s="123" t="n">
        <f aca="false">'2. Cost Inputs'!$B$7</f>
        <v>0.1</v>
      </c>
      <c r="M52" s="124" t="n">
        <f aca="false">'2. Cost Inputs'!$D$40</f>
        <v>100</v>
      </c>
      <c r="N52" s="124" t="n">
        <f aca="false">'2. Cost Inputs'!$D$41</f>
        <v>1500</v>
      </c>
      <c r="O52" s="124" t="n">
        <f aca="false">'2. Cost Inputs'!$D$43</f>
        <v>7500000</v>
      </c>
      <c r="P52" s="123" t="n">
        <f aca="false">'2. Cost Inputs'!$B$35</f>
        <v>0.07</v>
      </c>
      <c r="Q52" s="125" t="n">
        <f aca="false">'2. Cost Inputs'!$D$24</f>
        <v>0.3</v>
      </c>
      <c r="R52" s="126" t="n">
        <f aca="false">((K52/'2. Cost Inputs'!$B$5-$B$19+$B$20)*'2. Cost Inputs'!$B$25+(K52/'2. Cost Inputs'!$B$5+$B$20)*'2. Cost Inputs'!$B$26)*365*'2. Cost Inputs'!$B$5</f>
        <v>2468400</v>
      </c>
      <c r="S52" s="124" t="n">
        <f aca="false">'2. Cost Inputs'!$D$31</f>
        <v>150000</v>
      </c>
      <c r="T52" s="127" t="n">
        <f aca="false">$T$50</f>
        <v>3.8170350741116E-018</v>
      </c>
      <c r="U52" s="128" t="n">
        <f aca="false">'1. Technology Description'!$B$8*'1. Technology Description'!$B$9*T52*86400*1000</f>
        <v>405.083305284303</v>
      </c>
      <c r="V52" s="127" t="n">
        <f aca="false">U52*365*K52/1000000</f>
        <v>0.0486099966341163</v>
      </c>
      <c r="W52" s="127" t="n">
        <f aca="false">'2. Cost Inputs'!$B$14*1000/J52</f>
        <v>81413.3355043556</v>
      </c>
      <c r="X52" s="126" t="n">
        <f aca="false">'2. Cost Inputs'!$B$14</f>
        <v>4168.36277782301</v>
      </c>
      <c r="Y52" s="126" t="n">
        <f aca="false">1</f>
        <v>1</v>
      </c>
      <c r="Z52" s="127" t="n">
        <f aca="false">W52*M52+X52*N52+Y52*'2. Cost Inputs'!$D$42+Y52*O52+Y52*'2. Cost Inputs'!$D$44</f>
        <v>51918877.7171701</v>
      </c>
      <c r="AA52" s="127" t="n">
        <f aca="false">Z52*(1+'2. Cost Inputs'!$B$49+'2. Cost Inputs'!$B$50+'2. Cost Inputs'!$B$52)+(W52*M52+X52*N52+Y52*'2. Cost Inputs'!$D$42)*'2. Cost Inputs'!$B$51</f>
        <v>85953979.8909061</v>
      </c>
      <c r="AB52" s="127" t="n">
        <f aca="false">(L52*(1+L52)^'2. Cost Inputs'!$B$6)/((1+L52)^'2. Cost Inputs'!$B$6-1)</f>
        <v>0.131473776887372</v>
      </c>
      <c r="AC52" s="127" t="n">
        <f aca="false">AA52*AB52</f>
        <v>11300694.3747587</v>
      </c>
      <c r="AD52" s="127" t="n">
        <f aca="false">J52*24/1000/(U52/1000000)</f>
        <v>3033.45011747049</v>
      </c>
      <c r="AE52" s="127" t="n">
        <f aca="false">AD52*Q52*AK52</f>
        <v>3601465.44003908</v>
      </c>
      <c r="AF52" s="127" t="n">
        <f aca="false">Y52*'2. Cost Inputs'!$B$31*S52</f>
        <v>900000</v>
      </c>
      <c r="AG52" s="127" t="n">
        <f aca="false">AA52*P52</f>
        <v>6016778.59236343</v>
      </c>
      <c r="AH52" s="127" t="n">
        <f aca="false">R52*'2. Cost Inputs'!$D$25*Y52</f>
        <v>2221560</v>
      </c>
      <c r="AI52" s="127" t="n">
        <f aca="false">AC52+AE52+AF52+AG52+AH52+(('1. Technology Description'!$B$24/(U52/1000000)/1000)*'1. Technology Description'!$B$26*'2. Cost Inputs'!$D$28*AK52)</f>
        <v>24102792.5046944</v>
      </c>
      <c r="AJ52" s="129" t="n">
        <f aca="false">AI52/AK52</f>
        <v>6090.40569501662</v>
      </c>
      <c r="AK52" s="130" t="n">
        <f aca="false">W52*V52</f>
        <v>3957.50196483891</v>
      </c>
    </row>
    <row r="53" customFormat="false" ht="19.5" hidden="false" customHeight="true" outlineLevel="0" collapsed="false">
      <c r="A53" s="26" t="s">
        <v>327</v>
      </c>
      <c r="B53" s="137" t="n">
        <f aca="false">C53*0.6</f>
        <v>0.197260273972603</v>
      </c>
      <c r="C53" s="121" t="n">
        <f aca="false">($B$18+$B$19)*'2. Cost Inputs'!$B$5</f>
        <v>0.328767123287671</v>
      </c>
      <c r="D53" s="138" t="n">
        <f aca="false">C53*1.3</f>
        <v>0.427397260273973</v>
      </c>
      <c r="E53" s="81" t="s">
        <v>103</v>
      </c>
      <c r="F53" s="115" t="s">
        <v>328</v>
      </c>
      <c r="G53" s="116"/>
      <c r="H53" s="116"/>
      <c r="I53" s="116"/>
      <c r="J53" s="122" t="n">
        <f aca="false">'1. Technology Description'!$B$10</f>
        <v>150</v>
      </c>
      <c r="K53" s="123" t="n">
        <f aca="false">($B$18+$B$19)*'2. Cost Inputs'!$B$5</f>
        <v>0.328767123287671</v>
      </c>
      <c r="L53" s="123" t="n">
        <f aca="false">'2. Cost Inputs'!$B$7</f>
        <v>0.1</v>
      </c>
      <c r="M53" s="124" t="n">
        <f aca="false">'2. Cost Inputs'!$D$40</f>
        <v>100</v>
      </c>
      <c r="N53" s="124" t="n">
        <f aca="false">'2. Cost Inputs'!$D$41</f>
        <v>1500</v>
      </c>
      <c r="O53" s="124" t="n">
        <f aca="false">'2. Cost Inputs'!$D$43</f>
        <v>7500000</v>
      </c>
      <c r="P53" s="123" t="n">
        <f aca="false">'2. Cost Inputs'!$B$35</f>
        <v>0.07</v>
      </c>
      <c r="Q53" s="125" t="n">
        <f aca="false">'2. Cost Inputs'!$D$24</f>
        <v>0.3</v>
      </c>
      <c r="R53" s="126" t="n">
        <f aca="false">$B$51</f>
        <v>3702600</v>
      </c>
      <c r="S53" s="124" t="n">
        <f aca="false">'2. Cost Inputs'!$D$31</f>
        <v>150000</v>
      </c>
      <c r="T53" s="127" t="n">
        <f aca="false">PI()/6*(J53*10^-9)^3*2160</f>
        <v>3.8170350741116E-018</v>
      </c>
      <c r="U53" s="128" t="n">
        <f aca="false">'1. Technology Description'!$B$8*'1. Technology Description'!$B$9*T53*86400*1000</f>
        <v>405.083305284303</v>
      </c>
      <c r="V53" s="127" t="n">
        <f aca="false">U53*365*K53/1000000</f>
        <v>0.0486099966341163</v>
      </c>
      <c r="W53" s="127" t="n">
        <f aca="false">'2. Cost Inputs'!$B$14*1000/'1. Technology Description'!$B$17</f>
        <v>8141.33355043556</v>
      </c>
      <c r="X53" s="126" t="n">
        <f aca="false">'2. Cost Inputs'!$B$14</f>
        <v>4168.36277782301</v>
      </c>
      <c r="Y53" s="126" t="n">
        <f aca="false">1</f>
        <v>1</v>
      </c>
      <c r="Z53" s="127" t="n">
        <f aca="false">W53*M53+X53*N53+Y53*'2. Cost Inputs'!$D$42+Y53*O53+Y53*'2. Cost Inputs'!$D$44</f>
        <v>44591677.5217781</v>
      </c>
      <c r="AA53" s="127" t="n">
        <f aca="false">Z53*(1+'2. Cost Inputs'!$B$49+'2. Cost Inputs'!$B$50+'2. Cost Inputs'!$B$52)+(W53*M53+X53*N53+Y53*'2. Cost Inputs'!$D$42)*'2. Cost Inputs'!$B$51</f>
        <v>72765019.5392005</v>
      </c>
      <c r="AB53" s="127" t="n">
        <f aca="false">(L53*(1+L53)^'2. Cost Inputs'!$B$6)/((1+L53)^'2. Cost Inputs'!$B$6-1)</f>
        <v>0.131473776887372</v>
      </c>
      <c r="AC53" s="127" t="n">
        <f aca="false">AA53*AB53</f>
        <v>9566691.94410213</v>
      </c>
      <c r="AD53" s="127" t="n">
        <f aca="false">'1. Technology Description'!$B$17*24/1000/(U53/1000000)</f>
        <v>30334.5011747049</v>
      </c>
      <c r="AE53" s="127" t="n">
        <f aca="false">AD53*Q53*AK53</f>
        <v>3601465.44003908</v>
      </c>
      <c r="AF53" s="127" t="n">
        <f aca="false">Y53*'2. Cost Inputs'!$B$31*S53</f>
        <v>900000</v>
      </c>
      <c r="AG53" s="127" t="n">
        <f aca="false">AA53*P53</f>
        <v>5093551.36774404</v>
      </c>
      <c r="AH53" s="127" t="n">
        <f aca="false">R53*'2. Cost Inputs'!$D$25*Y53</f>
        <v>3332340</v>
      </c>
      <c r="AI53" s="127" t="n">
        <f aca="false">AC53+AE53+AF53+AG53+AH53+(('1. Technology Description'!$B$24/(U53/1000000)/1000)*'1. Technology Description'!$B$26*'2. Cost Inputs'!$D$28*AK53)</f>
        <v>22500278.1616386</v>
      </c>
      <c r="AJ53" s="129" t="n">
        <f aca="false">AI53/AK53</f>
        <v>56854.7491865982</v>
      </c>
      <c r="AK53" s="130" t="n">
        <f aca="false">W53*V53</f>
        <v>395.750196483891</v>
      </c>
    </row>
    <row r="54" customFormat="false" ht="19.5" hidden="false" customHeight="true" outlineLevel="0" collapsed="false">
      <c r="A54" s="26" t="s">
        <v>329</v>
      </c>
      <c r="B54" s="134" t="n">
        <f aca="false">'2. Cost Inputs'!$H$43</f>
        <v>1000</v>
      </c>
      <c r="C54" s="135" t="n">
        <f aca="false">'2. Cost Inputs'!D40</f>
        <v>100</v>
      </c>
      <c r="D54" s="136" t="n">
        <f aca="false">'2. Cost Inputs'!$H$41</f>
        <v>10</v>
      </c>
      <c r="E54" s="81" t="s">
        <v>175</v>
      </c>
      <c r="F54" s="139" t="s">
        <v>330</v>
      </c>
      <c r="I54" s="140" t="s">
        <v>331</v>
      </c>
      <c r="J54" s="122" t="n">
        <f aca="false">'1. Technology Description'!$B$10</f>
        <v>150</v>
      </c>
      <c r="K54" s="123" t="n">
        <f aca="false">($B$18+$B$19)*'2. Cost Inputs'!$B$5</f>
        <v>0.328767123287671</v>
      </c>
      <c r="L54" s="123" t="n">
        <f aca="false">'2. Cost Inputs'!$B$7</f>
        <v>0.1</v>
      </c>
      <c r="M54" s="124" t="n">
        <f aca="false">'2. Cost Inputs'!$D$40</f>
        <v>100</v>
      </c>
      <c r="N54" s="124" t="n">
        <f aca="false">'2. Cost Inputs'!$D$41</f>
        <v>1500</v>
      </c>
      <c r="O54" s="124" t="n">
        <f aca="false">'2. Cost Inputs'!$D$43</f>
        <v>7500000</v>
      </c>
      <c r="P54" s="123" t="n">
        <f aca="false">'2. Cost Inputs'!$B$35</f>
        <v>0.07</v>
      </c>
      <c r="Q54" s="125" t="n">
        <f aca="false">'2. Cost Inputs'!$D$24</f>
        <v>0.3</v>
      </c>
      <c r="R54" s="126" t="n">
        <f aca="false">$D$51</f>
        <v>1234200</v>
      </c>
      <c r="S54" s="124" t="n">
        <f aca="false">'2. Cost Inputs'!$D$31</f>
        <v>150000</v>
      </c>
      <c r="T54" s="127" t="n">
        <f aca="false">PI()/6*(J54*10^-9)^3*2160</f>
        <v>3.8170350741116E-018</v>
      </c>
      <c r="U54" s="128" t="n">
        <f aca="false">'1. Technology Description'!$B$8*'1. Technology Description'!$B$9*T54*86400*1000</f>
        <v>405.083305284303</v>
      </c>
      <c r="V54" s="127" t="n">
        <f aca="false">U54*365*K54/1000000</f>
        <v>0.0486099966341163</v>
      </c>
      <c r="W54" s="127" t="n">
        <f aca="false">'2. Cost Inputs'!$B$14*1000/'1. Technology Description'!$B$17</f>
        <v>8141.33355043556</v>
      </c>
      <c r="X54" s="126" t="n">
        <f aca="false">'2. Cost Inputs'!$B$14</f>
        <v>4168.36277782301</v>
      </c>
      <c r="Y54" s="126" t="n">
        <f aca="false">1</f>
        <v>1</v>
      </c>
      <c r="Z54" s="127" t="n">
        <f aca="false">W54*M54+X54*N54+Y54*'2. Cost Inputs'!$D$42+Y54*O54+Y54*'2. Cost Inputs'!$D$44</f>
        <v>44591677.5217781</v>
      </c>
      <c r="AA54" s="127" t="n">
        <f aca="false">Z54*(1+'2. Cost Inputs'!$B$49+'2. Cost Inputs'!$B$50+'2. Cost Inputs'!$B$52)+(W54*M54+X54*N54+Y54*'2. Cost Inputs'!$D$42)*'2. Cost Inputs'!$B$51</f>
        <v>72765019.5392005</v>
      </c>
      <c r="AB54" s="127" t="n">
        <f aca="false">(L54*(1+L54)^'2. Cost Inputs'!$B$6)/((1+L54)^'2. Cost Inputs'!$B$6-1)</f>
        <v>0.131473776887372</v>
      </c>
      <c r="AC54" s="127" t="n">
        <f aca="false">AA54*AB54</f>
        <v>9566691.94410213</v>
      </c>
      <c r="AD54" s="127" t="n">
        <f aca="false">'1. Technology Description'!$B$17*24/1000/(U54/1000000)</f>
        <v>30334.5011747049</v>
      </c>
      <c r="AE54" s="127" t="n">
        <f aca="false">AD54*Q54*AK54</f>
        <v>3601465.44003908</v>
      </c>
      <c r="AF54" s="127" t="n">
        <f aca="false">Y54*'2. Cost Inputs'!$B$31*S54</f>
        <v>900000</v>
      </c>
      <c r="AG54" s="127" t="n">
        <f aca="false">AA54*P54</f>
        <v>5093551.36774404</v>
      </c>
      <c r="AH54" s="127" t="n">
        <f aca="false">R54*'2. Cost Inputs'!$D$25*Y54</f>
        <v>1110780</v>
      </c>
      <c r="AI54" s="127" t="n">
        <f aca="false">AC54+AE54+AF54+AG54+AH54+(('1. Technology Description'!$B$24/(U54/1000000)/1000)*'1. Technology Description'!$B$26*'2. Cost Inputs'!$D$28*AK54)</f>
        <v>20278718.1616386</v>
      </c>
      <c r="AJ54" s="129" t="n">
        <f aca="false">AI54/AK54</f>
        <v>51241.2080696567</v>
      </c>
      <c r="AK54" s="130" t="n">
        <f aca="false">W54*V54</f>
        <v>395.750196483891</v>
      </c>
    </row>
    <row r="55" customFormat="false" ht="19.5" hidden="false" customHeight="true" outlineLevel="0" collapsed="false">
      <c r="A55" s="26" t="s">
        <v>332</v>
      </c>
      <c r="B55" s="134" t="n">
        <f aca="false">C55*1.5</f>
        <v>56250000</v>
      </c>
      <c r="C55" s="135" t="n">
        <f aca="false">'2. Cost Inputs'!D43+'2. Cost Inputs'!D44</f>
        <v>37500000</v>
      </c>
      <c r="D55" s="136" t="n">
        <f aca="false">C55*0.6</f>
        <v>22500000</v>
      </c>
      <c r="E55" s="81" t="s">
        <v>333</v>
      </c>
      <c r="F55" s="139" t="s">
        <v>334</v>
      </c>
      <c r="I55" s="140" t="s">
        <v>335</v>
      </c>
      <c r="J55" s="122" t="n">
        <f aca="false">'1. Technology Description'!$B$10</f>
        <v>150</v>
      </c>
      <c r="K55" s="123" t="n">
        <f aca="false">($B$18+$B$19)*'2. Cost Inputs'!$B$5</f>
        <v>0.328767123287671</v>
      </c>
      <c r="L55" s="123" t="n">
        <f aca="false">'2. Cost Inputs'!$B$7</f>
        <v>0.1</v>
      </c>
      <c r="M55" s="124" t="n">
        <f aca="false">'2. Cost Inputs'!$D$40</f>
        <v>100</v>
      </c>
      <c r="N55" s="124" t="n">
        <f aca="false">'2. Cost Inputs'!$D$41</f>
        <v>1500</v>
      </c>
      <c r="O55" s="124" t="n">
        <f aca="false">'2. Cost Inputs'!$D$43</f>
        <v>7500000</v>
      </c>
      <c r="P55" s="123" t="n">
        <f aca="false">'2. Cost Inputs'!$B$35</f>
        <v>0.07</v>
      </c>
      <c r="Q55" s="125" t="n">
        <f aca="false">'2. Cost Inputs'!$D$24</f>
        <v>0.3</v>
      </c>
      <c r="R55" s="126" t="n">
        <f aca="false">((K55/'2. Cost Inputs'!$B$5-$B$19+$B$20)*'2. Cost Inputs'!$B$25+(K55/'2. Cost Inputs'!$B$5+$B$20)*'2. Cost Inputs'!$B$26)*365*'2. Cost Inputs'!$B$5</f>
        <v>2468400</v>
      </c>
      <c r="S55" s="124" t="n">
        <f aca="false">$B$52</f>
        <v>210000</v>
      </c>
      <c r="T55" s="127" t="n">
        <f aca="false">PI()/6*(J55*10^-9)^3*2160</f>
        <v>3.8170350741116E-018</v>
      </c>
      <c r="U55" s="128" t="n">
        <f aca="false">'1. Technology Description'!$B$8*'1. Technology Description'!$B$9*T55*86400*1000</f>
        <v>405.083305284303</v>
      </c>
      <c r="V55" s="127" t="n">
        <f aca="false">U55*365*K55/1000000</f>
        <v>0.0486099966341163</v>
      </c>
      <c r="W55" s="127" t="n">
        <f aca="false">'2. Cost Inputs'!$B$14*1000/'1. Technology Description'!$B$17</f>
        <v>8141.33355043556</v>
      </c>
      <c r="X55" s="126" t="n">
        <f aca="false">'2. Cost Inputs'!$B$14</f>
        <v>4168.36277782301</v>
      </c>
      <c r="Y55" s="126" t="n">
        <f aca="false">1</f>
        <v>1</v>
      </c>
      <c r="Z55" s="127" t="n">
        <f aca="false">W55*M55+X55*N55+Y55*'2. Cost Inputs'!$D$42+Y55*O55+Y55*'2. Cost Inputs'!$D$44</f>
        <v>44591677.5217781</v>
      </c>
      <c r="AA55" s="127" t="n">
        <f aca="false">Z55*(1+'2. Cost Inputs'!$B$49+'2. Cost Inputs'!$B$50+'2. Cost Inputs'!$B$52)+(W55*M55+X55*N55+Y55*'2. Cost Inputs'!$D$42)*'2. Cost Inputs'!$B$51</f>
        <v>72765019.5392005</v>
      </c>
      <c r="AB55" s="127" t="n">
        <f aca="false">(L55*(1+L55)^'2. Cost Inputs'!$B$6)/((1+L55)^'2. Cost Inputs'!$B$6-1)</f>
        <v>0.131473776887372</v>
      </c>
      <c r="AC55" s="127" t="n">
        <f aca="false">AA55*AB55</f>
        <v>9566691.94410213</v>
      </c>
      <c r="AD55" s="127" t="n">
        <f aca="false">'1. Technology Description'!$B$17*24/1000/(U55/1000000)</f>
        <v>30334.5011747049</v>
      </c>
      <c r="AE55" s="127" t="n">
        <f aca="false">AD55*Q55*AK55</f>
        <v>3601465.44003908</v>
      </c>
      <c r="AF55" s="127" t="n">
        <f aca="false">Y55*'2. Cost Inputs'!$B$31*S55</f>
        <v>1260000</v>
      </c>
      <c r="AG55" s="127" t="n">
        <f aca="false">AA55*P55</f>
        <v>5093551.36774404</v>
      </c>
      <c r="AH55" s="127" t="n">
        <f aca="false">R55*'2. Cost Inputs'!$D$25*Y55</f>
        <v>2221560</v>
      </c>
      <c r="AI55" s="127" t="n">
        <f aca="false">AC55+AE55+AF55+AG55+AH55+(('1. Technology Description'!$B$24/(U55/1000000)/1000)*'1. Technology Description'!$B$26*'2. Cost Inputs'!$D$28*AK55)</f>
        <v>21749498.1616386</v>
      </c>
      <c r="AJ55" s="129" t="n">
        <f aca="false">AI55/AK55</f>
        <v>54957.6433691648</v>
      </c>
      <c r="AK55" s="130" t="n">
        <f aca="false">W55*V55</f>
        <v>395.750196483891</v>
      </c>
    </row>
    <row r="56" customFormat="false" ht="19.5" hidden="false" customHeight="true" outlineLevel="0" collapsed="false">
      <c r="A56" s="26" t="s">
        <v>336</v>
      </c>
      <c r="B56" s="137" t="n">
        <f aca="false">C56*1.6</f>
        <v>0.112</v>
      </c>
      <c r="C56" s="121" t="n">
        <f aca="false">'2. Cost Inputs'!B35</f>
        <v>0.07</v>
      </c>
      <c r="D56" s="138" t="n">
        <f aca="false">C56*0.5</f>
        <v>0.035</v>
      </c>
      <c r="E56" s="81" t="s">
        <v>161</v>
      </c>
      <c r="F56" s="115" t="s">
        <v>337</v>
      </c>
      <c r="G56" s="115"/>
      <c r="H56" s="115"/>
      <c r="I56" s="115"/>
      <c r="J56" s="122" t="n">
        <f aca="false">'1. Technology Description'!$B$10</f>
        <v>150</v>
      </c>
      <c r="K56" s="123" t="n">
        <f aca="false">($B$18+$B$19)*'2. Cost Inputs'!$B$5</f>
        <v>0.328767123287671</v>
      </c>
      <c r="L56" s="123" t="n">
        <f aca="false">'2. Cost Inputs'!$B$7</f>
        <v>0.1</v>
      </c>
      <c r="M56" s="124" t="n">
        <f aca="false">'2. Cost Inputs'!$D$40</f>
        <v>100</v>
      </c>
      <c r="N56" s="124" t="n">
        <f aca="false">'2. Cost Inputs'!$D$41</f>
        <v>1500</v>
      </c>
      <c r="O56" s="124" t="n">
        <f aca="false">'2. Cost Inputs'!$D$43</f>
        <v>7500000</v>
      </c>
      <c r="P56" s="123" t="n">
        <f aca="false">'2. Cost Inputs'!$B$35</f>
        <v>0.07</v>
      </c>
      <c r="Q56" s="125" t="n">
        <f aca="false">'2. Cost Inputs'!$D$24</f>
        <v>0.3</v>
      </c>
      <c r="R56" s="126" t="n">
        <f aca="false">((K56/'2. Cost Inputs'!$B$5-$B$19+$B$20)*'2. Cost Inputs'!$B$25+(K56/'2. Cost Inputs'!$B$5+$B$20)*'2. Cost Inputs'!$B$26)*365*'2. Cost Inputs'!$B$5</f>
        <v>2468400</v>
      </c>
      <c r="S56" s="124" t="n">
        <f aca="false">$D$52</f>
        <v>105000</v>
      </c>
      <c r="T56" s="127" t="n">
        <f aca="false">PI()/6*(J56*10^-9)^3*2160</f>
        <v>3.8170350741116E-018</v>
      </c>
      <c r="U56" s="128" t="n">
        <f aca="false">'1. Technology Description'!$B$8*'1. Technology Description'!$B$9*T56*86400*1000</f>
        <v>405.083305284303</v>
      </c>
      <c r="V56" s="127" t="n">
        <f aca="false">U56*365*K56/1000000</f>
        <v>0.0486099966341163</v>
      </c>
      <c r="W56" s="127" t="n">
        <f aca="false">'2. Cost Inputs'!$B$14*1000/'1. Technology Description'!$B$17</f>
        <v>8141.33355043556</v>
      </c>
      <c r="X56" s="126" t="n">
        <f aca="false">'2. Cost Inputs'!$B$14</f>
        <v>4168.36277782301</v>
      </c>
      <c r="Y56" s="126" t="n">
        <f aca="false">1</f>
        <v>1</v>
      </c>
      <c r="Z56" s="127" t="n">
        <f aca="false">W56*M56+X56*N56+Y56*'2. Cost Inputs'!$D$42+Y56*O56+Y56*'2. Cost Inputs'!$D$44</f>
        <v>44591677.5217781</v>
      </c>
      <c r="AA56" s="127" t="n">
        <f aca="false">Z56*(1+'2. Cost Inputs'!$B$49+'2. Cost Inputs'!$B$50+'2. Cost Inputs'!$B$52)+(W56*M56+X56*N56+Y56*'2. Cost Inputs'!$D$42)*'2. Cost Inputs'!$B$51</f>
        <v>72765019.5392005</v>
      </c>
      <c r="AB56" s="127" t="n">
        <f aca="false">(L56*(1+L56)^'2. Cost Inputs'!$B$6)/((1+L56)^'2. Cost Inputs'!$B$6-1)</f>
        <v>0.131473776887372</v>
      </c>
      <c r="AC56" s="127" t="n">
        <f aca="false">AA56*AB56</f>
        <v>9566691.94410213</v>
      </c>
      <c r="AD56" s="127" t="n">
        <f aca="false">'1. Technology Description'!$B$17*24/1000/(U56/1000000)</f>
        <v>30334.5011747049</v>
      </c>
      <c r="AE56" s="127" t="n">
        <f aca="false">AD56*Q56*AK56</f>
        <v>3601465.44003908</v>
      </c>
      <c r="AF56" s="127" t="n">
        <f aca="false">Y56*'2. Cost Inputs'!$B$31*S56</f>
        <v>630000</v>
      </c>
      <c r="AG56" s="127" t="n">
        <f aca="false">AA56*P56</f>
        <v>5093551.36774404</v>
      </c>
      <c r="AH56" s="127" t="n">
        <f aca="false">R56*'2. Cost Inputs'!$D$25*Y56</f>
        <v>2221560</v>
      </c>
      <c r="AI56" s="127" t="n">
        <f aca="false">AC56+AE56+AF56+AG56+AH56+(('1. Technology Description'!$B$24/(U56/1000000)/1000)*'1. Technology Description'!$B$26*'2. Cost Inputs'!$D$28*AK56)</f>
        <v>21119498.1616386</v>
      </c>
      <c r="AJ56" s="129" t="n">
        <f aca="false">AI56/AK56</f>
        <v>53365.7300723494</v>
      </c>
      <c r="AK56" s="130" t="n">
        <f aca="false">W56*V56</f>
        <v>395.750196483891</v>
      </c>
    </row>
    <row r="57" customFormat="false" ht="19.5" hidden="false" customHeight="true" outlineLevel="0" collapsed="false">
      <c r="A57" s="26" t="s">
        <v>110</v>
      </c>
      <c r="B57" s="137" t="n">
        <f aca="false">C57*1.5</f>
        <v>0.15</v>
      </c>
      <c r="C57" s="121" t="n">
        <f aca="false">'2. Cost Inputs'!B7</f>
        <v>0.1</v>
      </c>
      <c r="D57" s="138" t="n">
        <f aca="false">C57*0.6</f>
        <v>0.06</v>
      </c>
      <c r="E57" s="81" t="s">
        <v>103</v>
      </c>
      <c r="F57" s="139" t="s">
        <v>111</v>
      </c>
      <c r="I57" s="140" t="s">
        <v>338</v>
      </c>
      <c r="J57" s="122" t="n">
        <f aca="false">'1. Technology Description'!$B$10</f>
        <v>150</v>
      </c>
      <c r="K57" s="123" t="n">
        <f aca="false">$B$53</f>
        <v>0.197260273972603</v>
      </c>
      <c r="L57" s="123" t="n">
        <f aca="false">'2. Cost Inputs'!$B$7</f>
        <v>0.1</v>
      </c>
      <c r="M57" s="124" t="n">
        <f aca="false">'2. Cost Inputs'!$D$40</f>
        <v>100</v>
      </c>
      <c r="N57" s="124" t="n">
        <f aca="false">'2. Cost Inputs'!$D$41</f>
        <v>1500</v>
      </c>
      <c r="O57" s="124" t="n">
        <f aca="false">'2. Cost Inputs'!$D$43</f>
        <v>7500000</v>
      </c>
      <c r="P57" s="123" t="n">
        <f aca="false">'2. Cost Inputs'!$B$35</f>
        <v>0.07</v>
      </c>
      <c r="Q57" s="125" t="n">
        <f aca="false">'2. Cost Inputs'!$D$24</f>
        <v>0.3</v>
      </c>
      <c r="R57" s="126" t="n">
        <f aca="false">((K57/'2. Cost Inputs'!$B$5-$B$19+$B$20)*'2. Cost Inputs'!$B$25+(K57/'2. Cost Inputs'!$B$5+$B$20)*'2. Cost Inputs'!$B$26)*365*'2. Cost Inputs'!$B$5</f>
        <v>1570800</v>
      </c>
      <c r="S57" s="124" t="n">
        <f aca="false">'2. Cost Inputs'!$D$31</f>
        <v>150000</v>
      </c>
      <c r="T57" s="127" t="n">
        <f aca="false">PI()/6*(J57*10^-9)^3*2160</f>
        <v>3.8170350741116E-018</v>
      </c>
      <c r="U57" s="128" t="n">
        <f aca="false">'1. Technology Description'!$B$8*'1. Technology Description'!$B$9*T57*86400*1000</f>
        <v>405.083305284303</v>
      </c>
      <c r="V57" s="127" t="n">
        <f aca="false">U57*365*K57/1000000</f>
        <v>0.0291659979804698</v>
      </c>
      <c r="W57" s="127" t="n">
        <f aca="false">'2. Cost Inputs'!$B$14*1000/'1. Technology Description'!$B$17</f>
        <v>8141.33355043556</v>
      </c>
      <c r="X57" s="126" t="n">
        <f aca="false">'2. Cost Inputs'!$B$14</f>
        <v>4168.36277782301</v>
      </c>
      <c r="Y57" s="126" t="n">
        <f aca="false">1</f>
        <v>1</v>
      </c>
      <c r="Z57" s="127" t="n">
        <f aca="false">W57*M57+X57*N57+Y57*'2. Cost Inputs'!$D$42+Y57*O57+Y57*'2. Cost Inputs'!$D$44</f>
        <v>44591677.5217781</v>
      </c>
      <c r="AA57" s="127" t="n">
        <f aca="false">Z57*(1+'2. Cost Inputs'!$B$49+'2. Cost Inputs'!$B$50+'2. Cost Inputs'!$B$52)+(W57*M57+X57*N57+Y57*'2. Cost Inputs'!$D$42)*'2. Cost Inputs'!$B$51</f>
        <v>72765019.5392005</v>
      </c>
      <c r="AB57" s="127" t="n">
        <f aca="false">(L57*(1+L57)^'2. Cost Inputs'!$B$6)/((1+L57)^'2. Cost Inputs'!$B$6-1)</f>
        <v>0.131473776887372</v>
      </c>
      <c r="AC57" s="127" t="n">
        <f aca="false">AA57*AB57</f>
        <v>9566691.94410213</v>
      </c>
      <c r="AD57" s="127" t="n">
        <f aca="false">'1. Technology Description'!$B$17*24/1000/(U57/1000000)</f>
        <v>30334.5011747049</v>
      </c>
      <c r="AE57" s="127" t="n">
        <f aca="false">AD57*Q57*AK57</f>
        <v>2160879.26402345</v>
      </c>
      <c r="AF57" s="127" t="n">
        <f aca="false">Y57*'2. Cost Inputs'!$B$31*S57</f>
        <v>900000</v>
      </c>
      <c r="AG57" s="127" t="n">
        <f aca="false">AA57*P57</f>
        <v>5093551.36774404</v>
      </c>
      <c r="AH57" s="127" t="n">
        <f aca="false">R57*'2. Cost Inputs'!$D$25*Y57</f>
        <v>1413720</v>
      </c>
      <c r="AI57" s="127" t="n">
        <f aca="false">AC57+AE57+AF57+AG57+AH57+(('1. Technology Description'!$B$24/(U57/1000000)/1000)*'1. Technology Description'!$B$26*'2. Cost Inputs'!$D$28*AK57)</f>
        <v>19138580.2217216</v>
      </c>
      <c r="AJ57" s="129" t="n">
        <f aca="false">AI57/AK57</f>
        <v>80600.4241722916</v>
      </c>
      <c r="AK57" s="130" t="n">
        <f aca="false">W57*V57</f>
        <v>237.450117890335</v>
      </c>
    </row>
    <row r="58" customFormat="false" ht="19.5" hidden="false" customHeight="true" outlineLevel="0" collapsed="false">
      <c r="A58" s="26" t="s">
        <v>339</v>
      </c>
      <c r="B58" s="141" t="n">
        <f aca="false">C58*1.5</f>
        <v>0.45</v>
      </c>
      <c r="C58" s="142" t="n">
        <f aca="false">'2. Cost Inputs'!D24</f>
        <v>0.3</v>
      </c>
      <c r="D58" s="143" t="n">
        <f aca="false">C58*0.6</f>
        <v>0.18</v>
      </c>
      <c r="E58" s="81" t="s">
        <v>340</v>
      </c>
      <c r="F58" s="139" t="s">
        <v>341</v>
      </c>
      <c r="I58" s="140" t="s">
        <v>342</v>
      </c>
      <c r="J58" s="122" t="n">
        <f aca="false">'1. Technology Description'!$B$10</f>
        <v>150</v>
      </c>
      <c r="K58" s="123" t="n">
        <f aca="false">$D$53</f>
        <v>0.427397260273973</v>
      </c>
      <c r="L58" s="123" t="n">
        <f aca="false">'2. Cost Inputs'!$B$7</f>
        <v>0.1</v>
      </c>
      <c r="M58" s="124" t="n">
        <f aca="false">'2. Cost Inputs'!$D$40</f>
        <v>100</v>
      </c>
      <c r="N58" s="124" t="n">
        <f aca="false">'2. Cost Inputs'!$D$41</f>
        <v>1500</v>
      </c>
      <c r="O58" s="124" t="n">
        <f aca="false">'2. Cost Inputs'!$D$43</f>
        <v>7500000</v>
      </c>
      <c r="P58" s="123" t="n">
        <f aca="false">'2. Cost Inputs'!$B$35</f>
        <v>0.07</v>
      </c>
      <c r="Q58" s="125" t="n">
        <f aca="false">'2. Cost Inputs'!$D$24</f>
        <v>0.3</v>
      </c>
      <c r="R58" s="126" t="n">
        <f aca="false">((K58/'2. Cost Inputs'!$B$5-$B$19+$B$20)*'2. Cost Inputs'!$B$25+(K58/'2. Cost Inputs'!$B$5+$B$20)*'2. Cost Inputs'!$B$26)*365*'2. Cost Inputs'!$B$5</f>
        <v>3141600</v>
      </c>
      <c r="S58" s="124" t="n">
        <f aca="false">'2. Cost Inputs'!$D$31</f>
        <v>150000</v>
      </c>
      <c r="T58" s="127" t="n">
        <f aca="false">PI()/6*(J58*10^-9)^3*2160</f>
        <v>3.8170350741116E-018</v>
      </c>
      <c r="U58" s="128" t="n">
        <f aca="false">'1. Technology Description'!$B$8*'1. Technology Description'!$B$9*T58*86400*1000</f>
        <v>405.083305284303</v>
      </c>
      <c r="V58" s="127" t="n">
        <f aca="false">U58*365*K58/1000000</f>
        <v>0.0631929956243512</v>
      </c>
      <c r="W58" s="127" t="n">
        <f aca="false">'2. Cost Inputs'!$B$14*1000/'1. Technology Description'!$B$17</f>
        <v>8141.33355043556</v>
      </c>
      <c r="X58" s="126" t="n">
        <f aca="false">'2. Cost Inputs'!$B$14</f>
        <v>4168.36277782301</v>
      </c>
      <c r="Y58" s="126" t="n">
        <f aca="false">1</f>
        <v>1</v>
      </c>
      <c r="Z58" s="127" t="n">
        <f aca="false">W58*M58+X58*N58+Y58*'2. Cost Inputs'!$D$42+Y58*O58+Y58*'2. Cost Inputs'!$D$44</f>
        <v>44591677.5217781</v>
      </c>
      <c r="AA58" s="127" t="n">
        <f aca="false">Z58*(1+'2. Cost Inputs'!$B$49+'2. Cost Inputs'!$B$50+'2. Cost Inputs'!$B$52)+(W58*M58+X58*N58+Y58*'2. Cost Inputs'!$D$42)*'2. Cost Inputs'!$B$51</f>
        <v>72765019.5392005</v>
      </c>
      <c r="AB58" s="127" t="n">
        <f aca="false">(L58*(1+L58)^'2. Cost Inputs'!$B$6)/((1+L58)^'2. Cost Inputs'!$B$6-1)</f>
        <v>0.131473776887372</v>
      </c>
      <c r="AC58" s="127" t="n">
        <f aca="false">AA58*AB58</f>
        <v>9566691.94410213</v>
      </c>
      <c r="AD58" s="127" t="n">
        <f aca="false">'1. Technology Description'!$B$17*24/1000/(U58/1000000)</f>
        <v>30334.5011747049</v>
      </c>
      <c r="AE58" s="127" t="n">
        <f aca="false">AD58*Q58*AK58</f>
        <v>4681905.0720508</v>
      </c>
      <c r="AF58" s="127" t="n">
        <f aca="false">Y58*'2. Cost Inputs'!$B$31*S58</f>
        <v>900000</v>
      </c>
      <c r="AG58" s="127" t="n">
        <f aca="false">AA58*P58</f>
        <v>5093551.36774404</v>
      </c>
      <c r="AH58" s="127" t="n">
        <f aca="false">R58*'2. Cost Inputs'!$D$25*Y58</f>
        <v>2827440</v>
      </c>
      <c r="AI58" s="127" t="n">
        <f aca="false">AC58+AE58+AF58+AG58+AH58+(('1. Technology Description'!$B$24/(U58/1000000)/1000)*'1. Technology Description'!$B$26*'2. Cost Inputs'!$D$28*AK58)</f>
        <v>23077686.6165763</v>
      </c>
      <c r="AJ58" s="129" t="n">
        <f aca="false">AI58/AK58</f>
        <v>44856.7474782244</v>
      </c>
      <c r="AK58" s="130" t="n">
        <f aca="false">W58*V58</f>
        <v>514.475255429058</v>
      </c>
    </row>
    <row r="59" customFormat="false" ht="19.5" hidden="false" customHeight="true" outlineLevel="0" collapsed="false">
      <c r="A59" s="26" t="s">
        <v>343</v>
      </c>
      <c r="B59" s="134" t="n">
        <f aca="false">C59*1.5</f>
        <v>2250</v>
      </c>
      <c r="C59" s="135" t="n">
        <f aca="false">'2. Cost Inputs'!D41</f>
        <v>1500</v>
      </c>
      <c r="D59" s="136" t="n">
        <f aca="false">C59*0.6</f>
        <v>900</v>
      </c>
      <c r="E59" s="28" t="s">
        <v>344</v>
      </c>
      <c r="F59" s="144" t="s">
        <v>345</v>
      </c>
      <c r="I59" s="140" t="s">
        <v>346</v>
      </c>
      <c r="J59" s="122" t="n">
        <f aca="false">'1. Technology Description'!$B$10</f>
        <v>150</v>
      </c>
      <c r="K59" s="123" t="n">
        <f aca="false">($B$18+$B$19)*'2. Cost Inputs'!$B$5</f>
        <v>0.328767123287671</v>
      </c>
      <c r="L59" s="123" t="n">
        <f aca="false">'2. Cost Inputs'!$B$7</f>
        <v>0.1</v>
      </c>
      <c r="M59" s="124" t="n">
        <f aca="false">$B$54</f>
        <v>1000</v>
      </c>
      <c r="N59" s="124" t="n">
        <f aca="false">'2. Cost Inputs'!$D$41</f>
        <v>1500</v>
      </c>
      <c r="O59" s="124" t="n">
        <f aca="false">'2. Cost Inputs'!$D$43</f>
        <v>7500000</v>
      </c>
      <c r="P59" s="123" t="n">
        <f aca="false">'2. Cost Inputs'!$B$35</f>
        <v>0.07</v>
      </c>
      <c r="Q59" s="125" t="n">
        <f aca="false">'2. Cost Inputs'!$D$24</f>
        <v>0.3</v>
      </c>
      <c r="R59" s="126" t="n">
        <f aca="false">((K59/'2. Cost Inputs'!$B$5-$B$19+$B$20)*'2. Cost Inputs'!$B$25+(K59/'2. Cost Inputs'!$B$5+$B$20)*'2. Cost Inputs'!$B$26)*365*'2. Cost Inputs'!$B$5</f>
        <v>2468400</v>
      </c>
      <c r="S59" s="124" t="n">
        <f aca="false">'2. Cost Inputs'!$D$31</f>
        <v>150000</v>
      </c>
      <c r="T59" s="127" t="n">
        <f aca="false">PI()/6*(J59*10^-9)^3*2160</f>
        <v>3.8170350741116E-018</v>
      </c>
      <c r="U59" s="128" t="n">
        <f aca="false">'1. Technology Description'!$B$8*'1. Technology Description'!$B$9*T59*86400*1000</f>
        <v>405.083305284303</v>
      </c>
      <c r="V59" s="127" t="n">
        <f aca="false">U59*365*K59/1000000</f>
        <v>0.0486099966341163</v>
      </c>
      <c r="W59" s="127" t="n">
        <f aca="false">'2. Cost Inputs'!$B$14*1000/'1. Technology Description'!$B$17</f>
        <v>8141.33355043556</v>
      </c>
      <c r="X59" s="126" t="n">
        <f aca="false">'2. Cost Inputs'!$B$14</f>
        <v>4168.36277782301</v>
      </c>
      <c r="Y59" s="126" t="n">
        <f aca="false">1</f>
        <v>1</v>
      </c>
      <c r="Z59" s="127" t="n">
        <f aca="false">W59*M59+X59*N59+Y59*'2. Cost Inputs'!$D$42+Y59*O59+Y59*'2. Cost Inputs'!$D$44</f>
        <v>51918877.7171701</v>
      </c>
      <c r="AA59" s="127" t="n">
        <f aca="false">Z59*(1+'2. Cost Inputs'!$B$49+'2. Cost Inputs'!$B$50+'2. Cost Inputs'!$B$52)+(W59*M59+X59*N59+Y59*'2. Cost Inputs'!$D$42)*'2. Cost Inputs'!$B$51</f>
        <v>85953979.8909061</v>
      </c>
      <c r="AB59" s="127" t="n">
        <f aca="false">(L59*(1+L59)^'2. Cost Inputs'!$B$6)/((1+L59)^'2. Cost Inputs'!$B$6-1)</f>
        <v>0.131473776887372</v>
      </c>
      <c r="AC59" s="127" t="n">
        <f aca="false">AA59*AB59</f>
        <v>11300694.3747587</v>
      </c>
      <c r="AD59" s="127" t="n">
        <f aca="false">'1. Technology Description'!$B$17*24/1000/(U59/1000000)</f>
        <v>30334.5011747049</v>
      </c>
      <c r="AE59" s="127" t="n">
        <f aca="false">AD59*Q59*AK59</f>
        <v>3601465.44003908</v>
      </c>
      <c r="AF59" s="127" t="n">
        <f aca="false">Y59*'2. Cost Inputs'!$B$31*S59</f>
        <v>900000</v>
      </c>
      <c r="AG59" s="127" t="n">
        <f aca="false">AA59*P59</f>
        <v>6016778.59236343</v>
      </c>
      <c r="AH59" s="127" t="n">
        <f aca="false">R59*'2. Cost Inputs'!$D$25*Y59</f>
        <v>2221560</v>
      </c>
      <c r="AI59" s="127" t="n">
        <f aca="false">AC59+AE59+AF59+AG59+AH59+(('1. Technology Description'!$B$24/(U59/1000000)/1000)*'1. Technology Description'!$B$26*'2. Cost Inputs'!$D$28*AK59)</f>
        <v>24046727.8169145</v>
      </c>
      <c r="AJ59" s="129" t="n">
        <f aca="false">AI59/AK59</f>
        <v>60762.3900899145</v>
      </c>
      <c r="AK59" s="130" t="n">
        <f aca="false">W59*V59</f>
        <v>395.750196483891</v>
      </c>
    </row>
    <row r="60" customFormat="false" ht="30" hidden="false" customHeight="true" outlineLevel="0" collapsed="false">
      <c r="A60" s="26"/>
      <c r="B60" s="145"/>
      <c r="C60" s="33"/>
      <c r="D60" s="146"/>
      <c r="E60" s="28"/>
      <c r="F60" s="62"/>
      <c r="G60" s="62"/>
      <c r="H60" s="62"/>
      <c r="I60" s="62"/>
      <c r="J60" s="122" t="n">
        <f aca="false">'1. Technology Description'!$B$10</f>
        <v>150</v>
      </c>
      <c r="K60" s="123" t="n">
        <f aca="false">($B$18+$B$19)*'2. Cost Inputs'!$B$5</f>
        <v>0.328767123287671</v>
      </c>
      <c r="L60" s="123" t="n">
        <f aca="false">'2. Cost Inputs'!$B$7</f>
        <v>0.1</v>
      </c>
      <c r="M60" s="124" t="n">
        <f aca="false">$D$54</f>
        <v>10</v>
      </c>
      <c r="N60" s="124" t="n">
        <f aca="false">'2. Cost Inputs'!$D$41</f>
        <v>1500</v>
      </c>
      <c r="O60" s="124" t="n">
        <f aca="false">'2. Cost Inputs'!$D$43</f>
        <v>7500000</v>
      </c>
      <c r="P60" s="123" t="n">
        <f aca="false">'2. Cost Inputs'!$B$35</f>
        <v>0.07</v>
      </c>
      <c r="Q60" s="125" t="n">
        <f aca="false">'2. Cost Inputs'!$D$24</f>
        <v>0.3</v>
      </c>
      <c r="R60" s="126" t="n">
        <f aca="false">((K60/'2. Cost Inputs'!$B$5-$B$19+$B$20)*'2. Cost Inputs'!$B$25+(K60/'2. Cost Inputs'!$B$5+$B$20)*'2. Cost Inputs'!$B$26)*365*'2. Cost Inputs'!$B$5</f>
        <v>2468400</v>
      </c>
      <c r="S60" s="124" t="n">
        <f aca="false">'2. Cost Inputs'!$D$31</f>
        <v>150000</v>
      </c>
      <c r="T60" s="127" t="n">
        <f aca="false">PI()/6*(J60*10^-9)^3*2160</f>
        <v>3.8170350741116E-018</v>
      </c>
      <c r="U60" s="128" t="n">
        <f aca="false">'1. Technology Description'!$B$8*'1. Technology Description'!$B$9*T60*86400*1000</f>
        <v>405.083305284303</v>
      </c>
      <c r="V60" s="127" t="n">
        <f aca="false">U60*365*K60/1000000</f>
        <v>0.0486099966341163</v>
      </c>
      <c r="W60" s="127" t="n">
        <f aca="false">'2. Cost Inputs'!$B$14*1000/'1. Technology Description'!$B$17</f>
        <v>8141.33355043556</v>
      </c>
      <c r="X60" s="126" t="n">
        <f aca="false">'2. Cost Inputs'!$B$14</f>
        <v>4168.36277782301</v>
      </c>
      <c r="Y60" s="126" t="n">
        <f aca="false">1</f>
        <v>1</v>
      </c>
      <c r="Z60" s="127" t="n">
        <f aca="false">W60*M60+X60*N60+Y60*'2. Cost Inputs'!$D$42+Y60*O60+Y60*'2. Cost Inputs'!$D$44</f>
        <v>43858957.5022389</v>
      </c>
      <c r="AA60" s="127" t="n">
        <f aca="false">Z60*(1+'2. Cost Inputs'!$B$49+'2. Cost Inputs'!$B$50+'2. Cost Inputs'!$B$52)+(W60*M60+X60*N60+Y60*'2. Cost Inputs'!$D$42)*'2. Cost Inputs'!$B$51</f>
        <v>71446123.50403</v>
      </c>
      <c r="AB60" s="127" t="n">
        <f aca="false">(L60*(1+L60)^'2. Cost Inputs'!$B$6)/((1+L60)^'2. Cost Inputs'!$B$6-1)</f>
        <v>0.131473776887372</v>
      </c>
      <c r="AC60" s="127" t="n">
        <f aca="false">AA60*AB60</f>
        <v>9393291.70103647</v>
      </c>
      <c r="AD60" s="127" t="n">
        <f aca="false">'1. Technology Description'!$B$17*24/1000/(U60/1000000)</f>
        <v>30334.5011747049</v>
      </c>
      <c r="AE60" s="127" t="n">
        <f aca="false">AD60*Q60*AK60</f>
        <v>3601465.44003908</v>
      </c>
      <c r="AF60" s="127" t="n">
        <f aca="false">Y60*'2. Cost Inputs'!$B$31*S60</f>
        <v>900000</v>
      </c>
      <c r="AG60" s="127" t="n">
        <f aca="false">AA60*P60</f>
        <v>5001228.6452821</v>
      </c>
      <c r="AH60" s="127" t="n">
        <f aca="false">R60*'2. Cost Inputs'!$D$25*Y60</f>
        <v>2221560</v>
      </c>
      <c r="AI60" s="127" t="n">
        <f aca="false">AC60+AE60+AF60+AG60+AH60+(('1. Technology Description'!$B$24/(U60/1000000)/1000)*'1. Technology Description'!$B$26*'2. Cost Inputs'!$D$28*AK60)</f>
        <v>21123775.196111</v>
      </c>
      <c r="AJ60" s="129" t="n">
        <f aca="false">AI60/AK60</f>
        <v>53376.5374819487</v>
      </c>
      <c r="AK60" s="130" t="n">
        <f aca="false">W60*V60</f>
        <v>395.750196483891</v>
      </c>
    </row>
    <row r="61" customFormat="false" ht="18" hidden="false" customHeight="true" outlineLevel="0" collapsed="false">
      <c r="A61" s="147"/>
      <c r="B61" s="148"/>
      <c r="C61" s="149"/>
      <c r="D61" s="150"/>
      <c r="E61" s="147"/>
      <c r="F61" s="46"/>
      <c r="I61" s="40" t="s">
        <v>347</v>
      </c>
      <c r="J61" s="151" t="n">
        <f aca="false">'1. Technology Description'!$B$10</f>
        <v>150</v>
      </c>
      <c r="K61" s="152" t="n">
        <f aca="false">($B$18+$B$19)*'2. Cost Inputs'!$B$5</f>
        <v>0.328767123287671</v>
      </c>
      <c r="L61" s="152" t="n">
        <f aca="false">'2. Cost Inputs'!$B$7</f>
        <v>0.1</v>
      </c>
      <c r="M61" s="153" t="n">
        <f aca="false">'2. Cost Inputs'!$D$40</f>
        <v>100</v>
      </c>
      <c r="N61" s="153" t="n">
        <f aca="false">'2. Cost Inputs'!$D$41</f>
        <v>1500</v>
      </c>
      <c r="O61" s="153" t="n">
        <f aca="false">$B$55</f>
        <v>56250000</v>
      </c>
      <c r="P61" s="152" t="n">
        <f aca="false">'2. Cost Inputs'!$B$35</f>
        <v>0.07</v>
      </c>
      <c r="Q61" s="154" t="n">
        <f aca="false">'2. Cost Inputs'!$D$24</f>
        <v>0.3</v>
      </c>
      <c r="R61" s="155" t="n">
        <f aca="false">((K61/'2. Cost Inputs'!$B$5-$B$19+$B$20)*'2. Cost Inputs'!$B$25+(K61/'2. Cost Inputs'!$B$5+$B$20)*'2. Cost Inputs'!$B$26)*365*'2. Cost Inputs'!$B$5</f>
        <v>2468400</v>
      </c>
      <c r="S61" s="153" t="n">
        <f aca="false">'2. Cost Inputs'!$D$31</f>
        <v>150000</v>
      </c>
      <c r="T61" s="156" t="n">
        <f aca="false">PI()/6*(J61*10^-9)^3*2160</f>
        <v>3.8170350741116E-018</v>
      </c>
      <c r="U61" s="157" t="n">
        <f aca="false">'1. Technology Description'!$B$8*'1. Technology Description'!$B$9*T61*86400*1000</f>
        <v>405.083305284303</v>
      </c>
      <c r="V61" s="156" t="n">
        <f aca="false">U61*365*K61/1000000</f>
        <v>0.0486099966341163</v>
      </c>
      <c r="W61" s="156" t="n">
        <f aca="false">'2. Cost Inputs'!$B$14*1000/'1. Technology Description'!$B$17</f>
        <v>8141.33355043556</v>
      </c>
      <c r="X61" s="155" t="n">
        <f aca="false">'2. Cost Inputs'!$B$14</f>
        <v>4168.36277782301</v>
      </c>
      <c r="Y61" s="126" t="n">
        <f aca="false">1</f>
        <v>1</v>
      </c>
      <c r="Z61" s="156" t="n">
        <f aca="false">W61*M61+X61*N61+Y61*'2. Cost Inputs'!$D$42+Y61*O61</f>
        <v>63341677.5217781</v>
      </c>
      <c r="AA61" s="156" t="n">
        <f aca="false">Z61*(1+'2. Cost Inputs'!$B$49+'2. Cost Inputs'!$B$50+'2. Cost Inputs'!$B$52)+(W61*M61+X61*N61+Y61*'2. Cost Inputs'!$D$42)*'2. Cost Inputs'!$B$51</f>
        <v>102765019.539201</v>
      </c>
      <c r="AB61" s="156" t="n">
        <f aca="false">(L61*(1+L61)^'2. Cost Inputs'!$B$6)/((1+L61)^'2. Cost Inputs'!$B$6-1)</f>
        <v>0.131473776887372</v>
      </c>
      <c r="AC61" s="156" t="n">
        <f aca="false">AA61*AB61</f>
        <v>13510905.2507233</v>
      </c>
      <c r="AD61" s="156" t="n">
        <f aca="false">'1. Technology Description'!$B$17*24/1000/(U61/1000000)</f>
        <v>30334.5011747049</v>
      </c>
      <c r="AE61" s="156" t="n">
        <f aca="false">AD61*Q61*AK61</f>
        <v>3601465.44003908</v>
      </c>
      <c r="AF61" s="156" t="n">
        <f aca="false">Y61*'2. Cost Inputs'!$B$31*S61</f>
        <v>900000</v>
      </c>
      <c r="AG61" s="156" t="n">
        <f aca="false">AA61*P61</f>
        <v>7193551.36774404</v>
      </c>
      <c r="AH61" s="156" t="n">
        <f aca="false">R61*'2. Cost Inputs'!$D$25*Y61</f>
        <v>2221560</v>
      </c>
      <c r="AI61" s="156" t="n">
        <f aca="false">AC61+AE61+AF61+AG61+AH61+(('1. Technology Description'!$B$24/(U61/1000000)/1000)*'1. Technology Description'!$B$26*'2. Cost Inputs'!$D$28*AK61)</f>
        <v>27433711.4682597</v>
      </c>
      <c r="AJ61" s="158" t="n">
        <f aca="false">AI61/AK61</f>
        <v>69320.7778846332</v>
      </c>
      <c r="AK61" s="130" t="n">
        <f aca="false">W61*V61</f>
        <v>395.750196483891</v>
      </c>
    </row>
    <row r="62" customFormat="false" ht="19.5" hidden="false" customHeight="true" outlineLevel="0" collapsed="false">
      <c r="A62" s="9" t="s">
        <v>348</v>
      </c>
      <c r="I62" s="40" t="s">
        <v>349</v>
      </c>
      <c r="J62" s="151" t="n">
        <f aca="false">'1. Technology Description'!$B$10</f>
        <v>150</v>
      </c>
      <c r="K62" s="152" t="n">
        <f aca="false">($B$18+$B$19)*'2. Cost Inputs'!$B$5</f>
        <v>0.328767123287671</v>
      </c>
      <c r="L62" s="152" t="n">
        <f aca="false">'2. Cost Inputs'!$B$7</f>
        <v>0.1</v>
      </c>
      <c r="M62" s="153" t="n">
        <f aca="false">'2. Cost Inputs'!$D$40</f>
        <v>100</v>
      </c>
      <c r="N62" s="153" t="n">
        <f aca="false">'2. Cost Inputs'!$D$41</f>
        <v>1500</v>
      </c>
      <c r="O62" s="153" t="n">
        <f aca="false">$D$55</f>
        <v>22500000</v>
      </c>
      <c r="P62" s="152" t="n">
        <f aca="false">'2. Cost Inputs'!$B$35</f>
        <v>0.07</v>
      </c>
      <c r="Q62" s="154" t="n">
        <f aca="false">'2. Cost Inputs'!$D$24</f>
        <v>0.3</v>
      </c>
      <c r="R62" s="155" t="n">
        <f aca="false">((K62/'2. Cost Inputs'!$B$5-$B$19+$B$20)*'2. Cost Inputs'!$B$25+(K62/'2. Cost Inputs'!$B$5+$B$20)*'2. Cost Inputs'!$B$26)*365*'2. Cost Inputs'!$B$5</f>
        <v>2468400</v>
      </c>
      <c r="S62" s="153" t="n">
        <f aca="false">'2. Cost Inputs'!$D$31</f>
        <v>150000</v>
      </c>
      <c r="T62" s="156" t="n">
        <f aca="false">PI()/6*(J62*10^-9)^3*2160</f>
        <v>3.8170350741116E-018</v>
      </c>
      <c r="U62" s="157" t="n">
        <f aca="false">'1. Technology Description'!$B$8*'1. Technology Description'!$B$9*T62*86400*1000</f>
        <v>405.083305284303</v>
      </c>
      <c r="V62" s="156" t="n">
        <f aca="false">U62*365*K62/1000000</f>
        <v>0.0486099966341163</v>
      </c>
      <c r="W62" s="156" t="n">
        <f aca="false">'2. Cost Inputs'!$B$14*1000/'1. Technology Description'!$B$17</f>
        <v>8141.33355043556</v>
      </c>
      <c r="X62" s="155" t="n">
        <f aca="false">'2. Cost Inputs'!$B$14</f>
        <v>4168.36277782301</v>
      </c>
      <c r="Y62" s="126" t="n">
        <f aca="false">1</f>
        <v>1</v>
      </c>
      <c r="Z62" s="156" t="n">
        <f aca="false">W62*M62+X62*N62+Y62*'2. Cost Inputs'!$D$42+Y62*O62</f>
        <v>29591677.5217781</v>
      </c>
      <c r="AA62" s="156" t="n">
        <f aca="false">Z62*(1+'2. Cost Inputs'!$B$49+'2. Cost Inputs'!$B$50+'2. Cost Inputs'!$B$52)+(W62*M62+X62*N62+Y62*'2. Cost Inputs'!$D$42)*'2. Cost Inputs'!$B$51</f>
        <v>48765019.5392005</v>
      </c>
      <c r="AB62" s="156" t="n">
        <f aca="false">(L62*(1+L62)^'2. Cost Inputs'!$B$6)/((1+L62)^'2. Cost Inputs'!$B$6-1)</f>
        <v>0.131473776887372</v>
      </c>
      <c r="AC62" s="156" t="n">
        <f aca="false">AA62*AB62</f>
        <v>6411321.29880519</v>
      </c>
      <c r="AD62" s="156" t="n">
        <f aca="false">'1. Technology Description'!$B$17*24/1000/(U62/1000000)</f>
        <v>30334.5011747049</v>
      </c>
      <c r="AE62" s="156" t="n">
        <f aca="false">AD62*Q62*AK62</f>
        <v>3601465.44003908</v>
      </c>
      <c r="AF62" s="156" t="n">
        <f aca="false">Y62*'2. Cost Inputs'!$B$31*S62</f>
        <v>900000</v>
      </c>
      <c r="AG62" s="156" t="n">
        <f aca="false">AA62*P62</f>
        <v>3413551.36774404</v>
      </c>
      <c r="AH62" s="156" t="n">
        <f aca="false">R62*'2. Cost Inputs'!$D$25*Y62</f>
        <v>2221560</v>
      </c>
      <c r="AI62" s="156" t="n">
        <f aca="false">AC62+AE62+AF62+AG62+AH62+(('1. Technology Description'!$B$24/(U62/1000000)/1000)*'1. Technology Description'!$B$26*'2. Cost Inputs'!$D$28*AK62)</f>
        <v>16554127.5163416</v>
      </c>
      <c r="AJ62" s="158" t="n">
        <f aca="false">AI62/AK62</f>
        <v>41829.7392229228</v>
      </c>
      <c r="AK62" s="130" t="n">
        <f aca="false">W62*V62</f>
        <v>395.750196483891</v>
      </c>
    </row>
    <row r="63" customFormat="false" ht="31.5" hidden="false" customHeight="true" outlineLevel="0" collapsed="false">
      <c r="A63" s="71" t="s">
        <v>302</v>
      </c>
      <c r="B63" s="159" t="s">
        <v>350</v>
      </c>
      <c r="C63" s="159" t="s">
        <v>351</v>
      </c>
      <c r="D63" s="159" t="s">
        <v>352</v>
      </c>
      <c r="E63" s="159" t="s">
        <v>353</v>
      </c>
      <c r="I63" s="140" t="s">
        <v>354</v>
      </c>
      <c r="J63" s="122" t="n">
        <f aca="false">'1. Technology Description'!$B$10</f>
        <v>150</v>
      </c>
      <c r="K63" s="123" t="n">
        <f aca="false">($B$18+$B$19)*'2. Cost Inputs'!$B$5</f>
        <v>0.328767123287671</v>
      </c>
      <c r="L63" s="123" t="n">
        <f aca="false">'2. Cost Inputs'!$B$7</f>
        <v>0.1</v>
      </c>
      <c r="M63" s="124" t="n">
        <f aca="false">'2. Cost Inputs'!$D$40</f>
        <v>100</v>
      </c>
      <c r="N63" s="124" t="n">
        <f aca="false">'2. Cost Inputs'!$D$41</f>
        <v>1500</v>
      </c>
      <c r="O63" s="124" t="n">
        <f aca="false">'2. Cost Inputs'!$D$43</f>
        <v>7500000</v>
      </c>
      <c r="P63" s="123" t="n">
        <f aca="false">$B$56</f>
        <v>0.112</v>
      </c>
      <c r="Q63" s="125" t="n">
        <f aca="false">'2. Cost Inputs'!$D$24</f>
        <v>0.3</v>
      </c>
      <c r="R63" s="126" t="n">
        <f aca="false">((K63/'2. Cost Inputs'!$B$5-$B$19+$B$20)*'2. Cost Inputs'!$B$25+(K63/'2. Cost Inputs'!$B$5+$B$20)*'2. Cost Inputs'!$B$26)*365*'2. Cost Inputs'!$B$5</f>
        <v>2468400</v>
      </c>
      <c r="S63" s="124" t="n">
        <f aca="false">'2. Cost Inputs'!$D$31</f>
        <v>150000</v>
      </c>
      <c r="T63" s="127" t="n">
        <f aca="false">PI()/6*(J63*10^-9)^3*2160</f>
        <v>3.8170350741116E-018</v>
      </c>
      <c r="U63" s="128" t="n">
        <f aca="false">'1. Technology Description'!$B$8*'1. Technology Description'!$B$9*T63*86400*1000</f>
        <v>405.083305284303</v>
      </c>
      <c r="V63" s="127" t="n">
        <f aca="false">U63*365*K63/1000000</f>
        <v>0.0486099966341163</v>
      </c>
      <c r="W63" s="127" t="n">
        <f aca="false">'2. Cost Inputs'!$B$14*1000/'1. Technology Description'!$B$17</f>
        <v>8141.33355043556</v>
      </c>
      <c r="X63" s="126" t="n">
        <f aca="false">'2. Cost Inputs'!$B$14</f>
        <v>4168.36277782301</v>
      </c>
      <c r="Y63" s="126" t="n">
        <f aca="false">1</f>
        <v>1</v>
      </c>
      <c r="Z63" s="127" t="n">
        <f aca="false">W63*M63+X63*N63+Y63*'2. Cost Inputs'!$D$42+Y63*O63+Y63*'2. Cost Inputs'!$D$44</f>
        <v>44591677.5217781</v>
      </c>
      <c r="AA63" s="127" t="n">
        <f aca="false">Z63*(1+'2. Cost Inputs'!$B$49+'2. Cost Inputs'!$B$50+'2. Cost Inputs'!$B$52)+(W63*M63+X63*N63+Y63*'2. Cost Inputs'!$D$42)*'2. Cost Inputs'!$B$51</f>
        <v>72765019.5392005</v>
      </c>
      <c r="AB63" s="127" t="n">
        <f aca="false">(L63*(1+L63)^'2. Cost Inputs'!$B$6)/((1+L63)^'2. Cost Inputs'!$B$6-1)</f>
        <v>0.131473776887372</v>
      </c>
      <c r="AC63" s="127" t="n">
        <f aca="false">AA63*AB63</f>
        <v>9566691.94410213</v>
      </c>
      <c r="AD63" s="127" t="n">
        <f aca="false">'1. Technology Description'!$B$17*24/1000/(U63/1000000)</f>
        <v>30334.5011747049</v>
      </c>
      <c r="AE63" s="127" t="n">
        <f aca="false">AD63*Q63*AK63</f>
        <v>3601465.44003908</v>
      </c>
      <c r="AF63" s="127" t="n">
        <f aca="false">Y63*'2. Cost Inputs'!$B$31*S63</f>
        <v>900000</v>
      </c>
      <c r="AG63" s="127" t="n">
        <f aca="false">AA63*P63</f>
        <v>8149682.18839046</v>
      </c>
      <c r="AH63" s="127" t="n">
        <f aca="false">R63*'2. Cost Inputs'!$D$25*Y63</f>
        <v>2221560</v>
      </c>
      <c r="AI63" s="127" t="n">
        <f aca="false">AC63+AE63+AF63+AG63+AH63+(('1. Technology Description'!$B$24/(U63/1000000)/1000)*'1. Technology Description'!$B$26*'2. Cost Inputs'!$D$28*AK63)</f>
        <v>24445628.982285</v>
      </c>
      <c r="AJ63" s="129" t="n">
        <f aca="false">AI63/AK63</f>
        <v>61770.3521046263</v>
      </c>
      <c r="AK63" s="130" t="n">
        <f aca="false">W63*V63</f>
        <v>395.750196483891</v>
      </c>
    </row>
    <row r="64" customFormat="false" ht="19.5" hidden="false" customHeight="true" outlineLevel="0" collapsed="false">
      <c r="A64" s="26" t="s">
        <v>343</v>
      </c>
      <c r="B64" s="81" t="n">
        <f aca="false">MIN(AJ69,AJ70)</f>
        <v>51756.1261825041</v>
      </c>
      <c r="C64" s="81" t="n">
        <f aca="false">$AJ$50-MIN(AJ69,AJ70)</f>
        <v>2291.85244562334</v>
      </c>
      <c r="D64" s="81" t="n">
        <f aca="false">MAX(AJ69,AJ70)-$AJ$50</f>
        <v>2864.81555702916</v>
      </c>
      <c r="E64" s="81" t="n">
        <f aca="false">MAX(AJ69,AJ70)</f>
        <v>56912.7941851566</v>
      </c>
      <c r="F64" s="160"/>
      <c r="I64" s="140" t="s">
        <v>355</v>
      </c>
      <c r="J64" s="122" t="n">
        <f aca="false">'1. Technology Description'!$B$10</f>
        <v>150</v>
      </c>
      <c r="K64" s="123" t="n">
        <f aca="false">($B$18+$B$19)*'2. Cost Inputs'!$B$5</f>
        <v>0.328767123287671</v>
      </c>
      <c r="L64" s="123" t="n">
        <f aca="false">'2. Cost Inputs'!$B$7</f>
        <v>0.1</v>
      </c>
      <c r="M64" s="124" t="n">
        <f aca="false">'2. Cost Inputs'!$D$40</f>
        <v>100</v>
      </c>
      <c r="N64" s="124" t="n">
        <f aca="false">'2. Cost Inputs'!$D$41</f>
        <v>1500</v>
      </c>
      <c r="O64" s="124" t="n">
        <f aca="false">'2. Cost Inputs'!$D$43</f>
        <v>7500000</v>
      </c>
      <c r="P64" s="123" t="n">
        <f aca="false">$D$56</f>
        <v>0.035</v>
      </c>
      <c r="Q64" s="125" t="n">
        <f aca="false">'2. Cost Inputs'!$D$24</f>
        <v>0.3</v>
      </c>
      <c r="R64" s="126" t="n">
        <f aca="false">((K64/'2. Cost Inputs'!$B$5-$B$19+$B$20)*'2. Cost Inputs'!$B$25+(K64/'2. Cost Inputs'!$B$5+$B$20)*'2. Cost Inputs'!$B$26)*365*'2. Cost Inputs'!$B$5</f>
        <v>2468400</v>
      </c>
      <c r="S64" s="124" t="n">
        <f aca="false">'2. Cost Inputs'!$D$31</f>
        <v>150000</v>
      </c>
      <c r="T64" s="127" t="n">
        <f aca="false">PI()/6*(J64*10^-9)^3*2160</f>
        <v>3.8170350741116E-018</v>
      </c>
      <c r="U64" s="128" t="n">
        <f aca="false">'1. Technology Description'!$B$8*'1. Technology Description'!$B$9*T64*86400*1000</f>
        <v>405.083305284303</v>
      </c>
      <c r="V64" s="127" t="n">
        <f aca="false">U64*365*K64/1000000</f>
        <v>0.0486099966341163</v>
      </c>
      <c r="W64" s="127" t="n">
        <f aca="false">'2. Cost Inputs'!$B$14*1000/'1. Technology Description'!$B$17</f>
        <v>8141.33355043556</v>
      </c>
      <c r="X64" s="126" t="n">
        <f aca="false">'2. Cost Inputs'!$B$14</f>
        <v>4168.36277782301</v>
      </c>
      <c r="Y64" s="126" t="n">
        <f aca="false">1</f>
        <v>1</v>
      </c>
      <c r="Z64" s="127" t="n">
        <f aca="false">W64*M64+X64*N64+Y64*'2. Cost Inputs'!$D$42+Y64*O64+Y64*'2. Cost Inputs'!$D$44</f>
        <v>44591677.5217781</v>
      </c>
      <c r="AA64" s="127" t="n">
        <f aca="false">Z64*(1+'2. Cost Inputs'!$B$49+'2. Cost Inputs'!$B$50+'2. Cost Inputs'!$B$52)+(W64*M64+X64*N64+Y64*'2. Cost Inputs'!$D$42)*'2. Cost Inputs'!$B$51</f>
        <v>72765019.5392005</v>
      </c>
      <c r="AB64" s="127" t="n">
        <f aca="false">(L64*(1+L64)^'2. Cost Inputs'!$B$6)/((1+L64)^'2. Cost Inputs'!$B$6-1)</f>
        <v>0.131473776887372</v>
      </c>
      <c r="AC64" s="127" t="n">
        <f aca="false">AA64*AB64</f>
        <v>9566691.94410213</v>
      </c>
      <c r="AD64" s="127" t="n">
        <f aca="false">'1. Technology Description'!$B$17*24/1000/(U64/1000000)</f>
        <v>30334.5011747049</v>
      </c>
      <c r="AE64" s="127" t="n">
        <f aca="false">AD64*Q64*AK64</f>
        <v>3601465.44003908</v>
      </c>
      <c r="AF64" s="127" t="n">
        <f aca="false">Y64*'2. Cost Inputs'!$B$31*S64</f>
        <v>900000</v>
      </c>
      <c r="AG64" s="127" t="n">
        <f aca="false">AA64*P64</f>
        <v>2546775.68387202</v>
      </c>
      <c r="AH64" s="127" t="n">
        <f aca="false">R64*'2. Cost Inputs'!$D$25*Y64</f>
        <v>2221560</v>
      </c>
      <c r="AI64" s="127" t="n">
        <f aca="false">AC64+AE64+AF64+AG64+AH64+(('1. Technology Description'!$B$24/(U64/1000000)/1000)*'1. Technology Description'!$B$26*'2. Cost Inputs'!$D$28*AK64)</f>
        <v>18842722.4777665</v>
      </c>
      <c r="AJ64" s="129" t="n">
        <f aca="false">AI64/AK64</f>
        <v>47612.6673977117</v>
      </c>
      <c r="AK64" s="130" t="n">
        <f aca="false">W64*V64</f>
        <v>395.750196483891</v>
      </c>
    </row>
    <row r="65" customFormat="false" ht="19.5" hidden="false" customHeight="true" outlineLevel="0" collapsed="false">
      <c r="A65" s="26" t="s">
        <v>339</v>
      </c>
      <c r="B65" s="81" t="n">
        <f aca="false">MIN(AJ67,AJ68)</f>
        <v>50407.8384871628</v>
      </c>
      <c r="C65" s="81" t="n">
        <f aca="false">$AJ$50-MIN(AJ67,AJ68)</f>
        <v>3640.14014096458</v>
      </c>
      <c r="D65" s="81" t="n">
        <f aca="false">MAX(AJ67,AJ68)-$AJ$50</f>
        <v>4550.17517620573</v>
      </c>
      <c r="E65" s="81" t="n">
        <f aca="false">MAX(AJ67,AJ68)</f>
        <v>58598.1538043331</v>
      </c>
      <c r="F65" s="160"/>
      <c r="I65" s="140" t="s">
        <v>356</v>
      </c>
      <c r="J65" s="122" t="n">
        <f aca="false">'1. Technology Description'!$B$10</f>
        <v>150</v>
      </c>
      <c r="K65" s="123" t="n">
        <f aca="false">($B$18+$B$19)*'2. Cost Inputs'!$B$5</f>
        <v>0.328767123287671</v>
      </c>
      <c r="L65" s="123" t="n">
        <f aca="false">$B$57</f>
        <v>0.15</v>
      </c>
      <c r="M65" s="124" t="n">
        <f aca="false">'2. Cost Inputs'!$D$40</f>
        <v>100</v>
      </c>
      <c r="N65" s="124" t="n">
        <f aca="false">'2. Cost Inputs'!$D$41</f>
        <v>1500</v>
      </c>
      <c r="O65" s="124" t="n">
        <f aca="false">'2. Cost Inputs'!$D$43</f>
        <v>7500000</v>
      </c>
      <c r="P65" s="123" t="n">
        <f aca="false">'2. Cost Inputs'!$B$35</f>
        <v>0.07</v>
      </c>
      <c r="Q65" s="125" t="n">
        <f aca="false">'2. Cost Inputs'!$D$24</f>
        <v>0.3</v>
      </c>
      <c r="R65" s="126" t="n">
        <f aca="false">((K65/'2. Cost Inputs'!$B$5-$B$19+$B$20)*'2. Cost Inputs'!$B$25+(K65/'2. Cost Inputs'!$B$5+$B$20)*'2. Cost Inputs'!$B$26)*365*'2. Cost Inputs'!$B$5</f>
        <v>2468400</v>
      </c>
      <c r="S65" s="124" t="n">
        <f aca="false">'2. Cost Inputs'!$D$31</f>
        <v>150000</v>
      </c>
      <c r="T65" s="127" t="n">
        <f aca="false">PI()/6*(J65*10^-9)^3*2160</f>
        <v>3.8170350741116E-018</v>
      </c>
      <c r="U65" s="128" t="n">
        <f aca="false">'1. Technology Description'!$B$8*'1. Technology Description'!$B$9*T65*86400*1000</f>
        <v>405.083305284303</v>
      </c>
      <c r="V65" s="127" t="n">
        <f aca="false">U65*365*K65/1000000</f>
        <v>0.0486099966341163</v>
      </c>
      <c r="W65" s="127" t="n">
        <f aca="false">'2. Cost Inputs'!$B$14*1000/'1. Technology Description'!$B$17</f>
        <v>8141.33355043556</v>
      </c>
      <c r="X65" s="126" t="n">
        <f aca="false">'2. Cost Inputs'!$B$14</f>
        <v>4168.36277782301</v>
      </c>
      <c r="Y65" s="126" t="n">
        <f aca="false">1</f>
        <v>1</v>
      </c>
      <c r="Z65" s="127" t="n">
        <f aca="false">W65*M65+X65*N65+Y65*'2. Cost Inputs'!$D$42+Y65*O65+Y65*'2. Cost Inputs'!$D$44</f>
        <v>44591677.5217781</v>
      </c>
      <c r="AA65" s="127" t="n">
        <f aca="false">Z65*(1+'2. Cost Inputs'!$B$49+'2. Cost Inputs'!$B$50+'2. Cost Inputs'!$B$52)+(W65*M65+X65*N65+Y65*'2. Cost Inputs'!$D$42)*'2. Cost Inputs'!$B$51</f>
        <v>72765019.5392005</v>
      </c>
      <c r="AB65" s="127" t="n">
        <f aca="false">(L65*(1+L65)^'2. Cost Inputs'!$B$6)/((1+L65)^'2. Cost Inputs'!$B$6-1)</f>
        <v>0.171017052646301</v>
      </c>
      <c r="AC65" s="127" t="n">
        <f aca="false">AA65*AB65</f>
        <v>12444059.1773446</v>
      </c>
      <c r="AD65" s="127" t="n">
        <f aca="false">'1. Technology Description'!$B$17*24/1000/(U65/1000000)</f>
        <v>30334.5011747049</v>
      </c>
      <c r="AE65" s="127" t="n">
        <f aca="false">AD65*Q65*AK65</f>
        <v>3601465.44003908</v>
      </c>
      <c r="AF65" s="127" t="n">
        <f aca="false">Y65*'2. Cost Inputs'!$B$31*S65</f>
        <v>900000</v>
      </c>
      <c r="AG65" s="127" t="n">
        <f aca="false">AA65*P65</f>
        <v>5093551.36774404</v>
      </c>
      <c r="AH65" s="127" t="n">
        <f aca="false">R65*'2. Cost Inputs'!$D$25*Y65</f>
        <v>2221560</v>
      </c>
      <c r="AI65" s="127" t="n">
        <f aca="false">AC65+AE65+AF65+AG65+AH65+(('1. Technology Description'!$B$24/(U65/1000000)/1000)*'1. Technology Description'!$B$26*'2. Cost Inputs'!$D$28*AK65)</f>
        <v>24266865.394881</v>
      </c>
      <c r="AJ65" s="129" t="n">
        <f aca="false">AI65/AK65</f>
        <v>61318.643958952</v>
      </c>
      <c r="AK65" s="130" t="n">
        <f aca="false">W65*V65</f>
        <v>395.750196483891</v>
      </c>
    </row>
    <row r="66" customFormat="false" ht="19.5" hidden="false" customHeight="true" outlineLevel="0" collapsed="false">
      <c r="A66" s="26" t="s">
        <v>110</v>
      </c>
      <c r="B66" s="81" t="n">
        <f aca="false">MIN(AJ65,AJ66)</f>
        <v>48805.7717220642</v>
      </c>
      <c r="C66" s="81" t="n">
        <f aca="false">$AJ$50-MIN(AJ65,AJ66)</f>
        <v>5242.20690606318</v>
      </c>
      <c r="D66" s="81" t="n">
        <f aca="false">MAX(AJ65,AJ66)-$AJ$50</f>
        <v>7270.66533082462</v>
      </c>
      <c r="E66" s="81" t="n">
        <f aca="false">MAX(AJ65,AJ66)</f>
        <v>61318.643958952</v>
      </c>
      <c r="F66" s="160"/>
      <c r="I66" s="140" t="s">
        <v>357</v>
      </c>
      <c r="J66" s="122" t="n">
        <f aca="false">'1. Technology Description'!$B$10</f>
        <v>150</v>
      </c>
      <c r="K66" s="123" t="n">
        <f aca="false">($B$18+$B$19)*'2. Cost Inputs'!$B$5</f>
        <v>0.328767123287671</v>
      </c>
      <c r="L66" s="123" t="n">
        <f aca="false">$D$57</f>
        <v>0.06</v>
      </c>
      <c r="M66" s="124" t="n">
        <f aca="false">'2. Cost Inputs'!$D$40</f>
        <v>100</v>
      </c>
      <c r="N66" s="124" t="n">
        <f aca="false">'2. Cost Inputs'!$D$41</f>
        <v>1500</v>
      </c>
      <c r="O66" s="124" t="n">
        <f aca="false">'2. Cost Inputs'!$D$43</f>
        <v>7500000</v>
      </c>
      <c r="P66" s="123" t="n">
        <f aca="false">'2. Cost Inputs'!$B$35</f>
        <v>0.07</v>
      </c>
      <c r="Q66" s="125" t="n">
        <f aca="false">'2. Cost Inputs'!$D$24</f>
        <v>0.3</v>
      </c>
      <c r="R66" s="126" t="n">
        <f aca="false">((K66/'2. Cost Inputs'!$B$5-$B$19+$B$20)*'2. Cost Inputs'!$B$25+(K66/'2. Cost Inputs'!$B$5+$B$20)*'2. Cost Inputs'!$B$26)*365*'2. Cost Inputs'!$B$5</f>
        <v>2468400</v>
      </c>
      <c r="S66" s="124" t="n">
        <f aca="false">'2. Cost Inputs'!$D$31</f>
        <v>150000</v>
      </c>
      <c r="T66" s="127" t="n">
        <f aca="false">PI()/6*(J66*10^-9)^3*2160</f>
        <v>3.8170350741116E-018</v>
      </c>
      <c r="U66" s="128" t="n">
        <f aca="false">'1. Technology Description'!$B$8*'1. Technology Description'!$B$9*T66*86400*1000</f>
        <v>405.083305284303</v>
      </c>
      <c r="V66" s="127" t="n">
        <f aca="false">U66*365*K66/1000000</f>
        <v>0.0486099966341163</v>
      </c>
      <c r="W66" s="127" t="n">
        <f aca="false">'2. Cost Inputs'!$B$14*1000/'1. Technology Description'!$B$17</f>
        <v>8141.33355043556</v>
      </c>
      <c r="X66" s="126" t="n">
        <f aca="false">'2. Cost Inputs'!$B$14</f>
        <v>4168.36277782301</v>
      </c>
      <c r="Y66" s="126" t="n">
        <f aca="false">1</f>
        <v>1</v>
      </c>
      <c r="Z66" s="127" t="n">
        <f aca="false">W66*M66+X66*N66+Y66*'2. Cost Inputs'!$D$42+Y66*O66+Y66*'2. Cost Inputs'!$D$44</f>
        <v>44591677.5217781</v>
      </c>
      <c r="AA66" s="127" t="n">
        <f aca="false">Z66*(1+'2. Cost Inputs'!$B$49+'2. Cost Inputs'!$B$50+'2. Cost Inputs'!$B$52)+(W66*M66+X66*N66+Y66*'2. Cost Inputs'!$D$42)*'2. Cost Inputs'!$B$51</f>
        <v>72765019.5392005</v>
      </c>
      <c r="AB66" s="127" t="n">
        <f aca="false">(L66*(1+L66)^'2. Cost Inputs'!$B$6)/((1+L66)^'2. Cost Inputs'!$B$6-1)</f>
        <v>0.102962763955313</v>
      </c>
      <c r="AC66" s="127" t="n">
        <f aca="false">AA66*AB66</f>
        <v>7492087.53101842</v>
      </c>
      <c r="AD66" s="127" t="n">
        <f aca="false">'1. Technology Description'!$B$17*24/1000/(U66/1000000)</f>
        <v>30334.5011747049</v>
      </c>
      <c r="AE66" s="127" t="n">
        <f aca="false">AD66*Q66*AK66</f>
        <v>3601465.44003908</v>
      </c>
      <c r="AF66" s="127" t="n">
        <f aca="false">Y66*'2. Cost Inputs'!$B$31*S66</f>
        <v>900000</v>
      </c>
      <c r="AG66" s="127" t="n">
        <f aca="false">AA66*P66</f>
        <v>5093551.36774404</v>
      </c>
      <c r="AH66" s="127" t="n">
        <f aca="false">R66*'2. Cost Inputs'!$D$25*Y66</f>
        <v>2221560</v>
      </c>
      <c r="AI66" s="127" t="n">
        <f aca="false">AC66+AE66+AF66+AG66+AH66+(('1. Technology Description'!$B$24/(U66/1000000)/1000)*'1. Technology Description'!$B$26*'2. Cost Inputs'!$D$28*AK66)</f>
        <v>19314893.7485548</v>
      </c>
      <c r="AJ66" s="129" t="n">
        <f aca="false">AI66/AK66</f>
        <v>48805.7717220642</v>
      </c>
      <c r="AK66" s="130" t="n">
        <f aca="false">W66*V66</f>
        <v>395.750196483891</v>
      </c>
    </row>
    <row r="67" customFormat="false" ht="19.5" hidden="false" customHeight="true" outlineLevel="0" collapsed="false">
      <c r="A67" s="26" t="s">
        <v>336</v>
      </c>
      <c r="B67" s="81" t="n">
        <f aca="false">MIN(AJ63,AJ64)</f>
        <v>47612.6673977117</v>
      </c>
      <c r="C67" s="81" t="n">
        <f aca="false">$AJ$50-MIN(AJ63,AJ64)</f>
        <v>6435.31123041574</v>
      </c>
      <c r="D67" s="81" t="n">
        <f aca="false">MAX(AJ63,AJ64)-$AJ$50</f>
        <v>7722.37347649889</v>
      </c>
      <c r="E67" s="81" t="n">
        <f aca="false">MAX(AJ63,AJ64)</f>
        <v>61770.3521046263</v>
      </c>
      <c r="F67" s="160"/>
      <c r="I67" s="140" t="s">
        <v>358</v>
      </c>
      <c r="J67" s="122" t="n">
        <f aca="false">'1. Technology Description'!$B$10</f>
        <v>150</v>
      </c>
      <c r="K67" s="123" t="n">
        <f aca="false">($B$18+$B$19)*'2. Cost Inputs'!$B$5</f>
        <v>0.328767123287671</v>
      </c>
      <c r="L67" s="123" t="n">
        <f aca="false">'2. Cost Inputs'!$B$7</f>
        <v>0.1</v>
      </c>
      <c r="M67" s="124" t="n">
        <f aca="false">'2. Cost Inputs'!$D$40</f>
        <v>100</v>
      </c>
      <c r="N67" s="124" t="n">
        <f aca="false">'2. Cost Inputs'!$D$41</f>
        <v>1500</v>
      </c>
      <c r="O67" s="124" t="n">
        <f aca="false">'2. Cost Inputs'!$D$43</f>
        <v>7500000</v>
      </c>
      <c r="P67" s="123" t="n">
        <f aca="false">'2. Cost Inputs'!$B$35</f>
        <v>0.07</v>
      </c>
      <c r="Q67" s="125" t="n">
        <f aca="false">$B$58</f>
        <v>0.45</v>
      </c>
      <c r="R67" s="126" t="n">
        <f aca="false">((K67/'2. Cost Inputs'!$B$5-$B$19+$B$20)*'2. Cost Inputs'!$B$25+(K67/'2. Cost Inputs'!$B$5+$B$20)*'2. Cost Inputs'!$B$26)*365*'2. Cost Inputs'!$B$5</f>
        <v>2468400</v>
      </c>
      <c r="S67" s="124" t="n">
        <f aca="false">'2. Cost Inputs'!$D$31</f>
        <v>150000</v>
      </c>
      <c r="T67" s="127" t="n">
        <f aca="false">PI()/6*(J67*10^-9)^3*2160</f>
        <v>3.8170350741116E-018</v>
      </c>
      <c r="U67" s="128" t="n">
        <f aca="false">'1. Technology Description'!$B$8*'1. Technology Description'!$B$9*T67*86400*1000</f>
        <v>405.083305284303</v>
      </c>
      <c r="V67" s="127" t="n">
        <f aca="false">U67*365*K67/1000000</f>
        <v>0.0486099966341163</v>
      </c>
      <c r="W67" s="127" t="n">
        <f aca="false">'2. Cost Inputs'!$B$14*1000/'1. Technology Description'!$B$17</f>
        <v>8141.33355043556</v>
      </c>
      <c r="X67" s="126" t="n">
        <f aca="false">'2. Cost Inputs'!$B$14</f>
        <v>4168.36277782301</v>
      </c>
      <c r="Y67" s="126" t="n">
        <f aca="false">1</f>
        <v>1</v>
      </c>
      <c r="Z67" s="127" t="n">
        <f aca="false">W67*M67+X67*N67+Y67*'2. Cost Inputs'!$D$42+Y67*O67+Y67*'2. Cost Inputs'!$D$44</f>
        <v>44591677.5217781</v>
      </c>
      <c r="AA67" s="127" t="n">
        <f aca="false">Z67*(1+'2. Cost Inputs'!$B$49+'2. Cost Inputs'!$B$50+'2. Cost Inputs'!$B$52)+(W67*M67+X67*N67+Y67*'2. Cost Inputs'!$D$42)*'2. Cost Inputs'!$B$51</f>
        <v>72765019.5392005</v>
      </c>
      <c r="AB67" s="127" t="n">
        <f aca="false">(L67*(1+L67)^'2. Cost Inputs'!$B$6)/((1+L67)^'2. Cost Inputs'!$B$6-1)</f>
        <v>0.131473776887372</v>
      </c>
      <c r="AC67" s="127" t="n">
        <f aca="false">AA67*AB67</f>
        <v>9566691.94410213</v>
      </c>
      <c r="AD67" s="127" t="n">
        <f aca="false">'1. Technology Description'!$B$17*24/1000/(U67/1000000)</f>
        <v>30334.5011747049</v>
      </c>
      <c r="AE67" s="127" t="n">
        <f aca="false">AD67*Q67*AK67</f>
        <v>5402198.16005862</v>
      </c>
      <c r="AF67" s="127" t="n">
        <f aca="false">Y67*'2. Cost Inputs'!$B$31*S67</f>
        <v>900000</v>
      </c>
      <c r="AG67" s="127" t="n">
        <f aca="false">AA67*P67</f>
        <v>5093551.36774404</v>
      </c>
      <c r="AH67" s="127" t="n">
        <f aca="false">R67*'2. Cost Inputs'!$D$25*Y67</f>
        <v>2221560</v>
      </c>
      <c r="AI67" s="127" t="n">
        <f aca="false">AC67+AE67+AF67+AG67+AH67+(('1. Technology Description'!$B$24/(U67/1000000)/1000)*'1. Technology Description'!$B$26*'2. Cost Inputs'!$D$28*AK67)</f>
        <v>23190230.8816581</v>
      </c>
      <c r="AJ67" s="129" t="n">
        <f aca="false">AI67/AK67</f>
        <v>58598.1538043331</v>
      </c>
      <c r="AK67" s="130" t="n">
        <f aca="false">W67*V67</f>
        <v>395.750196483891</v>
      </c>
    </row>
    <row r="68" customFormat="false" ht="19.5" hidden="false" customHeight="true" outlineLevel="0" collapsed="false">
      <c r="A68" s="26" t="s">
        <v>332</v>
      </c>
      <c r="B68" s="81" t="n">
        <f aca="false">MIN(AJ61,AJ62)</f>
        <v>41829.7392229228</v>
      </c>
      <c r="C68" s="81" t="n">
        <f aca="false">$AJ$50-MIN(AJ61,AJ62)</f>
        <v>12218.2394052046</v>
      </c>
      <c r="D68" s="81" t="n">
        <f aca="false">MAX(AJ61,AJ62)-$AJ$50</f>
        <v>15272.7992565057</v>
      </c>
      <c r="E68" s="81" t="n">
        <f aca="false">MAX(AJ61,AJ62)</f>
        <v>69320.7778846332</v>
      </c>
      <c r="F68" s="160"/>
      <c r="I68" s="140" t="s">
        <v>359</v>
      </c>
      <c r="J68" s="122" t="n">
        <f aca="false">'1. Technology Description'!$B$10</f>
        <v>150</v>
      </c>
      <c r="K68" s="123" t="n">
        <f aca="false">($B$18+$B$19)*'2. Cost Inputs'!$B$5</f>
        <v>0.328767123287671</v>
      </c>
      <c r="L68" s="123" t="n">
        <f aca="false">'2. Cost Inputs'!$B$7</f>
        <v>0.1</v>
      </c>
      <c r="M68" s="124" t="n">
        <f aca="false">'2. Cost Inputs'!$D$40</f>
        <v>100</v>
      </c>
      <c r="N68" s="124" t="n">
        <f aca="false">'2. Cost Inputs'!$D$41</f>
        <v>1500</v>
      </c>
      <c r="O68" s="124" t="n">
        <f aca="false">'2. Cost Inputs'!$D$43</f>
        <v>7500000</v>
      </c>
      <c r="P68" s="123" t="n">
        <f aca="false">'2. Cost Inputs'!$B$35</f>
        <v>0.07</v>
      </c>
      <c r="Q68" s="125" t="n">
        <f aca="false">$D$58</f>
        <v>0.18</v>
      </c>
      <c r="R68" s="126" t="n">
        <f aca="false">((K68/'2. Cost Inputs'!$B$5-$B$19+$B$20)*'2. Cost Inputs'!$B$25+(K68/'2. Cost Inputs'!$B$5+$B$20)*'2. Cost Inputs'!$B$26)*365*'2. Cost Inputs'!$B$5</f>
        <v>2468400</v>
      </c>
      <c r="S68" s="124" t="n">
        <f aca="false">'2. Cost Inputs'!$D$31</f>
        <v>150000</v>
      </c>
      <c r="T68" s="127" t="n">
        <f aca="false">PI()/6*(J68*10^-9)^3*2160</f>
        <v>3.8170350741116E-018</v>
      </c>
      <c r="U68" s="128" t="n">
        <f aca="false">'1. Technology Description'!$B$8*'1. Technology Description'!$B$9*T68*86400*1000</f>
        <v>405.083305284303</v>
      </c>
      <c r="V68" s="127" t="n">
        <f aca="false">U68*365*K68/1000000</f>
        <v>0.0486099966341163</v>
      </c>
      <c r="W68" s="127" t="n">
        <f aca="false">'2. Cost Inputs'!$B$14*1000/'1. Technology Description'!$B$17</f>
        <v>8141.33355043556</v>
      </c>
      <c r="X68" s="126" t="n">
        <f aca="false">'2. Cost Inputs'!$B$14</f>
        <v>4168.36277782301</v>
      </c>
      <c r="Y68" s="126" t="n">
        <f aca="false">1</f>
        <v>1</v>
      </c>
      <c r="Z68" s="127" t="n">
        <f aca="false">W68*M68+X68*N68+Y68*'2. Cost Inputs'!$D$42+Y68*O68+Y68*'2. Cost Inputs'!$D$44</f>
        <v>44591677.5217781</v>
      </c>
      <c r="AA68" s="127" t="n">
        <f aca="false">Z68*(1+'2. Cost Inputs'!$B$49+'2. Cost Inputs'!$B$50+'2. Cost Inputs'!$B$52)+(W68*M68+X68*N68+Y68*'2. Cost Inputs'!$D$42)*'2. Cost Inputs'!$B$51</f>
        <v>72765019.5392005</v>
      </c>
      <c r="AB68" s="127" t="n">
        <f aca="false">(L68*(1+L68)^'2. Cost Inputs'!$B$6)/((1+L68)^'2. Cost Inputs'!$B$6-1)</f>
        <v>0.131473776887372</v>
      </c>
      <c r="AC68" s="127" t="n">
        <f aca="false">AA68*AB68</f>
        <v>9566691.94410213</v>
      </c>
      <c r="AD68" s="127" t="n">
        <f aca="false">'1. Technology Description'!$B$17*24/1000/(U68/1000000)</f>
        <v>30334.5011747049</v>
      </c>
      <c r="AE68" s="127" t="n">
        <f aca="false">AD68*Q68*AK68</f>
        <v>2160879.26402345</v>
      </c>
      <c r="AF68" s="127" t="n">
        <f aca="false">Y68*'2. Cost Inputs'!$B$31*S68</f>
        <v>900000</v>
      </c>
      <c r="AG68" s="127" t="n">
        <f aca="false">AA68*P68</f>
        <v>5093551.36774404</v>
      </c>
      <c r="AH68" s="127" t="n">
        <f aca="false">R68*'2. Cost Inputs'!$D$25*Y68</f>
        <v>2221560</v>
      </c>
      <c r="AI68" s="127" t="n">
        <f aca="false">AC68+AE68+AF68+AG68+AH68+(('1. Technology Description'!$B$24/(U68/1000000)/1000)*'1. Technology Description'!$B$26*'2. Cost Inputs'!$D$28*AK68)</f>
        <v>19948911.9856229</v>
      </c>
      <c r="AJ68" s="129" t="n">
        <f aca="false">AI68/AK68</f>
        <v>50407.8384871628</v>
      </c>
      <c r="AK68" s="130" t="n">
        <f aca="false">W68*V68</f>
        <v>395.750196483891</v>
      </c>
    </row>
    <row r="69" customFormat="false" ht="19.5" hidden="false" customHeight="true" outlineLevel="0" collapsed="false">
      <c r="A69" s="26" t="s">
        <v>329</v>
      </c>
      <c r="B69" s="81" t="n">
        <f aca="false">MIN(AJ59,AJ60)</f>
        <v>53376.5374819487</v>
      </c>
      <c r="C69" s="81" t="n">
        <f aca="false">$AJ$50-MIN(AJ59,AJ60)</f>
        <v>671.441146178702</v>
      </c>
      <c r="D69" s="81" t="n">
        <f aca="false">MAX(AJ59,AJ60)-$AJ$50</f>
        <v>6714.4114617871</v>
      </c>
      <c r="E69" s="81" t="n">
        <f aca="false">MAX(AJ59,AJ60)</f>
        <v>60762.3900899145</v>
      </c>
      <c r="F69" s="160"/>
      <c r="I69" s="140" t="s">
        <v>360</v>
      </c>
      <c r="J69" s="122" t="n">
        <f aca="false">'1. Technology Description'!$B$10</f>
        <v>150</v>
      </c>
      <c r="K69" s="123" t="n">
        <f aca="false">($B$18+$B$19)*'2. Cost Inputs'!$B$5</f>
        <v>0.328767123287671</v>
      </c>
      <c r="L69" s="123" t="n">
        <f aca="false">'2. Cost Inputs'!$B$7</f>
        <v>0.1</v>
      </c>
      <c r="M69" s="124" t="n">
        <f aca="false">'2. Cost Inputs'!$D$40</f>
        <v>100</v>
      </c>
      <c r="N69" s="124" t="n">
        <f aca="false">$B$59</f>
        <v>2250</v>
      </c>
      <c r="O69" s="124" t="n">
        <f aca="false">'2. Cost Inputs'!$D$43</f>
        <v>7500000</v>
      </c>
      <c r="P69" s="123" t="n">
        <f aca="false">'2. Cost Inputs'!$B$35</f>
        <v>0.07</v>
      </c>
      <c r="Q69" s="125" t="n">
        <f aca="false">'2. Cost Inputs'!$D$24</f>
        <v>0.3</v>
      </c>
      <c r="R69" s="126" t="n">
        <f aca="false">((K69/'2. Cost Inputs'!$B$5-$B$19+$B$20)*'2. Cost Inputs'!$B$25+(K69/'2. Cost Inputs'!$B$5+$B$20)*'2. Cost Inputs'!$B$26)*365*'2. Cost Inputs'!$B$5</f>
        <v>2468400</v>
      </c>
      <c r="S69" s="124" t="n">
        <f aca="false">'2. Cost Inputs'!$D$31</f>
        <v>150000</v>
      </c>
      <c r="T69" s="127" t="n">
        <f aca="false">PI()/6*(J69*10^-9)^3*2160</f>
        <v>3.8170350741116E-018</v>
      </c>
      <c r="U69" s="128" t="n">
        <f aca="false">'1. Technology Description'!$B$8*'1. Technology Description'!$B$9*T69*86400*1000</f>
        <v>405.083305284303</v>
      </c>
      <c r="V69" s="127" t="n">
        <f aca="false">U69*365*K69/1000000</f>
        <v>0.0486099966341163</v>
      </c>
      <c r="W69" s="127" t="n">
        <f aca="false">'2. Cost Inputs'!$B$14*1000/'1. Technology Description'!$B$17</f>
        <v>8141.33355043556</v>
      </c>
      <c r="X69" s="126" t="n">
        <f aca="false">'2. Cost Inputs'!$B$14</f>
        <v>4168.36277782301</v>
      </c>
      <c r="Y69" s="126" t="n">
        <f aca="false">1</f>
        <v>1</v>
      </c>
      <c r="Z69" s="127" t="n">
        <f aca="false">W69*M69+X69*N69+Y69*'2. Cost Inputs'!$D$42+Y69*O69+Y69*'2. Cost Inputs'!$D$44</f>
        <v>47717949.6051453</v>
      </c>
      <c r="AA69" s="127" t="n">
        <f aca="false">Z69*(1+'2. Cost Inputs'!$B$49+'2. Cost Inputs'!$B$50+'2. Cost Inputs'!$B$52)+(W69*M69+X69*N69+Y69*'2. Cost Inputs'!$D$42)*'2. Cost Inputs'!$B$51</f>
        <v>78392309.2892616</v>
      </c>
      <c r="AB69" s="127" t="n">
        <f aca="false">(L69*(1+L69)^'2. Cost Inputs'!$B$6)/((1+L69)^'2. Cost Inputs'!$B$6-1)</f>
        <v>0.131473776887372</v>
      </c>
      <c r="AC69" s="127" t="n">
        <f aca="false">AA69*AB69</f>
        <v>10306532.9811822</v>
      </c>
      <c r="AD69" s="127" t="n">
        <f aca="false">'1. Technology Description'!$B$17*24/1000/(U69/1000000)</f>
        <v>30334.5011747049</v>
      </c>
      <c r="AE69" s="127" t="n">
        <f aca="false">AD69*Q69*AK69</f>
        <v>3601465.44003908</v>
      </c>
      <c r="AF69" s="127" t="n">
        <f aca="false">Y69*'2. Cost Inputs'!$B$31*S69</f>
        <v>900000</v>
      </c>
      <c r="AG69" s="127" t="n">
        <f aca="false">AA69*P69</f>
        <v>5487461.65024831</v>
      </c>
      <c r="AH69" s="127" t="n">
        <f aca="false">R69*'2. Cost Inputs'!$D$25*Y69</f>
        <v>2221560</v>
      </c>
      <c r="AI69" s="127" t="n">
        <f aca="false">AC69+AE69+AF69+AG69+AH69+(('1. Technology Description'!$B$24/(U69/1000000)/1000)*'1. Technology Description'!$B$26*'2. Cost Inputs'!$D$28*AK69)</f>
        <v>22523249.481223</v>
      </c>
      <c r="AJ69" s="129" t="n">
        <f aca="false">AI69/AK69</f>
        <v>56912.7941851566</v>
      </c>
      <c r="AK69" s="130" t="n">
        <f aca="false">W69*V69</f>
        <v>395.750196483891</v>
      </c>
    </row>
    <row r="70" customFormat="false" ht="19.5" hidden="false" customHeight="true" outlineLevel="0" collapsed="false">
      <c r="A70" s="26" t="s">
        <v>327</v>
      </c>
      <c r="B70" s="81" t="n">
        <f aca="false">MIN(AJ57,AJ58)</f>
        <v>44856.7474782244</v>
      </c>
      <c r="C70" s="81" t="n">
        <f aca="false">$AJ$50-MIN(AJ57,AJ58)</f>
        <v>9191.23114990298</v>
      </c>
      <c r="D70" s="81" t="n">
        <f aca="false">MAX(AJ57,AJ58)-$AJ$50</f>
        <v>26552.4455441642</v>
      </c>
      <c r="E70" s="81" t="n">
        <f aca="false">MAX(AJ57,AJ58)</f>
        <v>80600.4241722916</v>
      </c>
      <c r="F70" s="160"/>
      <c r="I70" s="140" t="s">
        <v>361</v>
      </c>
      <c r="J70" s="122" t="n">
        <f aca="false">'1. Technology Description'!$B$10</f>
        <v>150</v>
      </c>
      <c r="K70" s="123" t="n">
        <f aca="false">($B$18+$B$19)*'2. Cost Inputs'!$B$5</f>
        <v>0.328767123287671</v>
      </c>
      <c r="L70" s="123" t="n">
        <f aca="false">'2. Cost Inputs'!$B$7</f>
        <v>0.1</v>
      </c>
      <c r="M70" s="124" t="n">
        <f aca="false">'2. Cost Inputs'!$D$40</f>
        <v>100</v>
      </c>
      <c r="N70" s="124" t="n">
        <f aca="false">$D$59</f>
        <v>900</v>
      </c>
      <c r="O70" s="124" t="n">
        <f aca="false">'2. Cost Inputs'!$D$43</f>
        <v>7500000</v>
      </c>
      <c r="P70" s="123" t="n">
        <f aca="false">'2. Cost Inputs'!$B$35</f>
        <v>0.07</v>
      </c>
      <c r="Q70" s="125" t="n">
        <f aca="false">'2. Cost Inputs'!$D$24</f>
        <v>0.3</v>
      </c>
      <c r="R70" s="126" t="n">
        <f aca="false">((K70/'2. Cost Inputs'!$B$5-$B$19+$B$20)*'2. Cost Inputs'!$B$25+(K70/'2. Cost Inputs'!$B$5+$B$20)*'2. Cost Inputs'!$B$26)*365*'2. Cost Inputs'!$B$5</f>
        <v>2468400</v>
      </c>
      <c r="S70" s="124" t="n">
        <f aca="false">'2. Cost Inputs'!$D$31</f>
        <v>150000</v>
      </c>
      <c r="T70" s="127" t="n">
        <f aca="false">PI()/6*(J70*10^-9)^3*2160</f>
        <v>3.8170350741116E-018</v>
      </c>
      <c r="U70" s="128" t="n">
        <f aca="false">'1. Technology Description'!$B$8*'1. Technology Description'!$B$9*T70*86400*1000</f>
        <v>405.083305284303</v>
      </c>
      <c r="V70" s="127" t="n">
        <f aca="false">U70*365*K70/1000000</f>
        <v>0.0486099966341163</v>
      </c>
      <c r="W70" s="127" t="n">
        <f aca="false">'2. Cost Inputs'!$B$14*1000/'1. Technology Description'!$B$17</f>
        <v>8141.33355043556</v>
      </c>
      <c r="X70" s="126" t="n">
        <f aca="false">'2. Cost Inputs'!$B$14</f>
        <v>4168.36277782301</v>
      </c>
      <c r="Y70" s="126" t="n">
        <f aca="false">1</f>
        <v>1</v>
      </c>
      <c r="Z70" s="127" t="n">
        <f aca="false">W70*M70+X70*N70+Y70*'2. Cost Inputs'!$D$42+Y70*O70+Y70*'2. Cost Inputs'!$D$44</f>
        <v>42090659.8550843</v>
      </c>
      <c r="AA70" s="127" t="n">
        <f aca="false">Z70*(1+'2. Cost Inputs'!$B$49+'2. Cost Inputs'!$B$50+'2. Cost Inputs'!$B$52)+(W70*M70+X70*N70+Y70*'2. Cost Inputs'!$D$42)*'2. Cost Inputs'!$B$51</f>
        <v>68263187.7391517</v>
      </c>
      <c r="AB70" s="127" t="n">
        <f aca="false">(L70*(1+L70)^'2. Cost Inputs'!$B$6)/((1+L70)^'2. Cost Inputs'!$B$6-1)</f>
        <v>0.131473776887372</v>
      </c>
      <c r="AC70" s="127" t="n">
        <f aca="false">AA70*AB70</f>
        <v>8974819.11443803</v>
      </c>
      <c r="AD70" s="127" t="n">
        <f aca="false">'1. Technology Description'!$B$17*24/1000/(U70/1000000)</f>
        <v>30334.5011747049</v>
      </c>
      <c r="AE70" s="127" t="n">
        <f aca="false">AD70*Q70*AK70</f>
        <v>3601465.44003908</v>
      </c>
      <c r="AF70" s="127" t="n">
        <f aca="false">Y70*'2. Cost Inputs'!$B$31*S70</f>
        <v>900000</v>
      </c>
      <c r="AG70" s="127" t="n">
        <f aca="false">AA70*P70</f>
        <v>4778423.14174062</v>
      </c>
      <c r="AH70" s="127" t="n">
        <f aca="false">R70*'2. Cost Inputs'!$D$25*Y70</f>
        <v>2221560</v>
      </c>
      <c r="AI70" s="127" t="n">
        <f aca="false">AC70+AE70+AF70+AG70+AH70+(('1. Technology Description'!$B$24/(U70/1000000)/1000)*'1. Technology Description'!$B$26*'2. Cost Inputs'!$D$28*AK70)</f>
        <v>20482497.105971</v>
      </c>
      <c r="AJ70" s="129" t="n">
        <f aca="false">AI70/AK70</f>
        <v>51756.1261825041</v>
      </c>
      <c r="AK70" s="130" t="n">
        <f aca="false">W70*V70</f>
        <v>395.750196483891</v>
      </c>
    </row>
    <row r="71" customFormat="false" ht="19.5" hidden="false" customHeight="true" outlineLevel="0" collapsed="false">
      <c r="A71" s="26" t="s">
        <v>324</v>
      </c>
      <c r="B71" s="81" t="n">
        <f aca="false">MIN(AJ55,AJ56)</f>
        <v>53365.7300723494</v>
      </c>
      <c r="C71" s="81" t="n">
        <f aca="false">$AJ$50-MIN(AJ55,AJ56)</f>
        <v>682.248555778017</v>
      </c>
      <c r="D71" s="81" t="n">
        <f aca="false">MAX(AJ55,AJ56)-$AJ$50</f>
        <v>909.664741037348</v>
      </c>
      <c r="E71" s="81" t="n">
        <f aca="false">MAX(AJ55,AJ56)</f>
        <v>54957.6433691648</v>
      </c>
      <c r="F71" s="160"/>
      <c r="I71" s="140" t="s">
        <v>362</v>
      </c>
      <c r="J71" s="122" t="n">
        <f aca="false">'1. Technology Description'!$B$10</f>
        <v>150</v>
      </c>
      <c r="K71" s="123" t="n">
        <f aca="false">($B$18+$B$19)*'2. Cost Inputs'!$B$5</f>
        <v>0.328767123287671</v>
      </c>
      <c r="L71" s="123" t="n">
        <f aca="false">'2. Cost Inputs'!$B$7</f>
        <v>0.1</v>
      </c>
      <c r="M71" s="124" t="n">
        <f aca="false">'2. Cost Inputs'!$D$40</f>
        <v>100</v>
      </c>
      <c r="N71" s="124" t="n">
        <f aca="false">'2. Cost Inputs'!$D$41</f>
        <v>1500</v>
      </c>
      <c r="O71" s="124" t="n">
        <f aca="false">'2. Cost Inputs'!$D$43</f>
        <v>7500000</v>
      </c>
      <c r="P71" s="123" t="n">
        <f aca="false">'2. Cost Inputs'!$B$35</f>
        <v>0.07</v>
      </c>
      <c r="Q71" s="125" t="n">
        <f aca="false">'2. Cost Inputs'!$D$24</f>
        <v>0.3</v>
      </c>
      <c r="R71" s="126" t="n">
        <f aca="false">((K71/'2. Cost Inputs'!$B$5-$B$19+$B$20)*'2. Cost Inputs'!$B$25+(K71/'2. Cost Inputs'!$B$5+$B$20)*'2. Cost Inputs'!$B$26)*365*'2. Cost Inputs'!$B$5</f>
        <v>2468400</v>
      </c>
      <c r="S71" s="124" t="n">
        <f aca="false">'2. Cost Inputs'!$D$31</f>
        <v>150000</v>
      </c>
      <c r="T71" s="127" t="n">
        <f aca="false">PI()/6*(J71*10^-9)^3*2160</f>
        <v>3.8170350741116E-018</v>
      </c>
      <c r="U71" s="128" t="n">
        <f aca="false">$B$50*'1. Technology Description'!$B$9*T71*86400*1000</f>
        <v>344.320809491657</v>
      </c>
      <c r="V71" s="127" t="n">
        <f aca="false">U71*365*K71/1000000</f>
        <v>0.0413184971389989</v>
      </c>
      <c r="W71" s="127" t="n">
        <f aca="false">'2. Cost Inputs'!$B$14*1000/'1. Technology Description'!$B$17</f>
        <v>8141.33355043556</v>
      </c>
      <c r="X71" s="126" t="n">
        <f aca="false">'2. Cost Inputs'!$B$14</f>
        <v>4168.36277782301</v>
      </c>
      <c r="Y71" s="126" t="n">
        <f aca="false">1</f>
        <v>1</v>
      </c>
      <c r="Z71" s="127" t="n">
        <f aca="false">W71*M71+X71*N71+Y71*'2. Cost Inputs'!$D$42+Y71*O71+Y71*'2. Cost Inputs'!$D$44</f>
        <v>44591677.5217781</v>
      </c>
      <c r="AA71" s="127" t="n">
        <f aca="false">Z71*(1+'2. Cost Inputs'!$B$49+'2. Cost Inputs'!$B$50+'2. Cost Inputs'!$B$52)+(W71*M71+X71*N71+Y71*'2. Cost Inputs'!$D$42)*'2. Cost Inputs'!$B$51</f>
        <v>72765019.5392005</v>
      </c>
      <c r="AB71" s="127" t="n">
        <f aca="false">(L71*(1+L71)^'2. Cost Inputs'!$B$6)/((1+L71)^'2. Cost Inputs'!$B$6-1)</f>
        <v>0.131473776887372</v>
      </c>
      <c r="AC71" s="127" t="n">
        <f aca="false">AA71*AB71</f>
        <v>9566691.94410213</v>
      </c>
      <c r="AD71" s="127" t="n">
        <f aca="false">'1. Technology Description'!$B$17*24/1000/(U71/1000000)</f>
        <v>35687.6484408292</v>
      </c>
      <c r="AE71" s="127" t="n">
        <f aca="false">AD71*Q71*AK71</f>
        <v>3601465.44003908</v>
      </c>
      <c r="AF71" s="127" t="n">
        <f aca="false">Y71*'2. Cost Inputs'!$B$31*S71</f>
        <v>900000</v>
      </c>
      <c r="AG71" s="127" t="n">
        <f aca="false">AA71*P71</f>
        <v>5093551.36774404</v>
      </c>
      <c r="AH71" s="127" t="n">
        <f aca="false">R71*'2. Cost Inputs'!$D$25*Y71</f>
        <v>2221560</v>
      </c>
      <c r="AI71" s="127" t="n">
        <f aca="false">AC71+AE71+AF71+AG71+AH71+(('1. Technology Description'!$B$24/(U71/1000000)/1000)*'1. Technology Description'!$B$26*'2. Cost Inputs'!$D$28*AK71)</f>
        <v>21389498.1616386</v>
      </c>
      <c r="AJ71" s="129" t="n">
        <f aca="false">AI71/AK71</f>
        <v>63585.8572095617</v>
      </c>
      <c r="AK71" s="130" t="n">
        <f aca="false">W71*V71</f>
        <v>336.387667011307</v>
      </c>
    </row>
    <row r="72" customFormat="false" ht="19.5" hidden="false" customHeight="true" outlineLevel="0" collapsed="false">
      <c r="A72" s="26" t="s">
        <v>321</v>
      </c>
      <c r="B72" s="81" t="n">
        <f aca="false">MIN(AJ53,AJ54)</f>
        <v>51241.2080696567</v>
      </c>
      <c r="C72" s="81" t="n">
        <f aca="false">$AJ$50-MIN(AJ53,AJ54)</f>
        <v>2806.77055847075</v>
      </c>
      <c r="D72" s="81" t="n">
        <f aca="false">MAX(AJ53,AJ54)-$AJ$50</f>
        <v>2806.77055847075</v>
      </c>
      <c r="E72" s="81" t="n">
        <f aca="false">MAX(AJ53,AJ54)</f>
        <v>56854.7491865982</v>
      </c>
      <c r="F72" s="160"/>
      <c r="I72" s="140" t="s">
        <v>363</v>
      </c>
      <c r="J72" s="122" t="n">
        <f aca="false">'1. Technology Description'!$B$10</f>
        <v>150</v>
      </c>
      <c r="K72" s="123" t="n">
        <f aca="false">($B$18+$B$19)*'2. Cost Inputs'!$B$5</f>
        <v>0.328767123287671</v>
      </c>
      <c r="L72" s="123" t="n">
        <f aca="false">'2. Cost Inputs'!$B$7</f>
        <v>0.1</v>
      </c>
      <c r="M72" s="124" t="n">
        <f aca="false">'2. Cost Inputs'!$D$40</f>
        <v>100</v>
      </c>
      <c r="N72" s="124" t="n">
        <f aca="false">'2. Cost Inputs'!$D$41</f>
        <v>1500</v>
      </c>
      <c r="O72" s="124" t="n">
        <f aca="false">'2. Cost Inputs'!$D$43</f>
        <v>7500000</v>
      </c>
      <c r="P72" s="123" t="n">
        <f aca="false">'2. Cost Inputs'!$B$35</f>
        <v>0.07</v>
      </c>
      <c r="Q72" s="125" t="n">
        <f aca="false">'2. Cost Inputs'!$D$24</f>
        <v>0.3</v>
      </c>
      <c r="R72" s="126" t="n">
        <f aca="false">((K72/'2. Cost Inputs'!$B$5-$B$19+$B$20)*'2. Cost Inputs'!$B$25+(K72/'2. Cost Inputs'!$B$5+$B$20)*'2. Cost Inputs'!$B$26)*365*'2. Cost Inputs'!$B$5</f>
        <v>2468400</v>
      </c>
      <c r="S72" s="124" t="n">
        <f aca="false">'2. Cost Inputs'!$D$31</f>
        <v>150000</v>
      </c>
      <c r="T72" s="127" t="n">
        <f aca="false">PI()/6*(J72*10^-9)^3*2160</f>
        <v>3.8170350741116E-018</v>
      </c>
      <c r="U72" s="128" t="n">
        <f aca="false">$D$50*'1. Technology Description'!$B$9*T72*86400*1000</f>
        <v>465.845801076948</v>
      </c>
      <c r="V72" s="127" t="n">
        <f aca="false">U72*365*K72/1000000</f>
        <v>0.0559014961292337</v>
      </c>
      <c r="W72" s="127" t="n">
        <f aca="false">'2. Cost Inputs'!$B$14*1000/'1. Technology Description'!$B$17</f>
        <v>8141.33355043556</v>
      </c>
      <c r="X72" s="126" t="n">
        <f aca="false">'2. Cost Inputs'!$B$14</f>
        <v>4168.36277782301</v>
      </c>
      <c r="Y72" s="126" t="n">
        <f aca="false">1</f>
        <v>1</v>
      </c>
      <c r="Z72" s="127" t="n">
        <f aca="false">W72*M72+X72*N72+Y72*'2. Cost Inputs'!$D$42+Y72*O72+Y72*'2. Cost Inputs'!$D$44</f>
        <v>44591677.5217781</v>
      </c>
      <c r="AA72" s="127" t="n">
        <f aca="false">Z72*(1+'2. Cost Inputs'!$B$49+'2. Cost Inputs'!$B$50+'2. Cost Inputs'!$B$52)+(W72*M72+X72*N72+Y72*'2. Cost Inputs'!$D$42)*'2. Cost Inputs'!$B$51</f>
        <v>72765019.5392005</v>
      </c>
      <c r="AB72" s="127" t="n">
        <f aca="false">(L72*(1+L72)^'2. Cost Inputs'!$B$6)/((1+L72)^'2. Cost Inputs'!$B$6-1)</f>
        <v>0.131473776887372</v>
      </c>
      <c r="AC72" s="127" t="n">
        <f aca="false">AA72*AB72</f>
        <v>9566691.94410213</v>
      </c>
      <c r="AD72" s="127" t="n">
        <f aca="false">'1. Technology Description'!$B$17*24/1000/(U72/1000000)</f>
        <v>26377.827108439</v>
      </c>
      <c r="AE72" s="127" t="n">
        <f aca="false">AD72*Q72*AK72</f>
        <v>3601465.44003908</v>
      </c>
      <c r="AF72" s="127" t="n">
        <f aca="false">Y72*'2. Cost Inputs'!$B$31*S72</f>
        <v>900000</v>
      </c>
      <c r="AG72" s="127" t="n">
        <f aca="false">AA72*P72</f>
        <v>5093551.36774404</v>
      </c>
      <c r="AH72" s="127" t="n">
        <f aca="false">R72*'2. Cost Inputs'!$D$25*Y72</f>
        <v>2221560</v>
      </c>
      <c r="AI72" s="127" t="n">
        <f aca="false">AC72+AE72+AF72+AG72+AH72+(('1. Technology Description'!$B$24/(U72/1000000)/1000)*'1. Technology Description'!$B$26*'2. Cost Inputs'!$D$28*AK72)</f>
        <v>21389498.1616386</v>
      </c>
      <c r="AJ72" s="129" t="n">
        <f aca="false">AI72/AK72</f>
        <v>46998.2422853282</v>
      </c>
      <c r="AK72" s="130" t="n">
        <f aca="false">W72*V72</f>
        <v>455.112725956474</v>
      </c>
    </row>
    <row r="73" customFormat="false" ht="19.5" hidden="false" customHeight="true" outlineLevel="0" collapsed="false">
      <c r="A73" s="26" t="s">
        <v>319</v>
      </c>
      <c r="B73" s="81" t="n">
        <f aca="false">MIN(AJ71,AJ72)</f>
        <v>46998.2422853282</v>
      </c>
      <c r="C73" s="81" t="n">
        <f aca="false">$AJ$50-MIN(AJ71,AJ72)</f>
        <v>7049.73634279921</v>
      </c>
      <c r="D73" s="81" t="n">
        <f aca="false">MAX(AJ71,AJ72)-$AJ$50</f>
        <v>9537.87858143427</v>
      </c>
      <c r="E73" s="81" t="n">
        <f aca="false">MAX(AJ71,AJ72)</f>
        <v>63585.8572095617</v>
      </c>
      <c r="F73" s="160"/>
      <c r="I73" s="140" t="s">
        <v>364</v>
      </c>
      <c r="J73" s="122"/>
      <c r="K73" s="123"/>
      <c r="L73" s="123"/>
      <c r="M73" s="124"/>
      <c r="N73" s="124"/>
      <c r="O73" s="124"/>
      <c r="P73" s="123"/>
      <c r="Q73" s="125"/>
      <c r="R73" s="126"/>
      <c r="S73" s="124"/>
      <c r="T73" s="127"/>
      <c r="U73" s="127"/>
      <c r="V73" s="127"/>
      <c r="W73" s="127"/>
      <c r="X73" s="127"/>
      <c r="Y73" s="127"/>
      <c r="Z73" s="127"/>
      <c r="AA73" s="127"/>
      <c r="AB73" s="127"/>
      <c r="AC73" s="127"/>
      <c r="AD73" s="127"/>
      <c r="AE73" s="127"/>
      <c r="AF73" s="127"/>
      <c r="AG73" s="127"/>
      <c r="AH73" s="127"/>
      <c r="AI73" s="127"/>
      <c r="AJ73" s="129"/>
    </row>
    <row r="74" customFormat="false" ht="19.5" hidden="false" customHeight="true" outlineLevel="0" collapsed="false">
      <c r="A74" s="26" t="s">
        <v>307</v>
      </c>
      <c r="B74" s="81" t="n">
        <f aca="false">MIN(AJ51,AJ52)</f>
        <v>6090.40569501662</v>
      </c>
      <c r="C74" s="81" t="n">
        <f aca="false">$AJ$50-MIN(AJ51,AJ52)</f>
        <v>47957.5729331108</v>
      </c>
      <c r="D74" s="81" t="n">
        <f aca="false">MAX(AJ51,AJ52)-$AJ$50</f>
        <v>26643.0960739504</v>
      </c>
      <c r="E74" s="81" t="n">
        <f aca="false">MAX(AJ51,AJ52)</f>
        <v>80691.0747020779</v>
      </c>
      <c r="F74" s="160"/>
      <c r="I74" s="140" t="s">
        <v>365</v>
      </c>
      <c r="J74" s="122"/>
      <c r="K74" s="123"/>
      <c r="L74" s="123"/>
      <c r="M74" s="124"/>
      <c r="N74" s="124"/>
      <c r="O74" s="124"/>
      <c r="P74" s="123"/>
      <c r="Q74" s="125"/>
      <c r="R74" s="126"/>
      <c r="S74" s="124"/>
      <c r="T74" s="127"/>
      <c r="U74" s="127"/>
      <c r="V74" s="127"/>
      <c r="W74" s="127"/>
      <c r="X74" s="127"/>
      <c r="Y74" s="127"/>
      <c r="Z74" s="127"/>
      <c r="AA74" s="127"/>
      <c r="AB74" s="127"/>
      <c r="AC74" s="127"/>
      <c r="AD74" s="127"/>
      <c r="AE74" s="127"/>
      <c r="AF74" s="127"/>
      <c r="AG74" s="127"/>
      <c r="AH74" s="127"/>
      <c r="AI74" s="127"/>
      <c r="AJ74" s="129"/>
    </row>
    <row r="75" customFormat="false" ht="15" hidden="false" customHeight="true" outlineLevel="0" collapsed="false">
      <c r="A75" s="26"/>
      <c r="B75" s="81"/>
      <c r="C75" s="81"/>
      <c r="D75" s="81"/>
      <c r="E75" s="81"/>
      <c r="F75" s="160"/>
      <c r="J75" s="161"/>
      <c r="AJ75" s="103"/>
    </row>
    <row r="76" customFormat="false" ht="15" hidden="false" customHeight="false" outlineLevel="0" collapsed="false">
      <c r="F76" s="103"/>
      <c r="J76" s="161"/>
      <c r="AJ76" s="103"/>
    </row>
    <row r="82" customFormat="false" ht="18" hidden="false" customHeight="true" outlineLevel="0" collapsed="false"/>
    <row r="83" customFormat="false" ht="15" hidden="false" customHeight="true" outlineLevel="0" collapsed="false"/>
    <row r="95" customFormat="false" ht="15" hidden="false" customHeight="true" outlineLevel="0" collapsed="false"/>
    <row r="96" customFormat="false" ht="15" hidden="false" customHeight="true" outlineLevel="0" collapsed="false">
      <c r="A96" s="162"/>
    </row>
    <row r="97" customFormat="false" ht="15" hidden="false" customHeight="true" outlineLevel="0" collapsed="false">
      <c r="A97" s="163"/>
    </row>
    <row r="98" customFormat="false" ht="15" hidden="false" customHeight="true" outlineLevel="0" collapsed="false"/>
    <row r="99" customFormat="false" ht="15" hidden="false" customHeight="true" outlineLevel="0" collapsed="false">
      <c r="A99" s="102"/>
      <c r="B99" s="102"/>
      <c r="C99" s="102"/>
      <c r="D99" s="102"/>
    </row>
    <row r="100" customFormat="false" ht="15" hidden="false" customHeight="true" outlineLevel="0" collapsed="false">
      <c r="B100" s="103"/>
      <c r="C100" s="103"/>
      <c r="D100" s="103"/>
    </row>
    <row r="101" customFormat="false" ht="15" hidden="false" customHeight="true" outlineLevel="0" collapsed="false">
      <c r="B101" s="103"/>
      <c r="C101" s="103"/>
      <c r="D101" s="103"/>
    </row>
    <row r="102" customFormat="false" ht="15" hidden="false" customHeight="true" outlineLevel="0" collapsed="false">
      <c r="B102" s="104"/>
      <c r="C102" s="104"/>
      <c r="D102" s="104"/>
    </row>
    <row r="103" customFormat="false" ht="15" hidden="false" customHeight="true" outlineLevel="0" collapsed="false">
      <c r="B103" s="105"/>
      <c r="C103" s="105"/>
      <c r="D103" s="105"/>
    </row>
    <row r="104" customFormat="false" ht="15" hidden="false" customHeight="true" outlineLevel="0" collapsed="false">
      <c r="B104" s="104"/>
      <c r="C104" s="104"/>
      <c r="D104" s="104"/>
    </row>
    <row r="105" customFormat="false" ht="15" hidden="false" customHeight="true" outlineLevel="0" collapsed="false">
      <c r="B105" s="104"/>
      <c r="C105" s="104"/>
      <c r="D105" s="104"/>
    </row>
    <row r="106" customFormat="false" ht="15" hidden="false" customHeight="true" outlineLevel="0" collapsed="false">
      <c r="B106" s="104"/>
      <c r="C106" s="104"/>
      <c r="D106" s="104"/>
    </row>
    <row r="107" customFormat="false" ht="15" hidden="false" customHeight="true" outlineLevel="0" collapsed="false">
      <c r="B107" s="104"/>
      <c r="C107" s="104"/>
      <c r="D107" s="104"/>
    </row>
    <row r="108" customFormat="false" ht="15" hidden="false" customHeight="true" outlineLevel="0" collapsed="false">
      <c r="B108" s="104"/>
      <c r="C108" s="104"/>
      <c r="D108" s="104"/>
    </row>
    <row r="109" customFormat="false" ht="15" hidden="false" customHeight="true" outlineLevel="0" collapsed="false">
      <c r="B109" s="104"/>
      <c r="C109" s="104"/>
      <c r="D109" s="104"/>
    </row>
    <row r="110" customFormat="false" ht="15" hidden="false" customHeight="true" outlineLevel="0" collapsed="false">
      <c r="A110" s="102"/>
      <c r="B110" s="106"/>
      <c r="C110" s="106"/>
      <c r="D110" s="106"/>
    </row>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sheetData>
  <mergeCells count="17">
    <mergeCell ref="A3:E3"/>
    <mergeCell ref="F3:H3"/>
    <mergeCell ref="A16:H16"/>
    <mergeCell ref="E18:H18"/>
    <mergeCell ref="E19:H19"/>
    <mergeCell ref="E20:H20"/>
    <mergeCell ref="E21:H21"/>
    <mergeCell ref="E22:H22"/>
    <mergeCell ref="E23:H23"/>
    <mergeCell ref="E24:H24"/>
    <mergeCell ref="A27:H27"/>
    <mergeCell ref="A28:H29"/>
    <mergeCell ref="I48:K48"/>
    <mergeCell ref="R48:U48"/>
    <mergeCell ref="F49:H49"/>
    <mergeCell ref="F56:I56"/>
    <mergeCell ref="F60:I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0CEC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8.66796875" defaultRowHeight="13.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9.83"/>
    <col collapsed="false" customWidth="true" hidden="false" outlineLevel="0" max="4" min="4" style="1" width="15"/>
    <col collapsed="false" customWidth="true" hidden="false" outlineLevel="0" max="5" min="5" style="1" width="46"/>
    <col collapsed="false" customWidth="true" hidden="false" outlineLevel="0" max="6" min="6" style="1" width="13"/>
    <col collapsed="false" customWidth="true" hidden="false" outlineLevel="0" max="7" min="7" style="1" width="55"/>
    <col collapsed="false" customWidth="false" hidden="false" outlineLevel="0" max="16384" min="8" style="1" width="8.67"/>
  </cols>
  <sheetData>
    <row r="1" customFormat="false" ht="15" hidden="false" customHeight="true" outlineLevel="0" collapsed="false">
      <c r="A1" s="20" t="s">
        <v>366</v>
      </c>
    </row>
    <row r="2" customFormat="false" ht="28.5" hidden="false" customHeight="true" outlineLevel="0" collapsed="false">
      <c r="A2" s="164" t="s">
        <v>367</v>
      </c>
      <c r="B2" s="164"/>
      <c r="C2" s="164"/>
      <c r="D2" s="164"/>
      <c r="E2" s="164"/>
    </row>
    <row r="3" customFormat="false" ht="15" hidden="false" customHeight="true" outlineLevel="0" collapsed="false">
      <c r="A3" s="41" t="s">
        <v>368</v>
      </c>
      <c r="B3" s="41"/>
      <c r="C3" s="41"/>
      <c r="D3" s="41"/>
      <c r="E3" s="41"/>
    </row>
    <row r="4" customFormat="false" ht="15" hidden="false" customHeight="true" outlineLevel="0" collapsed="false">
      <c r="B4" s="25" t="s">
        <v>31</v>
      </c>
      <c r="C4" s="25" t="s">
        <v>32</v>
      </c>
      <c r="D4" s="25" t="s">
        <v>259</v>
      </c>
      <c r="E4" s="25"/>
      <c r="F4" s="25"/>
      <c r="G4" s="25" t="s">
        <v>34</v>
      </c>
    </row>
    <row r="5" customFormat="false" ht="28.5" hidden="false" customHeight="true" outlineLevel="0" collapsed="false">
      <c r="A5" s="26" t="s">
        <v>369</v>
      </c>
      <c r="B5" s="75" t="n">
        <v>100000</v>
      </c>
      <c r="C5" s="28" t="s">
        <v>333</v>
      </c>
      <c r="D5" s="66" t="s">
        <v>370</v>
      </c>
      <c r="E5" s="66" t="s">
        <v>371</v>
      </c>
      <c r="F5" s="66"/>
      <c r="G5" s="66" t="s">
        <v>371</v>
      </c>
    </row>
    <row r="6" customFormat="false" ht="15" hidden="false" customHeight="true" outlineLevel="0" collapsed="false">
      <c r="A6" s="26" t="s">
        <v>372</v>
      </c>
      <c r="B6" s="63" t="n">
        <v>3</v>
      </c>
      <c r="C6" s="28" t="s">
        <v>373</v>
      </c>
      <c r="D6" s="66" t="s">
        <v>374</v>
      </c>
      <c r="E6" s="66" t="s">
        <v>375</v>
      </c>
      <c r="F6" s="66"/>
      <c r="G6" s="66" t="s">
        <v>375</v>
      </c>
    </row>
    <row r="7" customFormat="false" ht="15" hidden="false" customHeight="true" outlineLevel="0" collapsed="false">
      <c r="A7" s="26" t="s">
        <v>376</v>
      </c>
      <c r="B7" s="75" t="n">
        <v>180000</v>
      </c>
      <c r="C7" s="28" t="s">
        <v>325</v>
      </c>
      <c r="D7" s="66" t="s">
        <v>377</v>
      </c>
      <c r="E7" s="66" t="s">
        <v>378</v>
      </c>
      <c r="F7" s="66"/>
      <c r="G7" s="66" t="s">
        <v>378</v>
      </c>
    </row>
    <row r="8" customFormat="false" ht="28.5" hidden="false" customHeight="true" outlineLevel="0" collapsed="false">
      <c r="A8" s="26" t="s">
        <v>379</v>
      </c>
      <c r="B8" s="165" t="n">
        <f aca="false">'2. Cost Inputs'!D24</f>
        <v>0.3</v>
      </c>
      <c r="C8" s="28" t="s">
        <v>340</v>
      </c>
      <c r="D8" s="66" t="s">
        <v>380</v>
      </c>
      <c r="E8" s="66" t="s">
        <v>381</v>
      </c>
      <c r="F8" s="66"/>
      <c r="G8" s="66" t="s">
        <v>381</v>
      </c>
    </row>
    <row r="9" customFormat="false" ht="15" hidden="false" customHeight="true" outlineLevel="0" collapsed="false">
      <c r="A9" s="26" t="s">
        <v>382</v>
      </c>
      <c r="B9" s="81" t="n">
        <f aca="false">'2. Cost Inputs'!B24*B8*$B$43</f>
        <v>3888000</v>
      </c>
      <c r="C9" s="28" t="s">
        <v>243</v>
      </c>
      <c r="D9" s="66" t="s">
        <v>383</v>
      </c>
      <c r="E9" s="66"/>
      <c r="F9" s="66"/>
    </row>
    <row r="10" customFormat="false" ht="15" hidden="false" customHeight="true" outlineLevel="0" collapsed="false">
      <c r="A10" s="26" t="s">
        <v>384</v>
      </c>
      <c r="B10" s="75" t="n">
        <v>2000000</v>
      </c>
      <c r="C10" s="28" t="s">
        <v>385</v>
      </c>
      <c r="D10" s="66" t="s">
        <v>386</v>
      </c>
      <c r="E10" s="66" t="s">
        <v>387</v>
      </c>
      <c r="F10" s="66"/>
      <c r="G10" s="66" t="s">
        <v>387</v>
      </c>
    </row>
    <row r="11" customFormat="false" ht="32.8" hidden="false" customHeight="false" outlineLevel="0" collapsed="false">
      <c r="A11" s="26" t="s">
        <v>388</v>
      </c>
      <c r="B11" s="75" t="n">
        <v>80000</v>
      </c>
      <c r="C11" s="28" t="s">
        <v>333</v>
      </c>
      <c r="D11" s="66" t="s">
        <v>389</v>
      </c>
    </row>
    <row r="12" customFormat="false" ht="15" hidden="false" customHeight="true" outlineLevel="0" collapsed="false">
      <c r="A12" s="41" t="s">
        <v>258</v>
      </c>
      <c r="B12" s="41"/>
      <c r="C12" s="41"/>
      <c r="D12" s="41"/>
      <c r="E12" s="41"/>
    </row>
    <row r="13" customFormat="false" ht="28.5" hidden="false" customHeight="true" outlineLevel="0" collapsed="false">
      <c r="A13" s="26" t="s">
        <v>260</v>
      </c>
      <c r="B13" s="60" t="n">
        <v>0.365296803652968</v>
      </c>
      <c r="C13" s="28" t="s">
        <v>261</v>
      </c>
      <c r="D13" s="66" t="s">
        <v>390</v>
      </c>
      <c r="E13" s="66"/>
      <c r="F13" s="66"/>
      <c r="G13" s="66" t="s">
        <v>391</v>
      </c>
    </row>
    <row r="14" customFormat="false" ht="39" hidden="false" customHeight="true" outlineLevel="0" collapsed="false">
      <c r="A14" s="26" t="s">
        <v>264</v>
      </c>
      <c r="B14" s="60" t="n">
        <v>0</v>
      </c>
      <c r="C14" s="28" t="s">
        <v>261</v>
      </c>
      <c r="D14" s="66" t="s">
        <v>392</v>
      </c>
      <c r="G14" s="166" t="s">
        <v>393</v>
      </c>
    </row>
    <row r="15" customFormat="false" ht="16.5" hidden="false" customHeight="true" outlineLevel="0" collapsed="false">
      <c r="A15" s="26" t="s">
        <v>267</v>
      </c>
      <c r="B15" s="60" t="n">
        <v>0</v>
      </c>
      <c r="C15" s="28" t="s">
        <v>261</v>
      </c>
      <c r="D15" s="66" t="s">
        <v>394</v>
      </c>
      <c r="G15" s="166" t="s">
        <v>395</v>
      </c>
    </row>
    <row r="16" customFormat="false" ht="15" hidden="false" customHeight="true" outlineLevel="0" collapsed="false">
      <c r="A16" s="26" t="s">
        <v>246</v>
      </c>
      <c r="B16" s="34" t="n">
        <f aca="false">(B13+B14+B15)*365*'2. Cost Inputs'!$B$5</f>
        <v>120</v>
      </c>
      <c r="C16" s="28" t="s">
        <v>270</v>
      </c>
      <c r="D16" s="66" t="s">
        <v>271</v>
      </c>
      <c r="E16" s="66"/>
      <c r="F16" s="66"/>
    </row>
    <row r="17" customFormat="false" ht="28.5" hidden="false" customHeight="true" outlineLevel="0" collapsed="false">
      <c r="A17" s="26" t="s">
        <v>396</v>
      </c>
      <c r="D17" s="66" t="s">
        <v>397</v>
      </c>
      <c r="E17" s="66"/>
      <c r="F17" s="66"/>
    </row>
    <row r="19" customFormat="false" ht="15" hidden="false" customHeight="true" outlineLevel="0" collapsed="false">
      <c r="A19" s="41" t="s">
        <v>398</v>
      </c>
      <c r="B19" s="41"/>
      <c r="C19" s="41"/>
      <c r="D19" s="41"/>
      <c r="E19" s="41"/>
      <c r="F19" s="41"/>
    </row>
    <row r="20" customFormat="false" ht="15" hidden="false" customHeight="true" outlineLevel="0" collapsed="false">
      <c r="B20" s="25" t="s">
        <v>243</v>
      </c>
      <c r="C20" s="25" t="s">
        <v>234</v>
      </c>
      <c r="D20" s="25" t="s">
        <v>259</v>
      </c>
    </row>
    <row r="21" customFormat="false" ht="15" hidden="false" customHeight="true" outlineLevel="0" collapsed="false">
      <c r="A21" s="26" t="s">
        <v>399</v>
      </c>
      <c r="B21" s="81" t="n">
        <f aca="false">B42*'2. Cost Inputs'!D40+B42*'1. Technology Description'!B17/1000*'2. Cost Inputs'!D41</f>
        <v>7628906.25</v>
      </c>
      <c r="C21" s="167"/>
    </row>
    <row r="22" customFormat="false" ht="15" hidden="false" customHeight="true" outlineLevel="0" collapsed="false">
      <c r="A22" s="26" t="s">
        <v>400</v>
      </c>
      <c r="B22" s="81" t="n">
        <f aca="false">B5+B11</f>
        <v>180000</v>
      </c>
      <c r="C22" s="167" t="s">
        <v>401</v>
      </c>
    </row>
    <row r="23" customFormat="false" ht="15" hidden="false" customHeight="true" outlineLevel="0" collapsed="false">
      <c r="A23" s="26" t="s">
        <v>189</v>
      </c>
      <c r="B23" s="80" t="n">
        <f aca="false">B21+B22</f>
        <v>7808906.25</v>
      </c>
    </row>
    <row r="24" customFormat="false" ht="15" hidden="false" customHeight="true" outlineLevel="0" collapsed="false">
      <c r="A24" s="26" t="s">
        <v>402</v>
      </c>
      <c r="B24" s="81" t="n">
        <f aca="false">B23*(1+'2. Cost Inputs'!B49+'2. Cost Inputs'!B50+'2. Cost Inputs'!B51+'2. Cost Inputs'!B52)</f>
        <v>14056031.25</v>
      </c>
      <c r="C24" s="167"/>
    </row>
    <row r="25" customFormat="false" ht="15" hidden="false" customHeight="true" outlineLevel="0" collapsed="false">
      <c r="A25" s="26" t="s">
        <v>237</v>
      </c>
      <c r="B25" s="168" t="n">
        <f aca="false">('2. Cost Inputs'!B7*(1+'2. Cost Inputs'!B7)^'2. Cost Inputs'!B6)/((1+'2. Cost Inputs'!B7)^'2. Cost Inputs'!B6-1)</f>
        <v>0.131473776887372</v>
      </c>
    </row>
    <row r="26" customFormat="false" ht="15" hidden="false" customHeight="true" outlineLevel="0" collapsed="false">
      <c r="A26" s="26" t="s">
        <v>239</v>
      </c>
      <c r="B26" s="81" t="n">
        <f aca="false">B24*B25</f>
        <v>1847999.51648443</v>
      </c>
      <c r="C26" s="81" t="n">
        <f aca="false">B26/$B$43</f>
        <v>4325.47403577554</v>
      </c>
    </row>
    <row r="27" customFormat="false" ht="15" hidden="false" customHeight="true" outlineLevel="0" collapsed="false">
      <c r="A27" s="26" t="s">
        <v>55</v>
      </c>
      <c r="B27" s="81" t="n">
        <f aca="false">B9</f>
        <v>3888000</v>
      </c>
      <c r="C27" s="81" t="n">
        <f aca="false">B27/$B$43</f>
        <v>9100.35035241146</v>
      </c>
      <c r="D27" s="1" t="s">
        <v>403</v>
      </c>
    </row>
    <row r="28" customFormat="false" ht="15" hidden="false" customHeight="true" outlineLevel="0" collapsed="false">
      <c r="A28" s="26" t="s">
        <v>404</v>
      </c>
      <c r="B28" s="81" t="n">
        <f aca="false">B6*B7</f>
        <v>540000</v>
      </c>
      <c r="C28" s="81" t="n">
        <f aca="false">B28/$B$43</f>
        <v>1263.93754894604</v>
      </c>
    </row>
    <row r="29" customFormat="false" ht="15" hidden="false" customHeight="true" outlineLevel="0" collapsed="false">
      <c r="A29" s="26" t="s">
        <v>405</v>
      </c>
      <c r="B29" s="81" t="n">
        <f aca="false">B10</f>
        <v>2000000</v>
      </c>
      <c r="C29" s="81" t="n">
        <f aca="false">B29/$B$43</f>
        <v>4681.25018128161</v>
      </c>
    </row>
    <row r="30" customFormat="false" ht="15" hidden="false" customHeight="true" outlineLevel="0" collapsed="false">
      <c r="A30" s="26" t="s">
        <v>160</v>
      </c>
      <c r="B30" s="81" t="n">
        <f aca="false">B24*'2. Cost Inputs'!B35</f>
        <v>983922.1875</v>
      </c>
      <c r="C30" s="81" t="n">
        <f aca="false">B30/$B$43</f>
        <v>2302.99295930069</v>
      </c>
    </row>
    <row r="31" customFormat="false" ht="15" hidden="false" customHeight="true" outlineLevel="0" collapsed="false">
      <c r="A31" s="79" t="s">
        <v>251</v>
      </c>
      <c r="B31" s="80" t="n">
        <f aca="false">(B26+B27+B28+B29+B30)</f>
        <v>9259921.70398443</v>
      </c>
    </row>
    <row r="32" customFormat="false" ht="15" hidden="false" customHeight="true" outlineLevel="0" collapsed="false">
      <c r="A32" s="79" t="s">
        <v>406</v>
      </c>
      <c r="C32" s="169" t="n">
        <f aca="false">B31/$B$43</f>
        <v>21674.0050777153</v>
      </c>
    </row>
    <row r="34" customFormat="false" ht="15" hidden="false" customHeight="true" outlineLevel="0" collapsed="false">
      <c r="A34" s="41" t="s">
        <v>407</v>
      </c>
      <c r="B34" s="41"/>
      <c r="C34" s="41"/>
      <c r="D34" s="41"/>
      <c r="E34" s="41"/>
      <c r="F34" s="41"/>
    </row>
    <row r="35" customFormat="false" ht="15" hidden="false" customHeight="true" outlineLevel="0" collapsed="false">
      <c r="B35" s="25" t="s">
        <v>31</v>
      </c>
      <c r="C35" s="25" t="s">
        <v>32</v>
      </c>
      <c r="D35" s="25" t="s">
        <v>259</v>
      </c>
    </row>
    <row r="36" customFormat="false" ht="15" hidden="false" customHeight="true" outlineLevel="0" collapsed="false">
      <c r="A36" s="26" t="s">
        <v>408</v>
      </c>
      <c r="B36" s="81" t="n">
        <f aca="false">'3a. Outputs - Dedicated Vessel'!G5</f>
        <v>54047.9786281274</v>
      </c>
      <c r="C36" s="167" t="s">
        <v>409</v>
      </c>
    </row>
    <row r="37" customFormat="false" ht="15" hidden="false" customHeight="true" outlineLevel="0" collapsed="false">
      <c r="A37" s="26" t="s">
        <v>410</v>
      </c>
      <c r="B37" s="169" t="n">
        <f aca="false">C32</f>
        <v>21674.0050777153</v>
      </c>
    </row>
    <row r="38" customFormat="false" ht="15" hidden="false" customHeight="true" outlineLevel="0" collapsed="false">
      <c r="A38" s="170" t="s">
        <v>411</v>
      </c>
      <c r="B38" s="94" t="n">
        <f aca="false">B37/B36</f>
        <v>0.401014166077172</v>
      </c>
    </row>
    <row r="40" customFormat="false" ht="13.5" hidden="false" customHeight="false" outlineLevel="0" collapsed="false">
      <c r="A40" s="7" t="s">
        <v>412</v>
      </c>
    </row>
    <row r="41" customFormat="false" ht="147.75" hidden="false" customHeight="false" outlineLevel="0" collapsed="false">
      <c r="A41" s="26" t="s">
        <v>413</v>
      </c>
      <c r="B41" s="75" t="n">
        <v>4500</v>
      </c>
      <c r="C41" s="167" t="s">
        <v>127</v>
      </c>
      <c r="D41" s="66" t="s">
        <v>414</v>
      </c>
    </row>
    <row r="42" customFormat="false" ht="32.8" hidden="false" customHeight="false" outlineLevel="0" collapsed="false">
      <c r="A42" s="26" t="s">
        <v>415</v>
      </c>
      <c r="B42" s="169" t="n">
        <f aca="false">B41*1000/'1. Technology Description'!B17</f>
        <v>8789.0625</v>
      </c>
      <c r="C42" s="167" t="s">
        <v>124</v>
      </c>
      <c r="D42" s="66" t="s">
        <v>416</v>
      </c>
    </row>
    <row r="43" customFormat="false" ht="53.7" hidden="false" customHeight="false" outlineLevel="0" collapsed="false">
      <c r="A43" s="26" t="s">
        <v>417</v>
      </c>
      <c r="B43" s="169" t="n">
        <f aca="false">($B$13+$B$14)*$B$42*'2. Cost Inputs'!$B$11</f>
        <v>427.236298542038</v>
      </c>
      <c r="C43" s="167" t="s">
        <v>119</v>
      </c>
      <c r="D43" s="66" t="s">
        <v>418</v>
      </c>
    </row>
    <row r="44" customFormat="false" ht="74.6" hidden="false" customHeight="false" outlineLevel="0" collapsed="false">
      <c r="A44" s="84" t="s">
        <v>419</v>
      </c>
      <c r="B44" s="171" t="n">
        <f aca="false">'2. Cost Inputs'!$B$24*'2. Cost Inputs'!$B$64/1000*'2. Cost Inputs'!$B$61</f>
        <v>19.4504821532208</v>
      </c>
      <c r="C44" s="172" t="s">
        <v>420</v>
      </c>
      <c r="D44" s="87" t="s">
        <v>421</v>
      </c>
    </row>
    <row r="45" customFormat="false" ht="43.25" hidden="false" customHeight="false" outlineLevel="0" collapsed="false">
      <c r="A45" s="84" t="s">
        <v>422</v>
      </c>
      <c r="B45" s="173" t="n">
        <f aca="false">C32+B44*'2. Cost Inputs'!$B$63</f>
        <v>25369.5966868273</v>
      </c>
      <c r="C45" s="172" t="s">
        <v>234</v>
      </c>
      <c r="D45" s="87" t="s">
        <v>423</v>
      </c>
    </row>
  </sheetData>
  <mergeCells count="14">
    <mergeCell ref="A2:E2"/>
    <mergeCell ref="A3:E3"/>
    <mergeCell ref="D5:F5"/>
    <mergeCell ref="D6:F6"/>
    <mergeCell ref="D7:F7"/>
    <mergeCell ref="D8:F8"/>
    <mergeCell ref="D9:F9"/>
    <mergeCell ref="D10:F10"/>
    <mergeCell ref="A12:E12"/>
    <mergeCell ref="D13:F13"/>
    <mergeCell ref="D16:F16"/>
    <mergeCell ref="D17:F17"/>
    <mergeCell ref="A19:F19"/>
    <mergeCell ref="A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0CEC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8.66796875" defaultRowHeight="13.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8.83"/>
    <col collapsed="false" customWidth="true" hidden="false" outlineLevel="0" max="4" min="4" style="1" width="13"/>
    <col collapsed="false" customWidth="true" hidden="false" outlineLevel="0" max="5" min="5" style="1" width="46"/>
    <col collapsed="false" customWidth="true" hidden="false" outlineLevel="0" max="6" min="6" style="1" width="13"/>
    <col collapsed="false" customWidth="true" hidden="false" outlineLevel="0" max="7" min="7" style="1" width="55"/>
    <col collapsed="false" customWidth="false" hidden="false" outlineLevel="0" max="16384" min="8" style="1" width="8.67"/>
  </cols>
  <sheetData>
    <row r="1" customFormat="false" ht="15" hidden="false" customHeight="true" outlineLevel="0" collapsed="false">
      <c r="A1" s="20" t="s">
        <v>424</v>
      </c>
    </row>
    <row r="2" customFormat="false" ht="28.5" hidden="false" customHeight="true" outlineLevel="0" collapsed="false">
      <c r="A2" s="164" t="s">
        <v>425</v>
      </c>
      <c r="B2" s="164"/>
      <c r="C2" s="164"/>
      <c r="D2" s="164"/>
      <c r="E2" s="164"/>
    </row>
    <row r="3" customFormat="false" ht="15" hidden="false" customHeight="true" outlineLevel="0" collapsed="false">
      <c r="A3" s="41" t="s">
        <v>426</v>
      </c>
      <c r="B3" s="41"/>
      <c r="C3" s="41"/>
      <c r="D3" s="41"/>
      <c r="E3" s="41"/>
    </row>
    <row r="4" customFormat="false" ht="15" hidden="false" customHeight="true" outlineLevel="0" collapsed="false">
      <c r="B4" s="25" t="s">
        <v>31</v>
      </c>
      <c r="C4" s="25" t="s">
        <v>32</v>
      </c>
      <c r="D4" s="25" t="s">
        <v>259</v>
      </c>
      <c r="E4" s="25"/>
      <c r="F4" s="25"/>
      <c r="G4" s="25" t="s">
        <v>34</v>
      </c>
    </row>
    <row r="5" customFormat="false" ht="28.5" hidden="false" customHeight="true" outlineLevel="0" collapsed="false">
      <c r="A5" s="26" t="s">
        <v>427</v>
      </c>
      <c r="B5" s="75" t="n">
        <v>3000000</v>
      </c>
      <c r="C5" s="28" t="s">
        <v>428</v>
      </c>
      <c r="D5" s="66" t="s">
        <v>429</v>
      </c>
      <c r="E5" s="66"/>
      <c r="F5" s="66"/>
      <c r="G5" s="66" t="s">
        <v>430</v>
      </c>
    </row>
    <row r="6" customFormat="false" ht="28.5" hidden="false" customHeight="true" outlineLevel="0" collapsed="false">
      <c r="A6" s="26" t="s">
        <v>431</v>
      </c>
      <c r="B6" s="63" t="n">
        <v>1</v>
      </c>
      <c r="C6" s="28" t="s">
        <v>373</v>
      </c>
      <c r="D6" s="66" t="s">
        <v>432</v>
      </c>
      <c r="E6" s="66"/>
      <c r="F6" s="66"/>
      <c r="G6" s="66" t="s">
        <v>433</v>
      </c>
    </row>
    <row r="7" customFormat="false" ht="25.5" hidden="false" customHeight="true" outlineLevel="0" collapsed="false">
      <c r="A7" s="26" t="s">
        <v>376</v>
      </c>
      <c r="B7" s="75" t="n">
        <v>180000</v>
      </c>
      <c r="C7" s="28" t="s">
        <v>325</v>
      </c>
      <c r="D7" s="66" t="s">
        <v>434</v>
      </c>
      <c r="E7" s="66" t="s">
        <v>435</v>
      </c>
      <c r="F7" s="66"/>
    </row>
    <row r="8" customFormat="false" ht="28.5" hidden="false" customHeight="true" outlineLevel="0" collapsed="false">
      <c r="A8" s="26" t="s">
        <v>436</v>
      </c>
      <c r="B8" s="72" t="n">
        <v>0.15</v>
      </c>
      <c r="C8" s="28" t="s">
        <v>340</v>
      </c>
      <c r="D8" s="66" t="s">
        <v>437</v>
      </c>
      <c r="E8" s="66"/>
      <c r="F8" s="66"/>
      <c r="G8" s="66" t="s">
        <v>438</v>
      </c>
    </row>
    <row r="9" customFormat="false" ht="28.5" hidden="false" customHeight="true" outlineLevel="0" collapsed="false">
      <c r="A9" s="26" t="s">
        <v>439</v>
      </c>
      <c r="B9" s="75" t="n">
        <v>250000</v>
      </c>
      <c r="C9" s="28" t="s">
        <v>428</v>
      </c>
      <c r="D9" s="66" t="s">
        <v>440</v>
      </c>
      <c r="E9" s="66"/>
      <c r="F9" s="66"/>
      <c r="G9" s="66" t="s">
        <v>441</v>
      </c>
    </row>
    <row r="10" customFormat="false" ht="25.5" hidden="false" customHeight="true" outlineLevel="0" collapsed="false">
      <c r="A10" s="26" t="s">
        <v>442</v>
      </c>
      <c r="B10" s="75" t="n">
        <v>60000</v>
      </c>
      <c r="C10" s="28" t="s">
        <v>443</v>
      </c>
      <c r="D10" s="66" t="s">
        <v>444</v>
      </c>
      <c r="E10" s="66" t="s">
        <v>445</v>
      </c>
      <c r="F10" s="66"/>
    </row>
    <row r="12" customFormat="false" ht="15" hidden="false" customHeight="true" outlineLevel="0" collapsed="false">
      <c r="A12" s="41" t="s">
        <v>258</v>
      </c>
      <c r="B12" s="41"/>
      <c r="C12" s="41"/>
      <c r="D12" s="41"/>
      <c r="E12" s="41"/>
    </row>
    <row r="13" customFormat="false" ht="16.5" hidden="false" customHeight="true" outlineLevel="0" collapsed="false">
      <c r="A13" s="26" t="s">
        <v>260</v>
      </c>
      <c r="B13" s="60" t="n">
        <v>0</v>
      </c>
      <c r="C13" s="28" t="s">
        <v>261</v>
      </c>
      <c r="D13" s="66" t="s">
        <v>446</v>
      </c>
      <c r="E13" s="66"/>
      <c r="F13" s="66"/>
      <c r="G13" s="66" t="s">
        <v>447</v>
      </c>
    </row>
    <row r="14" customFormat="false" ht="28.5" hidden="false" customHeight="true" outlineLevel="0" collapsed="false">
      <c r="A14" s="26" t="s">
        <v>264</v>
      </c>
      <c r="B14" s="60" t="n">
        <v>0.365296803652968</v>
      </c>
      <c r="C14" s="28" t="s">
        <v>261</v>
      </c>
      <c r="D14" s="66" t="s">
        <v>448</v>
      </c>
      <c r="G14" s="29" t="s">
        <v>449</v>
      </c>
    </row>
    <row r="15" customFormat="false" ht="39" hidden="false" customHeight="true" outlineLevel="0" collapsed="false">
      <c r="A15" s="26" t="s">
        <v>267</v>
      </c>
      <c r="B15" s="60" t="n">
        <v>0</v>
      </c>
      <c r="C15" s="28" t="s">
        <v>261</v>
      </c>
      <c r="D15" s="66" t="s">
        <v>450</v>
      </c>
      <c r="G15" s="29" t="s">
        <v>451</v>
      </c>
    </row>
    <row r="16" customFormat="false" ht="15" hidden="false" customHeight="true" outlineLevel="0" collapsed="false">
      <c r="A16" s="26" t="s">
        <v>246</v>
      </c>
      <c r="B16" s="34" t="n">
        <f aca="false">(B13+B14+B15)*365*'2. Cost Inputs'!$B$5</f>
        <v>120</v>
      </c>
      <c r="C16" s="28" t="s">
        <v>270</v>
      </c>
      <c r="D16" s="66" t="s">
        <v>271</v>
      </c>
      <c r="E16" s="66"/>
      <c r="F16" s="66"/>
    </row>
    <row r="17" customFormat="false" ht="28.5" hidden="false" customHeight="true" outlineLevel="0" collapsed="false">
      <c r="A17" s="26" t="s">
        <v>396</v>
      </c>
      <c r="D17" s="66" t="s">
        <v>452</v>
      </c>
      <c r="E17" s="66"/>
      <c r="F17" s="66"/>
    </row>
    <row r="19" customFormat="false" ht="15" hidden="false" customHeight="true" outlineLevel="0" collapsed="false">
      <c r="A19" s="41" t="s">
        <v>398</v>
      </c>
      <c r="B19" s="41"/>
      <c r="C19" s="41"/>
      <c r="D19" s="41"/>
      <c r="E19" s="41"/>
      <c r="F19" s="41"/>
    </row>
    <row r="20" customFormat="false" ht="15" hidden="false" customHeight="true" outlineLevel="0" collapsed="false">
      <c r="B20" s="25" t="s">
        <v>243</v>
      </c>
      <c r="C20" s="25" t="s">
        <v>234</v>
      </c>
      <c r="D20" s="25" t="s">
        <v>259</v>
      </c>
    </row>
    <row r="21" customFormat="false" ht="15" hidden="false" customHeight="true" outlineLevel="0" collapsed="false">
      <c r="A21" s="26" t="s">
        <v>399</v>
      </c>
      <c r="B21" s="81" t="n">
        <f aca="false">'2. Cost Inputs'!B13*'2. Cost Inputs'!D40+'2. Cost Inputs'!B14*'2. Cost Inputs'!D41</f>
        <v>7066677.52177807</v>
      </c>
      <c r="C21" s="167"/>
    </row>
    <row r="22" customFormat="false" ht="15" hidden="false" customHeight="true" outlineLevel="0" collapsed="false">
      <c r="A22" s="26" t="s">
        <v>453</v>
      </c>
      <c r="B22" s="81" t="n">
        <f aca="false">'2. Cost Inputs'!D42</f>
        <v>25000</v>
      </c>
      <c r="C22" s="167" t="s">
        <v>454</v>
      </c>
    </row>
    <row r="23" customFormat="false" ht="15" hidden="false" customHeight="true" outlineLevel="0" collapsed="false">
      <c r="A23" s="26" t="s">
        <v>455</v>
      </c>
      <c r="B23" s="81" t="n">
        <f aca="false">B5+B9</f>
        <v>3250000</v>
      </c>
      <c r="C23" s="167" t="s">
        <v>456</v>
      </c>
    </row>
    <row r="24" customFormat="false" ht="15" hidden="false" customHeight="true" outlineLevel="0" collapsed="false">
      <c r="A24" s="26" t="s">
        <v>189</v>
      </c>
      <c r="B24" s="80" t="n">
        <f aca="false">B21+B22+B23+B46</f>
        <v>13640427.5217781</v>
      </c>
    </row>
    <row r="25" customFormat="false" ht="15" hidden="false" customHeight="true" outlineLevel="0" collapsed="false">
      <c r="A25" s="26" t="s">
        <v>457</v>
      </c>
      <c r="B25" s="81" t="n">
        <f aca="false">B24*(1+'2. Cost Inputs'!B49+'2. Cost Inputs'!B50+'2. Cost Inputs'!B51+'2. Cost Inputs'!B52)</f>
        <v>24552769.5392005</v>
      </c>
      <c r="C25" s="167"/>
    </row>
    <row r="26" customFormat="false" ht="15" hidden="false" customHeight="true" outlineLevel="0" collapsed="false">
      <c r="A26" s="26" t="s">
        <v>237</v>
      </c>
      <c r="B26" s="168" t="n">
        <f aca="false">('2. Cost Inputs'!B7*(1+'2. Cost Inputs'!B7)^'2. Cost Inputs'!B6)/((1+'2. Cost Inputs'!B7)^'2. Cost Inputs'!B6-1)</f>
        <v>0.131473776887372</v>
      </c>
    </row>
    <row r="27" customFormat="false" ht="15" hidden="false" customHeight="true" outlineLevel="0" collapsed="false">
      <c r="A27" s="26" t="s">
        <v>239</v>
      </c>
      <c r="B27" s="81" t="n">
        <f aca="false">B25*B26</f>
        <v>3228045.34436392</v>
      </c>
      <c r="C27" s="81" t="n">
        <f aca="false">B27/(($B$13+$B$14)*'2. Cost Inputs'!$B$15)</f>
        <v>8156.77508954899</v>
      </c>
    </row>
    <row r="28" customFormat="false" ht="15" hidden="false" customHeight="true" outlineLevel="0" collapsed="false">
      <c r="A28" s="26" t="s">
        <v>458</v>
      </c>
      <c r="B28" s="81" t="n">
        <f aca="false">'2. Cost Inputs'!B24*B8*(($B$13+$B$14)*'2. Cost Inputs'!$B$15)</f>
        <v>1800732.72001954</v>
      </c>
      <c r="C28" s="81" t="n">
        <f aca="false">B28/(($B$13+$B$14)*'2. Cost Inputs'!$B$15)</f>
        <v>4550.17517620573</v>
      </c>
      <c r="D28" s="66" t="s">
        <v>459</v>
      </c>
      <c r="E28" s="66"/>
      <c r="F28" s="66"/>
    </row>
    <row r="29" customFormat="false" ht="15" hidden="false" customHeight="true" outlineLevel="0" collapsed="false">
      <c r="A29" s="26" t="s">
        <v>404</v>
      </c>
      <c r="B29" s="81" t="n">
        <f aca="false">B6*B7</f>
        <v>180000</v>
      </c>
      <c r="C29" s="81" t="n">
        <f aca="false">B29/(($B$13+$B$14)*'2. Cost Inputs'!$B$15)</f>
        <v>454.832370518677</v>
      </c>
      <c r="D29" s="66" t="s">
        <v>460</v>
      </c>
      <c r="E29" s="66"/>
      <c r="F29" s="66"/>
    </row>
    <row r="30" customFormat="false" ht="15" hidden="false" customHeight="true" outlineLevel="0" collapsed="false">
      <c r="A30" s="26" t="s">
        <v>442</v>
      </c>
      <c r="B30" s="81" t="n">
        <f aca="false">B10</f>
        <v>60000</v>
      </c>
      <c r="C30" s="81" t="n">
        <f aca="false">B30/(($B$13+$B$14)*'2. Cost Inputs'!$B$15)</f>
        <v>151.610790172892</v>
      </c>
    </row>
    <row r="31" customFormat="false" ht="15" hidden="false" customHeight="true" outlineLevel="0" collapsed="false">
      <c r="A31" s="26" t="s">
        <v>160</v>
      </c>
      <c r="B31" s="81" t="n">
        <f aca="false">B25*'2. Cost Inputs'!B35</f>
        <v>1718693.86774404</v>
      </c>
      <c r="C31" s="81" t="n">
        <f aca="false">B31/(($B$13+$B$14)*'2. Cost Inputs'!$B$15)</f>
        <v>4342.87558923296</v>
      </c>
      <c r="D31" s="66" t="s">
        <v>461</v>
      </c>
      <c r="E31" s="66"/>
      <c r="F31" s="66"/>
    </row>
    <row r="32" customFormat="false" ht="15" hidden="false" customHeight="true" outlineLevel="0" collapsed="false">
      <c r="A32" s="79" t="s">
        <v>251</v>
      </c>
      <c r="B32" s="80" t="n">
        <f aca="false">B27+B28+B29+B30+B31</f>
        <v>6987471.93212749</v>
      </c>
    </row>
    <row r="33" customFormat="false" ht="15" hidden="false" customHeight="true" outlineLevel="0" collapsed="false">
      <c r="A33" s="79" t="s">
        <v>406</v>
      </c>
      <c r="C33" s="169" t="n">
        <f aca="false">B32/(($B$13+$B$14)*'2. Cost Inputs'!$B$15)</f>
        <v>17656.2690156792</v>
      </c>
    </row>
    <row r="35" customFormat="false" ht="15" hidden="false" customHeight="true" outlineLevel="0" collapsed="false">
      <c r="A35" s="41" t="s">
        <v>462</v>
      </c>
      <c r="B35" s="41"/>
      <c r="C35" s="41"/>
      <c r="D35" s="41"/>
      <c r="E35" s="41"/>
      <c r="F35" s="41"/>
    </row>
    <row r="36" customFormat="false" ht="15" hidden="false" customHeight="true" outlineLevel="0" collapsed="false">
      <c r="B36" s="25" t="s">
        <v>31</v>
      </c>
      <c r="C36" s="25" t="s">
        <v>32</v>
      </c>
      <c r="D36" s="25" t="s">
        <v>259</v>
      </c>
    </row>
    <row r="37" customFormat="false" ht="15" hidden="false" customHeight="true" outlineLevel="0" collapsed="false">
      <c r="A37" s="26" t="s">
        <v>408</v>
      </c>
      <c r="B37" s="81" t="n">
        <f aca="false">'3a. Outputs - Dedicated Vessel'!G5</f>
        <v>54047.9786281274</v>
      </c>
      <c r="C37" s="167"/>
    </row>
    <row r="38" customFormat="false" ht="15" hidden="false" customHeight="true" outlineLevel="0" collapsed="false">
      <c r="A38" s="26" t="s">
        <v>410</v>
      </c>
      <c r="B38" s="81" t="n">
        <f aca="false">'3b. Outputs - Ship Piggyback'!C32</f>
        <v>21674.0050777153</v>
      </c>
      <c r="C38" s="167"/>
    </row>
    <row r="39" customFormat="false" ht="15" hidden="false" customHeight="true" outlineLevel="0" collapsed="false">
      <c r="A39" s="26" t="s">
        <v>463</v>
      </c>
      <c r="B39" s="169" t="n">
        <f aca="false">C33</f>
        <v>17656.2690156792</v>
      </c>
    </row>
    <row r="40" customFormat="false" ht="15" hidden="false" customHeight="true" outlineLevel="0" collapsed="false">
      <c r="A40" s="170" t="s">
        <v>411</v>
      </c>
      <c r="B40" s="94" t="n">
        <f aca="false">B39/B37</f>
        <v>0.326677693853487</v>
      </c>
    </row>
    <row r="42" customFormat="false" ht="13.5" hidden="false" customHeight="false" outlineLevel="0" collapsed="false">
      <c r="A42" s="174" t="s">
        <v>464</v>
      </c>
    </row>
    <row r="43" customFormat="false" ht="105.95" hidden="false" customHeight="false" outlineLevel="0" collapsed="false">
      <c r="A43" s="84" t="s">
        <v>465</v>
      </c>
      <c r="B43" s="175" t="n">
        <v>5</v>
      </c>
      <c r="C43" s="86" t="s">
        <v>466</v>
      </c>
      <c r="D43" s="87" t="s">
        <v>467</v>
      </c>
      <c r="G43" s="87" t="s">
        <v>468</v>
      </c>
    </row>
    <row r="44" customFormat="false" ht="85.05" hidden="false" customHeight="false" outlineLevel="0" collapsed="false">
      <c r="A44" s="84" t="s">
        <v>469</v>
      </c>
      <c r="B44" s="88" t="n">
        <v>455000</v>
      </c>
      <c r="C44" s="86" t="s">
        <v>470</v>
      </c>
      <c r="D44" s="87" t="s">
        <v>471</v>
      </c>
      <c r="G44" s="87" t="s">
        <v>472</v>
      </c>
    </row>
    <row r="45" customFormat="false" ht="64.15" hidden="false" customHeight="false" outlineLevel="0" collapsed="false">
      <c r="A45" s="84" t="s">
        <v>473</v>
      </c>
      <c r="B45" s="176" t="n">
        <v>0.45</v>
      </c>
      <c r="C45" s="86" t="s">
        <v>103</v>
      </c>
      <c r="D45" s="87" t="s">
        <v>474</v>
      </c>
      <c r="G45" s="87" t="s">
        <v>475</v>
      </c>
    </row>
    <row r="46" customFormat="false" ht="64.15" hidden="false" customHeight="false" outlineLevel="0" collapsed="false">
      <c r="A46" s="84" t="s">
        <v>476</v>
      </c>
      <c r="B46" s="177" t="n">
        <f aca="false">B43*B44*(1+B45)</f>
        <v>3298750</v>
      </c>
      <c r="C46" s="86" t="s">
        <v>207</v>
      </c>
      <c r="D46" s="87" t="s">
        <v>477</v>
      </c>
    </row>
  </sheetData>
  <mergeCells count="17">
    <mergeCell ref="A2:E2"/>
    <mergeCell ref="A3:E3"/>
    <mergeCell ref="D5:F5"/>
    <mergeCell ref="D6:F6"/>
    <mergeCell ref="D7:F7"/>
    <mergeCell ref="D8:F8"/>
    <mergeCell ref="D9:F9"/>
    <mergeCell ref="D10:F10"/>
    <mergeCell ref="A12:E12"/>
    <mergeCell ref="D13:F13"/>
    <mergeCell ref="D16:F16"/>
    <mergeCell ref="D17:F17"/>
    <mergeCell ref="A19:F19"/>
    <mergeCell ref="D28:F28"/>
    <mergeCell ref="D29:F29"/>
    <mergeCell ref="D31:F31"/>
    <mergeCell ref="A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0CEC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3" activeCellId="0" sqref="G13"/>
    </sheetView>
  </sheetViews>
  <sheetFormatPr defaultColWidth="8.66796875" defaultRowHeight="13.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3"/>
    <col collapsed="false" customWidth="true" hidden="false" outlineLevel="0" max="4" min="4" style="1" width="15"/>
    <col collapsed="false" customWidth="true" hidden="false" outlineLevel="0" max="5" min="5" style="1" width="46"/>
    <col collapsed="false" customWidth="true" hidden="false" outlineLevel="0" max="6" min="6" style="1" width="13"/>
    <col collapsed="false" customWidth="true" hidden="false" outlineLevel="0" max="7" min="7" style="1" width="55"/>
    <col collapsed="false" customWidth="false" hidden="false" outlineLevel="0" max="16384" min="8" style="1" width="8.67"/>
  </cols>
  <sheetData>
    <row r="1" customFormat="false" ht="21" hidden="false" customHeight="true" outlineLevel="0" collapsed="false">
      <c r="A1" s="20" t="s">
        <v>478</v>
      </c>
    </row>
    <row r="2" customFormat="false" ht="16.5" hidden="false" customHeight="true" outlineLevel="0" collapsed="false">
      <c r="A2" s="164" t="s">
        <v>479</v>
      </c>
      <c r="B2" s="164"/>
      <c r="C2" s="164"/>
      <c r="D2" s="164"/>
      <c r="E2" s="164"/>
    </row>
    <row r="3" customFormat="false" ht="15" hidden="false" customHeight="true" outlineLevel="0" collapsed="false">
      <c r="A3" s="58" t="s">
        <v>258</v>
      </c>
      <c r="B3" s="58"/>
      <c r="C3" s="58"/>
      <c r="D3" s="58"/>
      <c r="E3" s="58"/>
      <c r="F3" s="58"/>
      <c r="G3" s="7" t="s">
        <v>34</v>
      </c>
    </row>
    <row r="4" customFormat="false" ht="16.5" hidden="false" customHeight="true" outlineLevel="0" collapsed="false">
      <c r="A4" s="26" t="s">
        <v>260</v>
      </c>
      <c r="B4" s="60" t="n">
        <v>0</v>
      </c>
      <c r="C4" s="28" t="s">
        <v>261</v>
      </c>
      <c r="D4" s="66" t="s">
        <v>480</v>
      </c>
      <c r="E4" s="66"/>
      <c r="F4" s="66"/>
      <c r="G4" s="66" t="s">
        <v>481</v>
      </c>
    </row>
    <row r="5" customFormat="false" ht="25.5" hidden="false" customHeight="true" outlineLevel="0" collapsed="false">
      <c r="A5" s="26" t="s">
        <v>264</v>
      </c>
      <c r="B5" s="60" t="n">
        <v>0.365296803652968</v>
      </c>
      <c r="C5" s="28" t="s">
        <v>261</v>
      </c>
      <c r="D5" s="66" t="s">
        <v>482</v>
      </c>
      <c r="E5" s="66"/>
      <c r="F5" s="66"/>
      <c r="G5" s="66" t="s">
        <v>483</v>
      </c>
    </row>
    <row r="6" customFormat="false" ht="28.5" hidden="false" customHeight="true" outlineLevel="0" collapsed="false">
      <c r="A6" s="26" t="s">
        <v>267</v>
      </c>
      <c r="B6" s="60" t="n">
        <v>0.0121765601217656</v>
      </c>
      <c r="C6" s="28" t="s">
        <v>261</v>
      </c>
      <c r="D6" s="66" t="s">
        <v>484</v>
      </c>
      <c r="E6" s="66"/>
      <c r="F6" s="66"/>
      <c r="G6" s="66" t="s">
        <v>485</v>
      </c>
    </row>
    <row r="7" customFormat="false" ht="15" hidden="false" customHeight="true" outlineLevel="0" collapsed="false">
      <c r="A7" s="26" t="s">
        <v>246</v>
      </c>
      <c r="B7" s="34" t="n">
        <f aca="false">(B4+B5+B6)*365*'2. Cost Inputs'!$B$5</f>
        <v>124</v>
      </c>
      <c r="C7" s="28" t="s">
        <v>270</v>
      </c>
      <c r="D7" s="66" t="s">
        <v>271</v>
      </c>
      <c r="E7" s="66"/>
      <c r="F7" s="66"/>
    </row>
    <row r="8" customFormat="false" ht="15" hidden="false" customHeight="true" outlineLevel="0" collapsed="false">
      <c r="A8" s="26" t="s">
        <v>272</v>
      </c>
      <c r="B8" s="34" t="n">
        <f aca="false">(B4+B5)*'2. Cost Inputs'!$B$15</f>
        <v>395.750196483891</v>
      </c>
      <c r="C8" s="28" t="s">
        <v>119</v>
      </c>
      <c r="D8" s="66" t="s">
        <v>273</v>
      </c>
      <c r="E8" s="66"/>
      <c r="F8" s="66"/>
    </row>
    <row r="9" customFormat="false" ht="15" hidden="false" customHeight="true" outlineLevel="0" collapsed="false">
      <c r="A9" s="26" t="s">
        <v>486</v>
      </c>
      <c r="B9" s="34" t="n">
        <f aca="false">'3a. Outputs - Dedicated Vessel'!$B$26*'2. Cost Inputs'!B27/'2. Cost Inputs'!B26</f>
        <v>333.333333333333</v>
      </c>
      <c r="C9" s="28" t="s">
        <v>270</v>
      </c>
      <c r="D9" s="66" t="s">
        <v>487</v>
      </c>
      <c r="E9" s="66"/>
      <c r="F9" s="66"/>
    </row>
    <row r="10" customFormat="false" ht="15" hidden="false" customHeight="true" outlineLevel="0" collapsed="false">
      <c r="A10" s="26" t="s">
        <v>488</v>
      </c>
      <c r="B10" s="34" t="n">
        <f aca="false">ROUNDUP(B7/B9,0)</f>
        <v>1</v>
      </c>
      <c r="C10" s="28" t="s">
        <v>489</v>
      </c>
      <c r="D10" s="66" t="s">
        <v>490</v>
      </c>
      <c r="E10" s="66"/>
      <c r="F10" s="66"/>
    </row>
    <row r="11" customFormat="false" ht="15" hidden="false" customHeight="true" outlineLevel="0" collapsed="false">
      <c r="A11" s="26" t="s">
        <v>279</v>
      </c>
      <c r="B11" s="34" t="n">
        <f aca="false">B7*'2. Cost Inputs'!B26</f>
        <v>334800</v>
      </c>
      <c r="C11" s="28" t="s">
        <v>277</v>
      </c>
      <c r="D11" s="66" t="s">
        <v>280</v>
      </c>
      <c r="E11" s="66"/>
      <c r="F11" s="66"/>
    </row>
    <row r="12" customFormat="false" ht="15" hidden="false" customHeight="true" outlineLevel="0" collapsed="false">
      <c r="A12" s="26" t="s">
        <v>491</v>
      </c>
      <c r="B12" s="34" t="n">
        <f aca="false">(B4+B6)*365*'2. Cost Inputs'!$B$5*'2. Cost Inputs'!B25</f>
        <v>64000</v>
      </c>
      <c r="C12" s="28" t="s">
        <v>277</v>
      </c>
      <c r="D12" s="66" t="s">
        <v>278</v>
      </c>
      <c r="E12" s="66"/>
      <c r="F12" s="66"/>
    </row>
    <row r="15" customFormat="false" ht="15" hidden="false" customHeight="true" outlineLevel="0" collapsed="false">
      <c r="A15" s="41" t="s">
        <v>398</v>
      </c>
      <c r="B15" s="41"/>
      <c r="C15" s="41"/>
      <c r="D15" s="41"/>
      <c r="E15" s="41"/>
      <c r="F15" s="41"/>
    </row>
    <row r="16" customFormat="false" ht="15" hidden="false" customHeight="true" outlineLevel="0" collapsed="false">
      <c r="B16" s="76" t="s">
        <v>243</v>
      </c>
      <c r="C16" s="76" t="s">
        <v>234</v>
      </c>
      <c r="D16" s="76" t="s">
        <v>259</v>
      </c>
    </row>
    <row r="17" customFormat="false" ht="15" hidden="false" customHeight="true" outlineLevel="0" collapsed="false">
      <c r="A17" s="26" t="s">
        <v>237</v>
      </c>
      <c r="B17" s="168" t="n">
        <f aca="false">('2. Cost Inputs'!B7*(1+'2. Cost Inputs'!B7)^'2. Cost Inputs'!B6)/((1+'2. Cost Inputs'!B7)^'2. Cost Inputs'!B6-1)</f>
        <v>0.131473776887372</v>
      </c>
    </row>
    <row r="18" customFormat="false" ht="15" hidden="false" customHeight="true" outlineLevel="0" collapsed="false">
      <c r="A18" s="26" t="s">
        <v>239</v>
      </c>
      <c r="B18" s="81" t="n">
        <f aca="false">'2. Cost Inputs'!B53*B17</f>
        <v>9566691.94410213</v>
      </c>
      <c r="C18" s="81" t="n">
        <f aca="false">B18/$B$8</f>
        <v>24173.5620830994</v>
      </c>
    </row>
    <row r="19" customFormat="false" ht="15" hidden="false" customHeight="true" outlineLevel="0" collapsed="false">
      <c r="A19" s="26" t="s">
        <v>492</v>
      </c>
      <c r="B19" s="81" t="n">
        <f aca="false">'2. Cost Inputs'!B24*'2. Cost Inputs'!D24*$B$8</f>
        <v>3601465.44003908</v>
      </c>
      <c r="C19" s="81" t="n">
        <f aca="false">B19/$B$8</f>
        <v>9100.35035241146</v>
      </c>
    </row>
    <row r="20" customFormat="false" ht="15" hidden="false" customHeight="true" outlineLevel="0" collapsed="false">
      <c r="A20" s="26" t="s">
        <v>241</v>
      </c>
      <c r="B20" s="81" t="n">
        <f aca="false">'2. Cost Inputs'!B28*'2. Cost Inputs'!D28*$B$8</f>
        <v>6229.40975331759</v>
      </c>
      <c r="C20" s="81" t="n">
        <f aca="false">B20/$B$8</f>
        <v>15.7407622501867</v>
      </c>
    </row>
    <row r="21" customFormat="false" ht="15" hidden="false" customHeight="true" outlineLevel="0" collapsed="false">
      <c r="A21" s="26" t="s">
        <v>244</v>
      </c>
      <c r="B21" s="81" t="n">
        <f aca="false">'2. Cost Inputs'!B20*'2. Cost Inputs'!D20*$B$8</f>
        <v>0</v>
      </c>
      <c r="C21" s="81" t="n">
        <f aca="false">B21/$B$8</f>
        <v>0</v>
      </c>
    </row>
    <row r="22" customFormat="false" ht="15" hidden="false" customHeight="true" outlineLevel="0" collapsed="false">
      <c r="A22" s="26" t="s">
        <v>155</v>
      </c>
      <c r="B22" s="81" t="n">
        <f aca="false">'2. Cost Inputs'!B31*'2. Cost Inputs'!D31</f>
        <v>900000</v>
      </c>
      <c r="C22" s="81" t="n">
        <f aca="false">B22/$B$8</f>
        <v>2274.16185259338</v>
      </c>
    </row>
    <row r="23" customFormat="false" ht="15" hidden="false" customHeight="true" outlineLevel="0" collapsed="false">
      <c r="A23" s="26" t="s">
        <v>160</v>
      </c>
      <c r="B23" s="81" t="n">
        <f aca="false">'2. Cost Inputs'!B53*'2. Cost Inputs'!B35</f>
        <v>5093551.36774404</v>
      </c>
      <c r="C23" s="81" t="n">
        <f aca="false">B23/$B$8</f>
        <v>12870.6224608315</v>
      </c>
    </row>
    <row r="24" customFormat="false" ht="15" hidden="false" customHeight="true" outlineLevel="0" collapsed="false">
      <c r="A24" s="26" t="s">
        <v>493</v>
      </c>
      <c r="B24" s="81" t="n">
        <f aca="false">(B11+B12)*'2. Cost Inputs'!D26</f>
        <v>358920</v>
      </c>
      <c r="C24" s="81" t="n">
        <f aca="false">B24/$B$8</f>
        <v>906.935746814241</v>
      </c>
      <c r="D24" s="66" t="s">
        <v>494</v>
      </c>
      <c r="E24" s="66"/>
      <c r="F24" s="66"/>
    </row>
    <row r="25" customFormat="false" ht="15" hidden="false" customHeight="true" outlineLevel="0" collapsed="false">
      <c r="A25" s="79" t="s">
        <v>251</v>
      </c>
      <c r="B25" s="80" t="n">
        <f aca="false">SUM(B18:B24)</f>
        <v>19526858.1616386</v>
      </c>
    </row>
    <row r="26" customFormat="false" ht="15" hidden="false" customHeight="true" outlineLevel="0" collapsed="false">
      <c r="A26" s="79" t="s">
        <v>406</v>
      </c>
      <c r="C26" s="169" t="n">
        <f aca="false">B25/$B$8</f>
        <v>49341.3732580002</v>
      </c>
    </row>
    <row r="28" customFormat="false" ht="15" hidden="false" customHeight="true" outlineLevel="0" collapsed="false">
      <c r="A28" s="41" t="s">
        <v>495</v>
      </c>
      <c r="B28" s="41"/>
      <c r="C28" s="41"/>
      <c r="D28" s="41"/>
      <c r="E28" s="41"/>
      <c r="F28" s="41"/>
    </row>
    <row r="29" customFormat="false" ht="15" hidden="false" customHeight="true" outlineLevel="0" collapsed="false">
      <c r="B29" s="76" t="s">
        <v>31</v>
      </c>
      <c r="C29" s="76" t="s">
        <v>32</v>
      </c>
      <c r="D29" s="76" t="s">
        <v>259</v>
      </c>
    </row>
    <row r="30" customFormat="false" ht="15" hidden="false" customHeight="true" outlineLevel="0" collapsed="false">
      <c r="A30" s="26" t="s">
        <v>496</v>
      </c>
      <c r="B30" s="81" t="n">
        <f aca="false">'3a. Outputs - Dedicated Vessel'!G5</f>
        <v>54047.9786281274</v>
      </c>
      <c r="C30" s="167" t="s">
        <v>409</v>
      </c>
    </row>
    <row r="31" customFormat="false" ht="15" hidden="false" customHeight="true" outlineLevel="0" collapsed="false">
      <c r="A31" s="26" t="s">
        <v>497</v>
      </c>
      <c r="B31" s="169" t="n">
        <f aca="false">C26</f>
        <v>49341.3732580002</v>
      </c>
    </row>
    <row r="32" customFormat="false" ht="15" hidden="false" customHeight="true" outlineLevel="0" collapsed="false">
      <c r="A32" s="26" t="s">
        <v>498</v>
      </c>
      <c r="B32" s="81" t="n">
        <f aca="false">B30-B31</f>
        <v>4706.60537012727</v>
      </c>
      <c r="C32" s="28" t="s">
        <v>499</v>
      </c>
    </row>
    <row r="33" customFormat="false" ht="15" hidden="false" customHeight="true" outlineLevel="0" collapsed="false">
      <c r="A33" s="170" t="s">
        <v>500</v>
      </c>
      <c r="B33" s="94" t="n">
        <f aca="false">B31/B30</f>
        <v>0.912918013039661</v>
      </c>
    </row>
  </sheetData>
  <mergeCells count="14">
    <mergeCell ref="A2:E2"/>
    <mergeCell ref="A3:F3"/>
    <mergeCell ref="D4:F4"/>
    <mergeCell ref="D5:F5"/>
    <mergeCell ref="D6:F6"/>
    <mergeCell ref="D7:F7"/>
    <mergeCell ref="D8:F8"/>
    <mergeCell ref="D9:F9"/>
    <mergeCell ref="D10:F10"/>
    <mergeCell ref="D11:F11"/>
    <mergeCell ref="D12:F12"/>
    <mergeCell ref="A15:F15"/>
    <mergeCell ref="D24:F24"/>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8.66796875" defaultRowHeight="13.5" customHeight="false" zeroHeight="false" outlineLevelRow="0" outlineLevelCol="0"/>
  <cols>
    <col collapsed="false" customWidth="true" hidden="false" outlineLevel="0" max="1" min="1" style="1" width="38"/>
    <col collapsed="false" customWidth="true" hidden="false" outlineLevel="0" max="3" min="2" style="1" width="18"/>
    <col collapsed="false" customWidth="true" hidden="false" outlineLevel="0" max="4" min="4" style="1" width="20"/>
    <col collapsed="false" customWidth="true" hidden="false" outlineLevel="0" max="5" min="5" style="1" width="50"/>
    <col collapsed="false" customWidth="false" hidden="false" outlineLevel="0" max="16384" min="6" style="1" width="8.67"/>
  </cols>
  <sheetData>
    <row r="1" customFormat="false" ht="18" hidden="false" customHeight="true" outlineLevel="0" collapsed="false">
      <c r="A1" s="20" t="s">
        <v>501</v>
      </c>
    </row>
    <row r="2" customFormat="false" ht="30" hidden="false" customHeight="true" outlineLevel="0" collapsed="false">
      <c r="A2" s="66" t="s">
        <v>502</v>
      </c>
      <c r="B2" s="66"/>
      <c r="C2" s="66"/>
      <c r="D2" s="66"/>
      <c r="E2" s="66"/>
    </row>
    <row r="4" customFormat="false" ht="13.5" hidden="false" customHeight="false" outlineLevel="0" collapsed="false">
      <c r="A4" s="41" t="s">
        <v>283</v>
      </c>
      <c r="B4" s="41"/>
      <c r="C4" s="41"/>
      <c r="D4" s="41"/>
      <c r="E4" s="41"/>
    </row>
    <row r="5" customFormat="false" ht="13.5" hidden="false" customHeight="false" outlineLevel="0" collapsed="false">
      <c r="A5" s="71" t="s">
        <v>503</v>
      </c>
      <c r="B5" s="71" t="s">
        <v>499</v>
      </c>
      <c r="C5" s="71" t="s">
        <v>243</v>
      </c>
      <c r="D5" s="71" t="s">
        <v>504</v>
      </c>
      <c r="E5" s="71" t="s">
        <v>505</v>
      </c>
    </row>
    <row r="6" customFormat="false" ht="15" hidden="false" customHeight="true" outlineLevel="0" collapsed="false">
      <c r="A6" s="26" t="s">
        <v>506</v>
      </c>
      <c r="B6" s="81" t="n">
        <f aca="false">'3a. Outputs - Dedicated Vessel'!G5</f>
        <v>54047.9786281274</v>
      </c>
      <c r="C6" s="81" t="n">
        <f aca="false">'3a. Outputs - Dedicated Vessel'!B13</f>
        <v>21389498.1616386</v>
      </c>
      <c r="D6" s="26" t="s">
        <v>507</v>
      </c>
      <c r="E6" s="26" t="s">
        <v>508</v>
      </c>
    </row>
    <row r="7" customFormat="false" ht="15" hidden="false" customHeight="true" outlineLevel="0" collapsed="false">
      <c r="A7" s="26" t="s">
        <v>509</v>
      </c>
      <c r="B7" s="81" t="n">
        <f aca="false">'3b. Outputs - Ship Piggyback'!C32</f>
        <v>21674.0050777153</v>
      </c>
      <c r="C7" s="81" t="n">
        <f aca="false">'3b. Outputs - Ship Piggyback'!B31</f>
        <v>9259921.70398443</v>
      </c>
      <c r="D7" s="120" t="n">
        <f aca="false">'3b. Outputs - Ship Piggyback'!B38</f>
        <v>0.401014166077172</v>
      </c>
      <c r="E7" s="26" t="s">
        <v>510</v>
      </c>
    </row>
    <row r="8" customFormat="false" ht="15" hidden="false" customHeight="true" outlineLevel="0" collapsed="false">
      <c r="A8" s="26" t="s">
        <v>511</v>
      </c>
      <c r="B8" s="81" t="n">
        <f aca="false">'3c. Outputs - Fixed Platform'!C33</f>
        <v>17656.2690156792</v>
      </c>
      <c r="C8" s="81" t="n">
        <f aca="false">'3c. Outputs - Fixed Platform'!B32</f>
        <v>6987471.93212749</v>
      </c>
      <c r="D8" s="120" t="n">
        <f aca="false">'3c. Outputs - Fixed Platform'!B40</f>
        <v>0.326677693853487</v>
      </c>
      <c r="E8" s="26" t="s">
        <v>512</v>
      </c>
    </row>
    <row r="9" customFormat="false" ht="15" hidden="false" customHeight="true" outlineLevel="0" collapsed="false">
      <c r="A9" s="26" t="s">
        <v>513</v>
      </c>
      <c r="B9" s="81" t="n">
        <f aca="false">'3d. Outputs - Stationary Vessel'!C26</f>
        <v>49341.3732580002</v>
      </c>
      <c r="C9" s="81" t="n">
        <f aca="false">'3d. Outputs - Stationary Vessel'!B25</f>
        <v>19526858.1616386</v>
      </c>
      <c r="D9" s="120" t="n">
        <f aca="false">'3d. Outputs - Stationary Vessel'!B33</f>
        <v>0.912918013039661</v>
      </c>
      <c r="E9" s="26" t="s">
        <v>514</v>
      </c>
    </row>
  </sheetData>
  <mergeCells count="2">
    <mergeCell ref="A2:E2"/>
    <mergeCell ref="A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8.66796875" defaultRowHeight="15" customHeight="false"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3" min="3" style="0" width="16.33"/>
    <col collapsed="false" customWidth="true" hidden="false" outlineLevel="0" max="5" min="4" style="0" width="13"/>
    <col collapsed="false" customWidth="true" hidden="false" outlineLevel="0" max="6" min="6" style="0" width="14"/>
    <col collapsed="false" customWidth="true" hidden="false" outlineLevel="0" max="7" min="7" style="0" width="39.33"/>
    <col collapsed="false" customWidth="true" hidden="false" outlineLevel="0" max="8" min="8" style="0" width="55"/>
    <col collapsed="false" customWidth="true" hidden="false" outlineLevel="0" max="9" min="9" style="0" width="14"/>
    <col collapsed="false" customWidth="true" hidden="false" outlineLevel="0" max="10" min="10" style="0" width="12"/>
  </cols>
  <sheetData>
    <row r="1" customFormat="false" ht="23.25" hidden="false" customHeight="true" outlineLevel="0" collapsed="false">
      <c r="A1" s="20" t="s">
        <v>515</v>
      </c>
      <c r="B1" s="20"/>
      <c r="C1" s="20"/>
      <c r="D1" s="20"/>
      <c r="E1" s="20"/>
      <c r="F1" s="20"/>
      <c r="G1" s="20"/>
    </row>
    <row r="2" customFormat="false" ht="27.75" hidden="false" customHeight="true" outlineLevel="0" collapsed="false">
      <c r="A2" s="178" t="s">
        <v>516</v>
      </c>
      <c r="B2" s="178"/>
      <c r="C2" s="178"/>
      <c r="D2" s="178"/>
      <c r="E2" s="178"/>
      <c r="F2" s="178"/>
      <c r="G2" s="178"/>
    </row>
    <row r="4" customFormat="false" ht="19.5" hidden="false" customHeight="true" outlineLevel="0" collapsed="false">
      <c r="A4" s="7" t="s">
        <v>95</v>
      </c>
      <c r="B4" s="7"/>
      <c r="C4" s="7"/>
      <c r="D4" s="7"/>
      <c r="E4" s="7"/>
      <c r="F4" s="7"/>
      <c r="G4" s="7"/>
      <c r="H4" s="20" t="s">
        <v>34</v>
      </c>
    </row>
    <row r="5" customFormat="false" ht="66" hidden="false" customHeight="true" outlineLevel="0" collapsed="false">
      <c r="A5" s="26" t="s">
        <v>517</v>
      </c>
      <c r="B5" s="179" t="n">
        <v>0.3</v>
      </c>
      <c r="C5" s="28" t="s">
        <v>103</v>
      </c>
      <c r="D5" s="62" t="s">
        <v>518</v>
      </c>
      <c r="E5" s="62"/>
      <c r="F5" s="62"/>
      <c r="G5" s="62"/>
      <c r="H5" s="62" t="s">
        <v>519</v>
      </c>
    </row>
    <row r="6" customFormat="false" ht="78.75" hidden="false" customHeight="true" outlineLevel="0" collapsed="false">
      <c r="A6" s="26" t="s">
        <v>520</v>
      </c>
      <c r="B6" s="42" t="n">
        <v>900</v>
      </c>
      <c r="C6" s="28" t="s">
        <v>521</v>
      </c>
      <c r="D6" s="62" t="s">
        <v>522</v>
      </c>
      <c r="E6" s="62"/>
      <c r="F6" s="62"/>
      <c r="G6" s="62"/>
      <c r="H6" s="62" t="s">
        <v>523</v>
      </c>
    </row>
    <row r="7" customFormat="false" ht="19.5" hidden="false" customHeight="true" outlineLevel="0" collapsed="false">
      <c r="A7" s="7" t="s">
        <v>524</v>
      </c>
      <c r="B7" s="7"/>
      <c r="C7" s="7"/>
      <c r="D7" s="7"/>
      <c r="E7" s="7"/>
      <c r="F7" s="7"/>
      <c r="G7" s="7"/>
    </row>
    <row r="8" customFormat="false" ht="12.75" hidden="false" customHeight="true" outlineLevel="0" collapsed="false">
      <c r="A8" s="26" t="s">
        <v>45</v>
      </c>
      <c r="B8" s="180" t="n">
        <f aca="false">'1. Technology Description'!B11</f>
        <v>2.61983445418758E+020</v>
      </c>
      <c r="C8" s="28" t="s">
        <v>525</v>
      </c>
      <c r="D8" s="62" t="s">
        <v>526</v>
      </c>
      <c r="E8" s="62"/>
      <c r="F8" s="62"/>
      <c r="G8" s="62"/>
    </row>
    <row r="9" customFormat="false" ht="48.75" hidden="false" customHeight="true" outlineLevel="0" collapsed="false">
      <c r="A9" s="26" t="s">
        <v>527</v>
      </c>
      <c r="B9" s="42" t="n">
        <v>100</v>
      </c>
      <c r="C9" s="28" t="s">
        <v>528</v>
      </c>
      <c r="D9" s="62" t="s">
        <v>529</v>
      </c>
      <c r="E9" s="62"/>
      <c r="F9" s="62"/>
      <c r="G9" s="62"/>
      <c r="H9" s="62" t="s">
        <v>530</v>
      </c>
    </row>
    <row r="10" customFormat="false" ht="28.5" hidden="false" customHeight="true" outlineLevel="0" collapsed="false">
      <c r="A10" s="26" t="s">
        <v>531</v>
      </c>
      <c r="B10" s="34" t="n">
        <f aca="false">(B18-1)*B9</f>
        <v>30</v>
      </c>
      <c r="C10" s="28" t="s">
        <v>528</v>
      </c>
      <c r="D10" s="62" t="s">
        <v>532</v>
      </c>
      <c r="E10" s="62"/>
      <c r="F10" s="62"/>
      <c r="G10" s="62"/>
    </row>
    <row r="11" customFormat="false" ht="41.25" hidden="false" customHeight="true" outlineLevel="0" collapsed="false">
      <c r="A11" s="26" t="s">
        <v>533</v>
      </c>
      <c r="B11" s="34" t="n">
        <f aca="false">B8*B5/(B10*1000000*B6*1000000)</f>
        <v>2910.92717131953</v>
      </c>
      <c r="C11" s="28" t="s">
        <v>534</v>
      </c>
      <c r="D11" s="62" t="s">
        <v>535</v>
      </c>
      <c r="E11" s="62"/>
      <c r="F11" s="62"/>
      <c r="G11" s="62"/>
    </row>
    <row r="12" customFormat="false" ht="41.25" hidden="false" customHeight="true" outlineLevel="0" collapsed="false">
      <c r="A12" s="26" t="s">
        <v>536</v>
      </c>
      <c r="B12" s="31" t="n">
        <v>50</v>
      </c>
      <c r="C12" s="28" t="s">
        <v>42</v>
      </c>
      <c r="D12" s="62" t="s">
        <v>537</v>
      </c>
      <c r="E12" s="62"/>
      <c r="F12" s="62"/>
      <c r="G12" s="62"/>
      <c r="H12" s="62" t="s">
        <v>538</v>
      </c>
    </row>
    <row r="13" customFormat="false" ht="28.5" hidden="false" customHeight="true" outlineLevel="0" collapsed="false">
      <c r="A13" s="181" t="s">
        <v>539</v>
      </c>
      <c r="B13" s="60" t="n">
        <v>0.43</v>
      </c>
      <c r="C13" s="181" t="s">
        <v>103</v>
      </c>
      <c r="D13" s="182" t="s">
        <v>540</v>
      </c>
      <c r="E13" s="182"/>
      <c r="F13" s="182"/>
      <c r="G13" s="182"/>
    </row>
    <row r="14" customFormat="false" ht="19.5" hidden="false" customHeight="true" outlineLevel="0" collapsed="false">
      <c r="A14" s="7" t="s">
        <v>97</v>
      </c>
      <c r="B14" s="183"/>
      <c r="C14" s="183"/>
      <c r="D14" s="183"/>
      <c r="E14" s="183"/>
      <c r="F14" s="183"/>
      <c r="G14" s="183"/>
    </row>
    <row r="15" customFormat="false" ht="18" hidden="false" customHeight="true" outlineLevel="0" collapsed="false">
      <c r="A15" s="61"/>
      <c r="B15" s="184" t="s">
        <v>31</v>
      </c>
      <c r="C15" s="184" t="s">
        <v>32</v>
      </c>
      <c r="D15" s="184" t="s">
        <v>259</v>
      </c>
      <c r="E15" s="184"/>
      <c r="F15" s="184"/>
      <c r="G15" s="184"/>
      <c r="H15" s="20" t="s">
        <v>34</v>
      </c>
    </row>
    <row r="16" customFormat="false" ht="28.5" hidden="false" customHeight="true" outlineLevel="0" collapsed="false">
      <c r="A16" s="26" t="s">
        <v>541</v>
      </c>
      <c r="B16" s="48" t="n">
        <v>380</v>
      </c>
      <c r="C16" s="28" t="s">
        <v>542</v>
      </c>
      <c r="D16" s="62" t="s">
        <v>543</v>
      </c>
      <c r="E16" s="62"/>
      <c r="F16" s="62"/>
      <c r="G16" s="62"/>
      <c r="H16" s="62" t="s">
        <v>544</v>
      </c>
    </row>
    <row r="17" customFormat="false" ht="25.5" hidden="false" customHeight="true" outlineLevel="0" collapsed="false">
      <c r="A17" s="26" t="s">
        <v>545</v>
      </c>
      <c r="B17" s="48" t="n">
        <v>0.4</v>
      </c>
      <c r="C17" s="28" t="s">
        <v>546</v>
      </c>
      <c r="D17" s="62" t="s">
        <v>547</v>
      </c>
      <c r="E17" s="62"/>
      <c r="F17" s="62"/>
      <c r="G17" s="62"/>
      <c r="H17" s="62" t="s">
        <v>548</v>
      </c>
    </row>
    <row r="18" customFormat="false" ht="28.5" hidden="false" customHeight="true" outlineLevel="0" collapsed="false">
      <c r="A18" s="26" t="s">
        <v>549</v>
      </c>
      <c r="B18" s="185" t="n">
        <v>1.3</v>
      </c>
      <c r="C18" s="28" t="s">
        <v>550</v>
      </c>
      <c r="D18" s="62" t="s">
        <v>551</v>
      </c>
      <c r="E18" s="62"/>
      <c r="F18" s="62"/>
      <c r="G18" s="62"/>
    </row>
    <row r="19" customFormat="false" ht="12.75" hidden="false" customHeight="true" outlineLevel="0" collapsed="false">
      <c r="A19" s="79" t="s">
        <v>552</v>
      </c>
      <c r="B19" s="186" t="n">
        <f aca="false">B16*B17*(1-B17)*(1/3)*LN(B18)</f>
        <v>7.97587363981173</v>
      </c>
      <c r="C19" s="28" t="s">
        <v>542</v>
      </c>
      <c r="D19" s="62" t="s">
        <v>553</v>
      </c>
      <c r="E19" s="62"/>
      <c r="F19" s="62"/>
      <c r="G19" s="62"/>
    </row>
    <row r="20" customFormat="false" ht="34.5" hidden="false" customHeight="true" outlineLevel="0" collapsed="false">
      <c r="A20" s="26" t="s">
        <v>554</v>
      </c>
      <c r="B20" s="187" t="n">
        <v>1</v>
      </c>
      <c r="C20" s="28"/>
      <c r="D20" s="73" t="s">
        <v>555</v>
      </c>
      <c r="E20" s="73"/>
      <c r="F20" s="73"/>
      <c r="G20" s="73"/>
      <c r="H20" s="73" t="s">
        <v>556</v>
      </c>
    </row>
    <row r="21" customFormat="false" ht="41.25" hidden="false" customHeight="true" outlineLevel="0" collapsed="false">
      <c r="A21" s="181" t="s">
        <v>557</v>
      </c>
      <c r="B21" s="188" t="n">
        <v>0.2</v>
      </c>
      <c r="C21" s="181"/>
      <c r="D21" s="62" t="s">
        <v>558</v>
      </c>
      <c r="E21" s="62"/>
      <c r="F21" s="62"/>
      <c r="G21" s="62"/>
      <c r="H21" s="62" t="s">
        <v>559</v>
      </c>
    </row>
    <row r="22" customFormat="false" ht="13.5" hidden="false" customHeight="true" outlineLevel="0" collapsed="false">
      <c r="A22" s="181" t="s">
        <v>560</v>
      </c>
      <c r="B22" s="0" t="n">
        <f aca="false">B21*B20</f>
        <v>0.2</v>
      </c>
      <c r="C22" s="181"/>
      <c r="D22" s="62" t="s">
        <v>561</v>
      </c>
      <c r="E22" s="62"/>
      <c r="F22" s="62"/>
      <c r="G22" s="62"/>
    </row>
    <row r="23" customFormat="false" ht="19.5" hidden="false" customHeight="true" outlineLevel="0" collapsed="false">
      <c r="A23" s="7" t="s">
        <v>562</v>
      </c>
      <c r="B23" s="64"/>
      <c r="C23" s="64"/>
      <c r="D23" s="64"/>
      <c r="E23" s="64"/>
      <c r="F23" s="64"/>
      <c r="G23" s="64"/>
      <c r="H23" s="79"/>
    </row>
    <row r="24" customFormat="false" ht="25.5" hidden="false" customHeight="true" outlineLevel="0" collapsed="false">
      <c r="A24" s="26" t="s">
        <v>563</v>
      </c>
      <c r="B24" s="42" t="n">
        <v>3</v>
      </c>
      <c r="C24" s="28" t="s">
        <v>270</v>
      </c>
      <c r="D24" s="62" t="s">
        <v>564</v>
      </c>
      <c r="E24" s="62"/>
      <c r="F24" s="62"/>
      <c r="G24" s="62"/>
      <c r="H24" s="62" t="s">
        <v>565</v>
      </c>
    </row>
    <row r="25" customFormat="false" ht="54" hidden="false" customHeight="true" outlineLevel="0" collapsed="false">
      <c r="A25" s="26" t="s">
        <v>566</v>
      </c>
      <c r="B25" s="189" t="n">
        <v>0.0225</v>
      </c>
      <c r="C25" s="28" t="s">
        <v>567</v>
      </c>
      <c r="D25" s="62" t="s">
        <v>568</v>
      </c>
      <c r="E25" s="62"/>
      <c r="F25" s="62"/>
      <c r="G25" s="62"/>
      <c r="H25" s="62" t="s">
        <v>569</v>
      </c>
    </row>
    <row r="26" customFormat="false" ht="15" hidden="false" customHeight="true" outlineLevel="0" collapsed="false">
      <c r="A26" s="190"/>
    </row>
    <row r="27" customFormat="false" ht="19.5" hidden="false" customHeight="true" outlineLevel="0" collapsed="false">
      <c r="A27" s="7" t="s">
        <v>570</v>
      </c>
      <c r="B27" s="183"/>
      <c r="C27" s="183"/>
      <c r="D27" s="183"/>
      <c r="E27" s="64"/>
      <c r="F27" s="64"/>
      <c r="G27" s="64"/>
    </row>
    <row r="28" customFormat="false" ht="15" hidden="false" customHeight="true" outlineLevel="0" collapsed="false">
      <c r="A28" s="61"/>
      <c r="B28" s="184" t="s">
        <v>31</v>
      </c>
      <c r="C28" s="184" t="s">
        <v>32</v>
      </c>
      <c r="D28" s="184" t="s">
        <v>571</v>
      </c>
      <c r="E28" s="184"/>
      <c r="F28" s="184"/>
      <c r="G28" s="184"/>
    </row>
    <row r="29" customFormat="false" ht="16.5" hidden="false" customHeight="true" outlineLevel="0" collapsed="false">
      <c r="A29" s="26" t="s">
        <v>238</v>
      </c>
      <c r="B29" s="191" t="n">
        <f aca="false">'3a. Outputs - Dedicated Vessel'!G5</f>
        <v>54047.9786281274</v>
      </c>
      <c r="C29" s="28" t="s">
        <v>234</v>
      </c>
      <c r="D29" s="192" t="s">
        <v>572</v>
      </c>
      <c r="E29" s="192"/>
      <c r="F29" s="192"/>
      <c r="G29" s="192"/>
    </row>
    <row r="30" customFormat="false" ht="15" hidden="false" customHeight="true" outlineLevel="0" collapsed="false"/>
    <row r="31" customFormat="false" ht="19.5" hidden="false" customHeight="true" outlineLevel="0" collapsed="false">
      <c r="A31" s="7" t="s">
        <v>99</v>
      </c>
      <c r="B31" s="183"/>
      <c r="C31" s="183"/>
      <c r="D31" s="183"/>
      <c r="E31" s="64"/>
      <c r="F31" s="64"/>
      <c r="G31" s="64"/>
    </row>
    <row r="32" customFormat="false" ht="15" hidden="false" customHeight="true" outlineLevel="0" collapsed="false">
      <c r="A32" s="61"/>
      <c r="B32" s="184" t="s">
        <v>31</v>
      </c>
      <c r="C32" s="184" t="s">
        <v>32</v>
      </c>
      <c r="D32" s="184" t="s">
        <v>33</v>
      </c>
      <c r="E32" s="184"/>
      <c r="F32" s="184"/>
      <c r="G32" s="184"/>
    </row>
    <row r="33" customFormat="false" ht="12.75" hidden="false" customHeight="true" outlineLevel="0" collapsed="false">
      <c r="A33" s="26" t="s">
        <v>573</v>
      </c>
      <c r="B33" s="193" t="n">
        <f aca="false">(B19*B25*(B11*100)*B24)*B20*B21</f>
        <v>31343.2028457379</v>
      </c>
      <c r="C33" s="28" t="s">
        <v>574</v>
      </c>
      <c r="D33" s="62" t="s">
        <v>575</v>
      </c>
      <c r="E33" s="62"/>
      <c r="F33" s="62"/>
      <c r="G33" s="62"/>
    </row>
    <row r="34" customFormat="false" ht="15.75" hidden="false" customHeight="true" outlineLevel="0" collapsed="false">
      <c r="A34" s="194" t="s">
        <v>576</v>
      </c>
      <c r="B34" s="195" t="n">
        <f aca="false">B29/B33</f>
        <v>1.72439233138157</v>
      </c>
      <c r="C34" s="92" t="s">
        <v>577</v>
      </c>
      <c r="D34" s="196" t="s">
        <v>578</v>
      </c>
      <c r="E34" s="196"/>
      <c r="F34" s="196"/>
      <c r="G34" s="196"/>
    </row>
  </sheetData>
  <mergeCells count="25">
    <mergeCell ref="A1:G1"/>
    <mergeCell ref="A2:G2"/>
    <mergeCell ref="D5:G5"/>
    <mergeCell ref="D6:G6"/>
    <mergeCell ref="D8:G8"/>
    <mergeCell ref="D9:G9"/>
    <mergeCell ref="D10:G10"/>
    <mergeCell ref="D11:G11"/>
    <mergeCell ref="D12:G12"/>
    <mergeCell ref="D13:G13"/>
    <mergeCell ref="D15:G15"/>
    <mergeCell ref="D16:G16"/>
    <mergeCell ref="D17:G17"/>
    <mergeCell ref="D18:G18"/>
    <mergeCell ref="D19:G19"/>
    <mergeCell ref="D20:G20"/>
    <mergeCell ref="D21:G21"/>
    <mergeCell ref="D22:G22"/>
    <mergeCell ref="D24:G24"/>
    <mergeCell ref="D25:G25"/>
    <mergeCell ref="D28:G28"/>
    <mergeCell ref="D29:G29"/>
    <mergeCell ref="D32:G32"/>
    <mergeCell ref="D33:G33"/>
    <mergeCell ref="D34:G34"/>
  </mergeCells>
  <dataValidations count="1">
    <dataValidation allowBlank="true" errorStyle="stop" operator="between" showDropDown="false" showErrorMessage="true" showInputMessage="true" sqref="B18" type="list">
      <formula1>"1,1.1,1.2,1.3,1.4,1.5,1.6,1.7,1.8,1.9,2"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7" activeCellId="0" sqref="E17"/>
    </sheetView>
  </sheetViews>
  <sheetFormatPr defaultColWidth="8.66796875" defaultRowHeight="15" customHeight="false"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6" min="3" style="0" width="13"/>
    <col collapsed="false" customWidth="true" hidden="false" outlineLevel="0" max="7" min="7" style="0" width="14"/>
    <col collapsed="false" customWidth="true" hidden="false" outlineLevel="0" max="8" min="8" style="0" width="15"/>
    <col collapsed="false" customWidth="true" hidden="false" outlineLevel="0" max="9" min="9" style="0" width="46"/>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13"/>
  </cols>
  <sheetData>
    <row r="1" customFormat="false" ht="15" hidden="false" customHeight="true" outlineLevel="0" collapsed="false">
      <c r="A1" s="197" t="s">
        <v>579</v>
      </c>
    </row>
    <row r="2" customFormat="false" ht="24" hidden="false" customHeight="true" outlineLevel="0" collapsed="false">
      <c r="A2" s="198" t="s">
        <v>580</v>
      </c>
      <c r="B2" s="198"/>
      <c r="C2" s="198"/>
      <c r="D2" s="198"/>
      <c r="E2" s="198"/>
      <c r="F2" s="198"/>
      <c r="G2" s="198"/>
      <c r="H2" s="198"/>
    </row>
    <row r="3" customFormat="false" ht="19.5" hidden="false" customHeight="true" outlineLevel="0" collapsed="false">
      <c r="A3" s="41" t="s">
        <v>581</v>
      </c>
      <c r="B3" s="41"/>
      <c r="C3" s="41"/>
      <c r="D3" s="41"/>
      <c r="E3" s="41"/>
      <c r="F3" s="41"/>
      <c r="G3" s="41"/>
      <c r="H3" s="41"/>
      <c r="I3" s="41"/>
    </row>
    <row r="4" customFormat="false" ht="28.5" hidden="false" customHeight="true" outlineLevel="0" collapsed="false">
      <c r="A4" s="199" t="s">
        <v>582</v>
      </c>
      <c r="B4" s="199"/>
      <c r="C4" s="199"/>
      <c r="D4" s="199"/>
      <c r="E4" s="199"/>
      <c r="F4" s="199"/>
      <c r="G4" s="199"/>
      <c r="H4" s="199"/>
      <c r="I4" s="199"/>
    </row>
    <row r="5" customFormat="false" ht="28.5" hidden="false" customHeight="true" outlineLevel="0" collapsed="false">
      <c r="A5" s="200" t="s">
        <v>583</v>
      </c>
      <c r="B5" s="201" t="s">
        <v>584</v>
      </c>
      <c r="C5" s="201" t="s">
        <v>286</v>
      </c>
      <c r="D5" s="201" t="s">
        <v>585</v>
      </c>
      <c r="E5" s="201" t="s">
        <v>586</v>
      </c>
      <c r="F5" s="201" t="s">
        <v>587</v>
      </c>
      <c r="G5" s="201" t="s">
        <v>588</v>
      </c>
      <c r="H5" s="201" t="s">
        <v>589</v>
      </c>
      <c r="I5" s="20" t="s">
        <v>34</v>
      </c>
      <c r="J5" s="202" t="s">
        <v>350</v>
      </c>
      <c r="K5" s="202" t="s">
        <v>351</v>
      </c>
      <c r="L5" s="202" t="s">
        <v>352</v>
      </c>
      <c r="M5" s="202" t="s">
        <v>353</v>
      </c>
      <c r="N5" s="0" t="s">
        <v>590</v>
      </c>
    </row>
    <row r="6" customFormat="false" ht="28.5" hidden="false" customHeight="true" outlineLevel="0" collapsed="false">
      <c r="A6" s="203" t="s">
        <v>591</v>
      </c>
      <c r="B6" s="204" t="n">
        <v>0.3</v>
      </c>
      <c r="C6" s="205" t="n">
        <f aca="false">'5a. Cooling Model - Local'!$B$17</f>
        <v>0.4</v>
      </c>
      <c r="D6" s="204" t="n">
        <v>0.6</v>
      </c>
      <c r="E6" s="206" t="n">
        <f aca="false">'5a. Cooling Model - Local'!$B$34*(('5a. Cooling Model - Local'!$B$17*(1-'5a. Cooling Model - Local'!$B$17))/(B6*(1-B6)))</f>
        <v>1.97073409300751</v>
      </c>
      <c r="F6" s="206" t="n">
        <f aca="false">'5a. Cooling Model - Local'!$B$34</f>
        <v>1.72439233138157</v>
      </c>
      <c r="G6" s="206" t="n">
        <f aca="false">'5a. Cooling Model - Local'!$B$34*(('5a. Cooling Model - Local'!$B$17*(1-'5a. Cooling Model - Local'!$B$17))/(D6*(1-D6)))</f>
        <v>1.72439233138157</v>
      </c>
      <c r="H6" s="207" t="n">
        <f aca="false">MAX(E6,F6,G6)-MIN(E6,F6,G6)</f>
        <v>0.246341761625939</v>
      </c>
      <c r="I6" s="208" t="s">
        <v>592</v>
      </c>
      <c r="J6" s="209" t="n">
        <f aca="false">MIN(E6,F6,G6)</f>
        <v>1.72439233138157</v>
      </c>
      <c r="K6" s="209" t="n">
        <f aca="false">MAX(0,F6-MIN(E6,G6))</f>
        <v>0</v>
      </c>
      <c r="L6" s="209" t="n">
        <f aca="false">MAX(0,MAX(E6,G6)-F6)</f>
        <v>0.246341761625939</v>
      </c>
      <c r="M6" s="209" t="n">
        <f aca="false">J6+K6+L6</f>
        <v>1.97073409300751</v>
      </c>
      <c r="N6" s="0" t="n">
        <f aca="false">20-MAX(E6:G6)</f>
        <v>18.0292659069925</v>
      </c>
    </row>
    <row r="7" customFormat="false" ht="15" hidden="false" customHeight="true" outlineLevel="0" collapsed="false">
      <c r="A7" s="203" t="s">
        <v>593</v>
      </c>
      <c r="B7" s="65" t="n">
        <f aca="false">'3a. Outputs - Dedicated Vessel'!B58</f>
        <v>0.45</v>
      </c>
      <c r="C7" s="205" t="n">
        <f aca="false">'2. Cost Inputs'!D24</f>
        <v>0.3</v>
      </c>
      <c r="D7" s="65" t="n">
        <f aca="false">'3a. Outputs - Dedicated Vessel'!D58</f>
        <v>0.18</v>
      </c>
      <c r="E7" s="206" t="n">
        <f aca="false">MAX('3a. Outputs - Dedicated Vessel'!AJ67,'3a. Outputs - Dedicated Vessel'!AJ68)/'5a. Cooling Model - Local'!$B$33</f>
        <v>1.86956496094979</v>
      </c>
      <c r="F7" s="206" t="n">
        <f aca="false">'5a. Cooling Model - Local'!$B$34</f>
        <v>1.72439233138157</v>
      </c>
      <c r="G7" s="206" t="n">
        <f aca="false">MIN('3a. Outputs - Dedicated Vessel'!AJ67,'3a. Outputs - Dedicated Vessel'!AJ68)/'5a. Cooling Model - Local'!$B$33</f>
        <v>1.608254227727</v>
      </c>
      <c r="H7" s="207" t="n">
        <f aca="false">MAX(E7,F7,G7)-MIN(E7,F7,G7)</f>
        <v>0.261310733222787</v>
      </c>
      <c r="J7" s="209" t="n">
        <f aca="false">MIN(E7,F7,G7)</f>
        <v>1.608254227727</v>
      </c>
      <c r="K7" s="209" t="n">
        <f aca="false">MAX(0,F7-MIN(E7,G7))</f>
        <v>0.116138103654573</v>
      </c>
      <c r="L7" s="209" t="n">
        <f aca="false">MAX(0,MAX(E7,G7)-F7)</f>
        <v>0.145172629568215</v>
      </c>
      <c r="M7" s="209" t="n">
        <f aca="false">J7+K7+L7</f>
        <v>1.86956496094979</v>
      </c>
      <c r="N7" s="0" t="n">
        <f aca="false">20-MAX(E7:G7)</f>
        <v>18.1304350390502</v>
      </c>
    </row>
    <row r="8" customFormat="false" ht="15" hidden="false" customHeight="true" outlineLevel="0" collapsed="false">
      <c r="A8" s="203" t="s">
        <v>594</v>
      </c>
      <c r="B8" s="65" t="n">
        <f aca="false">'3a. Outputs - Dedicated Vessel'!B55</f>
        <v>56250000</v>
      </c>
      <c r="C8" s="205" t="n">
        <f aca="false">'2. Cost Inputs'!D43</f>
        <v>7500000</v>
      </c>
      <c r="D8" s="65" t="n">
        <f aca="false">'3a. Outputs - Dedicated Vessel'!D55</f>
        <v>22500000</v>
      </c>
      <c r="E8" s="206" t="n">
        <f aca="false">MAX('3a. Outputs - Dedicated Vessel'!AJ61,'3a. Outputs - Dedicated Vessel'!AJ62)/'5a. Cooling Model - Local'!$B$33</f>
        <v>2.21166861044195</v>
      </c>
      <c r="F8" s="206" t="n">
        <f aca="false">'5a. Cooling Model - Local'!$B$34</f>
        <v>1.72439233138157</v>
      </c>
      <c r="G8" s="206" t="n">
        <f aca="false">MIN('3a. Outputs - Dedicated Vessel'!AJ61,'3a. Outputs - Dedicated Vessel'!AJ62)/'5a. Cooling Model - Local'!$B$33</f>
        <v>1.33457130813327</v>
      </c>
      <c r="H8" s="207" t="n">
        <f aca="false">MAX(E8,F8,G8)-MIN(E8,F8,G8)</f>
        <v>0.877097302308677</v>
      </c>
      <c r="J8" s="209" t="n">
        <f aca="false">MIN(E8,F8,G8)</f>
        <v>1.33457130813327</v>
      </c>
      <c r="K8" s="209" t="n">
        <f aca="false">MAX(0,F8-MIN(E8,G8))</f>
        <v>0.389821023248302</v>
      </c>
      <c r="L8" s="209" t="n">
        <f aca="false">MAX(0,MAX(E8,G8)-F8)</f>
        <v>0.487276279060376</v>
      </c>
      <c r="M8" s="209" t="n">
        <f aca="false">J8+K8+L8</f>
        <v>2.21166861044195</v>
      </c>
      <c r="N8" s="0" t="n">
        <f aca="false">20-MAX(E8:G8)</f>
        <v>17.7883313895581</v>
      </c>
    </row>
    <row r="9" customFormat="false" ht="15" hidden="false" customHeight="true" outlineLevel="0" collapsed="false">
      <c r="A9" s="203" t="s">
        <v>595</v>
      </c>
      <c r="B9" s="65" t="n">
        <f aca="false">'3a. Outputs - Dedicated Vessel'!B54</f>
        <v>1000</v>
      </c>
      <c r="C9" s="205" t="n">
        <f aca="false">'2. Cost Inputs'!D40</f>
        <v>100</v>
      </c>
      <c r="D9" s="65" t="n">
        <f aca="false">'3a. Outputs - Dedicated Vessel'!D54</f>
        <v>10</v>
      </c>
      <c r="E9" s="206" t="n">
        <f aca="false">MAX('3a. Outputs - Dedicated Vessel'!AJ59,'3a. Outputs - Dedicated Vessel'!AJ60)/'5a. Cooling Model - Local'!$B$33</f>
        <v>1.93861458221004</v>
      </c>
      <c r="F9" s="206" t="n">
        <f aca="false">'5a. Cooling Model - Local'!$B$34</f>
        <v>1.72439233138157</v>
      </c>
      <c r="G9" s="206" t="n">
        <f aca="false">MIN('3a. Outputs - Dedicated Vessel'!AJ59,'3a. Outputs - Dedicated Vessel'!AJ60)/'5a. Cooling Model - Local'!$B$33</f>
        <v>1.70297010629873</v>
      </c>
      <c r="H9" s="207" t="n">
        <f aca="false">MAX(E9,F9,G9)-MIN(E9,F9,G9)</f>
        <v>0.235644475911311</v>
      </c>
      <c r="J9" s="209" t="n">
        <f aca="false">MIN(E9,F9,G9)</f>
        <v>1.70297010629873</v>
      </c>
      <c r="K9" s="209" t="n">
        <f aca="false">MAX(0,F9-MIN(E9,G9))</f>
        <v>0.0214222250828466</v>
      </c>
      <c r="L9" s="209" t="n">
        <f aca="false">MAX(0,MAX(E9,G9)-F9)</f>
        <v>0.214222250828464</v>
      </c>
      <c r="M9" s="209" t="n">
        <f aca="false">J9+K9+L9</f>
        <v>1.93861458221004</v>
      </c>
      <c r="N9" s="0" t="n">
        <f aca="false">20-MAX(E9:G9)</f>
        <v>18.06138541779</v>
      </c>
    </row>
    <row r="10" customFormat="false" ht="15" hidden="false" customHeight="true" outlineLevel="0" collapsed="false">
      <c r="A10" s="203" t="s">
        <v>596</v>
      </c>
      <c r="B10" s="65" t="n">
        <f aca="false">'3a. Outputs - Dedicated Vessel'!B53</f>
        <v>0.197260273972603</v>
      </c>
      <c r="C10" s="205" t="n">
        <f aca="false">('3a. Outputs - Dedicated Vessel'!$B$18+'3a. Outputs - Dedicated Vessel'!$B$19)*'2. Cost Inputs'!$B$5</f>
        <v>0.328767123287671</v>
      </c>
      <c r="D10" s="65" t="n">
        <f aca="false">'3a. Outputs - Dedicated Vessel'!D53</f>
        <v>0.427397260273973</v>
      </c>
      <c r="E10" s="206" t="n">
        <f aca="false">MAX('3a. Outputs - Dedicated Vessel'!AJ57,'3a. Outputs - Dedicated Vessel'!AJ58)/'5a. Cooling Model - Local'!$B$33</f>
        <v>2.57154396661322</v>
      </c>
      <c r="F10" s="206" t="n">
        <f aca="false">'5a. Cooling Model - Local'!$B$34</f>
        <v>1.72439233138157</v>
      </c>
      <c r="G10" s="206" t="n">
        <f aca="false">MIN('3a. Outputs - Dedicated Vessel'!AJ57,'3a. Outputs - Dedicated Vessel'!AJ58)/'5a. Cooling Model - Local'!$B$33</f>
        <v>1.43114753457062</v>
      </c>
      <c r="H10" s="207" t="n">
        <f aca="false">MAX(E10,F10,G10)-MIN(E10,F10,G10)</f>
        <v>1.14039643204261</v>
      </c>
      <c r="J10" s="209" t="n">
        <f aca="false">MIN(E10,F10,G10)</f>
        <v>1.43114753457062</v>
      </c>
      <c r="K10" s="209" t="n">
        <f aca="false">MAX(0,F10-MIN(E10,G10))</f>
        <v>0.293244796810957</v>
      </c>
      <c r="L10" s="209" t="n">
        <f aca="false">MAX(0,MAX(E10,G10)-F10)</f>
        <v>0.84715163523165</v>
      </c>
      <c r="M10" s="209" t="n">
        <f aca="false">J10+K10+L10</f>
        <v>2.57154396661322</v>
      </c>
      <c r="N10" s="0" t="n">
        <f aca="false">20-MAX(E10:G10)</f>
        <v>17.4284560333868</v>
      </c>
    </row>
    <row r="11" customFormat="false" ht="15" hidden="false" customHeight="true" outlineLevel="0" collapsed="false">
      <c r="A11" s="203" t="s">
        <v>597</v>
      </c>
      <c r="B11" s="65" t="n">
        <f aca="false">'3a. Outputs - Dedicated Vessel'!B52</f>
        <v>210000</v>
      </c>
      <c r="C11" s="205" t="n">
        <f aca="false">'2. Cost Inputs'!D31</f>
        <v>150000</v>
      </c>
      <c r="D11" s="65" t="n">
        <f aca="false">'3a. Outputs - Dedicated Vessel'!D52</f>
        <v>105000</v>
      </c>
      <c r="E11" s="206" t="n">
        <f aca="false">MAX('3a. Outputs - Dedicated Vessel'!AJ55,'3a. Outputs - Dedicated Vessel'!AJ56)/'5a. Cooling Model - Local'!$B$33</f>
        <v>1.75341504311638</v>
      </c>
      <c r="F11" s="206" t="n">
        <f aca="false">'5a. Cooling Model - Local'!$B$34</f>
        <v>1.72439233138157</v>
      </c>
      <c r="G11" s="206" t="n">
        <f aca="false">MIN('3a. Outputs - Dedicated Vessel'!AJ55,'3a. Outputs - Dedicated Vessel'!AJ56)/'5a. Cooling Model - Local'!$B$33</f>
        <v>1.70262529758047</v>
      </c>
      <c r="H11" s="207" t="n">
        <f aca="false">MAX(E11,F11,G11)-MIN(E11,F11,G11)</f>
        <v>0.0507897455359077</v>
      </c>
      <c r="J11" s="209" t="n">
        <f aca="false">MIN(E11,F11,G11)</f>
        <v>1.70262529758047</v>
      </c>
      <c r="K11" s="209" t="n">
        <f aca="false">MAX(0,F11-MIN(E11,G11))</f>
        <v>0.0217670338011038</v>
      </c>
      <c r="L11" s="209" t="n">
        <f aca="false">MAX(0,MAX(E11,G11)-F11)</f>
        <v>0.0290227117348039</v>
      </c>
      <c r="M11" s="209" t="n">
        <f aca="false">J11+K11+L11</f>
        <v>1.75341504311638</v>
      </c>
      <c r="N11" s="0" t="n">
        <f aca="false">20-MAX(E11:G11)</f>
        <v>18.2465849568836</v>
      </c>
    </row>
    <row r="12" customFormat="false" ht="28.5" hidden="false" customHeight="true" outlineLevel="0" collapsed="false">
      <c r="A12" s="203" t="s">
        <v>598</v>
      </c>
      <c r="B12" s="48" t="n">
        <v>340</v>
      </c>
      <c r="C12" s="210" t="n">
        <f aca="false">'5a. Cooling Model - Local'!$B$16</f>
        <v>380</v>
      </c>
      <c r="D12" s="48" t="n">
        <v>420</v>
      </c>
      <c r="E12" s="206" t="n">
        <f aca="false">'5a. Cooling Model - Local'!$B$34*('5a. Cooling Model - Local'!$B$16/B12)</f>
        <v>1.92726201742646</v>
      </c>
      <c r="F12" s="206" t="n">
        <f aca="false">'5a. Cooling Model - Local'!$B$34</f>
        <v>1.72439233138157</v>
      </c>
      <c r="G12" s="206" t="n">
        <f aca="false">'5a. Cooling Model - Local'!$B$34*('5a. Cooling Model - Local'!$B$16/D12)</f>
        <v>1.56016449029761</v>
      </c>
      <c r="H12" s="207" t="n">
        <f aca="false">MAX(E12,F12,G12)-MIN(E12,F12,G12)</f>
        <v>0.36709752712885</v>
      </c>
      <c r="I12" s="208" t="s">
        <v>599</v>
      </c>
      <c r="J12" s="209" t="n">
        <f aca="false">MIN(E12,F12,G12)</f>
        <v>1.56016449029761</v>
      </c>
      <c r="K12" s="209" t="n">
        <f aca="false">MAX(0,F12-MIN(E12,G12))</f>
        <v>0.164227841083959</v>
      </c>
      <c r="L12" s="209" t="n">
        <f aca="false">MAX(0,MAX(E12,G12)-F12)</f>
        <v>0.202869686044891</v>
      </c>
      <c r="M12" s="209" t="n">
        <f aca="false">J12+K12+L12</f>
        <v>1.92726201742646</v>
      </c>
      <c r="N12" s="0" t="n">
        <f aca="false">20-MAX(E12:G12)</f>
        <v>18.0727379825735</v>
      </c>
    </row>
    <row r="13" customFormat="false" ht="15" hidden="false" customHeight="true" outlineLevel="0" collapsed="false">
      <c r="A13" s="203" t="s">
        <v>600</v>
      </c>
      <c r="B13" s="210" t="n">
        <v>1.14</v>
      </c>
      <c r="C13" s="210" t="n">
        <f aca="false">'5a. Cooling Model - Local'!$B$18</f>
        <v>1.3</v>
      </c>
      <c r="D13" s="210" t="n">
        <v>1.73</v>
      </c>
      <c r="E13" s="206" t="n">
        <f aca="false">'5a. Cooling Model - Local'!$B$34*((LN('5a. Cooling Model - Local'!$B$18)/('5a. Cooling Model - Local'!$B$18-1))/(LN(B13)/(B13-1)))</f>
        <v>1.61132284062067</v>
      </c>
      <c r="F13" s="206" t="n">
        <f aca="false">'5a. Cooling Model - Local'!$B$34</f>
        <v>1.72439233138157</v>
      </c>
      <c r="G13" s="206" t="n">
        <f aca="false">'5a. Cooling Model - Local'!$B$34*((LN('5a. Cooling Model - Local'!$B$18)/('5a. Cooling Model - Local'!$B$18-1))/(LN(D13)/(D13-1)))</f>
        <v>2.0084711806318</v>
      </c>
      <c r="H13" s="207" t="n">
        <f aca="false">MAX(E13,F13,G13)-MIN(E13,F13,G13)</f>
        <v>0.397148340011132</v>
      </c>
      <c r="I13" s="0" t="s">
        <v>601</v>
      </c>
      <c r="J13" s="209" t="n">
        <f aca="false">MIN(E13,F13,G13)</f>
        <v>1.61132284062067</v>
      </c>
      <c r="K13" s="209" t="n">
        <f aca="false">MAX(0,F13-MIN(E13,G13))</f>
        <v>0.113069490760906</v>
      </c>
      <c r="L13" s="209" t="n">
        <f aca="false">MAX(0,MAX(E13,G13)-F13)</f>
        <v>0.284078849250226</v>
      </c>
      <c r="M13" s="209" t="n">
        <f aca="false">J13+K13+L13</f>
        <v>2.0084711806318</v>
      </c>
      <c r="N13" s="0" t="n">
        <f aca="false">20-MAX(E13:G13)</f>
        <v>17.9915288193682</v>
      </c>
    </row>
    <row r="14" customFormat="false" ht="15" hidden="false" customHeight="true" outlineLevel="0" collapsed="false">
      <c r="A14" s="203" t="s">
        <v>602</v>
      </c>
      <c r="B14" s="210" t="n">
        <v>2</v>
      </c>
      <c r="C14" s="210" t="n">
        <f aca="false">'5a. Cooling Model - Local'!$B$24</f>
        <v>3</v>
      </c>
      <c r="D14" s="210" t="n">
        <v>4</v>
      </c>
      <c r="E14" s="206" t="n">
        <f aca="false">'5a. Cooling Model - Local'!$B$34*('5a. Cooling Model - Local'!$B$24/B14)</f>
        <v>2.58658849707236</v>
      </c>
      <c r="F14" s="206" t="n">
        <f aca="false">'5a. Cooling Model - Local'!$B$34</f>
        <v>1.72439233138157</v>
      </c>
      <c r="G14" s="206" t="n">
        <f aca="false">'5a. Cooling Model - Local'!$B$34*('5a. Cooling Model - Local'!$B$24/D14)</f>
        <v>1.29329424853618</v>
      </c>
      <c r="H14" s="207" t="n">
        <f aca="false">MAX(E14,F14,G14)-MIN(E14,F14,G14)</f>
        <v>1.29329424853618</v>
      </c>
      <c r="J14" s="209" t="n">
        <f aca="false">MIN(E14,F14,G14)</f>
        <v>1.29329424853618</v>
      </c>
      <c r="K14" s="209" t="n">
        <f aca="false">MAX(0,F14-MIN(E14,G14))</f>
        <v>0.431098082845393</v>
      </c>
      <c r="L14" s="209" t="n">
        <f aca="false">MAX(0,MAX(E14,G14)-F14)</f>
        <v>0.862196165690786</v>
      </c>
      <c r="M14" s="209" t="n">
        <f aca="false">J14+K14+L14</f>
        <v>2.58658849707236</v>
      </c>
      <c r="N14" s="0" t="n">
        <f aca="false">20-MAX(E14:G14)</f>
        <v>17.4134115029276</v>
      </c>
    </row>
    <row r="15" customFormat="false" ht="15" hidden="false" customHeight="true" outlineLevel="0" collapsed="false">
      <c r="A15" s="203" t="s">
        <v>603</v>
      </c>
      <c r="B15" s="210" t="n">
        <v>0.015</v>
      </c>
      <c r="C15" s="210" t="n">
        <f aca="false">'5a. Cooling Model - Local'!$B$25</f>
        <v>0.0225</v>
      </c>
      <c r="D15" s="210" t="n">
        <v>0.032</v>
      </c>
      <c r="E15" s="206" t="n">
        <f aca="false">'5a. Cooling Model - Local'!$B$34*('5a. Cooling Model - Local'!$B$25/B15)</f>
        <v>2.58658849707236</v>
      </c>
      <c r="F15" s="206" t="n">
        <f aca="false">'5a. Cooling Model - Local'!$B$34</f>
        <v>1.72439233138157</v>
      </c>
      <c r="G15" s="206" t="n">
        <f aca="false">'5a. Cooling Model - Local'!$B$34*('5a. Cooling Model - Local'!$B$25/D15)</f>
        <v>1.21246335800267</v>
      </c>
      <c r="H15" s="207" t="n">
        <f aca="false">MAX(E15,F15,G15)-MIN(E15,F15,G15)</f>
        <v>1.37412513906969</v>
      </c>
      <c r="J15" s="209" t="n">
        <f aca="false">MIN(E15,F15,G15)</f>
        <v>1.21246335800267</v>
      </c>
      <c r="K15" s="209" t="n">
        <f aca="false">MAX(0,F15-MIN(E15,G15))</f>
        <v>0.511928973378904</v>
      </c>
      <c r="L15" s="209" t="n">
        <f aca="false">MAX(0,MAX(E15,G15)-F15)</f>
        <v>0.862196165690786</v>
      </c>
      <c r="M15" s="209" t="n">
        <f aca="false">J15+K15+L15</f>
        <v>2.58658849707236</v>
      </c>
      <c r="N15" s="0" t="n">
        <f aca="false">20-MAX(E15:G15)</f>
        <v>17.4134115029276</v>
      </c>
    </row>
    <row r="16" customFormat="false" ht="15" hidden="false" customHeight="true" outlineLevel="0" collapsed="false">
      <c r="A16" s="203" t="s">
        <v>604</v>
      </c>
      <c r="B16" s="210" t="n">
        <f aca="false">0.5*C16</f>
        <v>0.1</v>
      </c>
      <c r="C16" s="210" t="n">
        <f aca="false">'5a. Cooling Model - Local'!$B$22</f>
        <v>0.2</v>
      </c>
      <c r="D16" s="210" t="n">
        <f aca="false">2*C16</f>
        <v>0.4</v>
      </c>
      <c r="E16" s="206" t="n">
        <f aca="false">'5a. Cooling Model - Local'!$B$34*('5a. Cooling Model - Local'!$B$22/B16)</f>
        <v>3.44878466276315</v>
      </c>
      <c r="F16" s="206" t="n">
        <f aca="false">'5a. Cooling Model - Local'!$B$34</f>
        <v>1.72439233138157</v>
      </c>
      <c r="G16" s="206" t="n">
        <f aca="false">'5a. Cooling Model - Local'!$B$34*('5a. Cooling Model - Local'!$B$22/D16)</f>
        <v>0.862196165690786</v>
      </c>
      <c r="H16" s="207" t="n">
        <f aca="false">MAX(E16,F16,G16)-MIN(E16,F16,G16)</f>
        <v>2.58658849707236</v>
      </c>
      <c r="J16" s="209" t="n">
        <f aca="false">MIN(E16,F16,G16)</f>
        <v>0.862196165690786</v>
      </c>
      <c r="K16" s="209" t="n">
        <f aca="false">MAX(0,F16-MIN(E16,G16))</f>
        <v>0.862196165690786</v>
      </c>
      <c r="L16" s="209" t="n">
        <f aca="false">MAX(0,MAX(E16,G16)-F16)</f>
        <v>1.72439233138157</v>
      </c>
      <c r="M16" s="209" t="n">
        <f aca="false">J16+K16+L16</f>
        <v>3.44878466276315</v>
      </c>
      <c r="N16" s="0" t="n">
        <f aca="false">20-MAX(E16:G16)</f>
        <v>16.5512153372369</v>
      </c>
    </row>
    <row r="17" customFormat="false" ht="15" hidden="false" customHeight="true" outlineLevel="0" collapsed="false">
      <c r="A17" s="203" t="s">
        <v>605</v>
      </c>
      <c r="B17" s="210" t="n">
        <v>0.1</v>
      </c>
      <c r="C17" s="210" t="n">
        <f aca="false">'5a. Cooling Model - Local'!$B$5</f>
        <v>0.3</v>
      </c>
      <c r="D17" s="210" t="n">
        <v>0.5</v>
      </c>
      <c r="E17" s="206" t="n">
        <f aca="false">'5a. Cooling Model - Local'!$B$34*('5a. Cooling Model - Local'!$B$5/B17)</f>
        <v>5.17317699414472</v>
      </c>
      <c r="F17" s="206" t="n">
        <f aca="false">'5a. Cooling Model - Local'!$B$34</f>
        <v>1.72439233138157</v>
      </c>
      <c r="G17" s="206" t="n">
        <f aca="false">'5a. Cooling Model - Local'!$B$34*('5a. Cooling Model - Local'!$B$5/D17)</f>
        <v>1.03463539882894</v>
      </c>
      <c r="H17" s="207" t="n">
        <f aca="false">MAX(E17,F17,G17)-MIN(E17,F17,G17)</f>
        <v>4.13854159531577</v>
      </c>
      <c r="J17" s="209" t="n">
        <f aca="false">MIN(E17,F17,G17)</f>
        <v>1.03463539882894</v>
      </c>
      <c r="K17" s="209" t="n">
        <f aca="false">MAX(0,F17-MIN(E17,G17))</f>
        <v>0.689756932552629</v>
      </c>
      <c r="L17" s="209" t="n">
        <f aca="false">MAX(0,MAX(E17,G17)-F17)</f>
        <v>3.44878466276314</v>
      </c>
      <c r="M17" s="209" t="n">
        <f aca="false">J17+K17+L17</f>
        <v>5.17317699414472</v>
      </c>
      <c r="N17" s="0" t="n">
        <f aca="false">20-MAX(E17:G17)</f>
        <v>14.8268230058553</v>
      </c>
    </row>
    <row r="18" customFormat="false" ht="15" hidden="false" customHeight="false" outlineLevel="0" collapsed="false">
      <c r="A18" s="211" t="s">
        <v>606</v>
      </c>
      <c r="B18" s="161" t="n">
        <f aca="false">C18*0.5</f>
        <v>3.98793681990586</v>
      </c>
      <c r="C18" s="161" t="n">
        <f aca="false">'5a. Cooling Model - Local'!B19</f>
        <v>7.97587363981173</v>
      </c>
      <c r="D18" s="161" t="n">
        <f aca="false">C18*2</f>
        <v>15.9517472796235</v>
      </c>
    </row>
    <row r="44" customFormat="false" ht="15" hidden="false" customHeight="true" outlineLevel="0" collapsed="false"/>
    <row r="45" customFormat="false" ht="15" hidden="false" customHeight="true" outlineLevel="0" collapsed="false"/>
    <row r="63" customFormat="false" ht="15" hidden="false" customHeight="true" outlineLevel="0" collapsed="false">
      <c r="A63" s="212"/>
      <c r="B63" s="212"/>
      <c r="C63" s="155"/>
      <c r="D63" s="155"/>
      <c r="E63" s="155"/>
      <c r="F63" s="153"/>
      <c r="G63" s="213"/>
      <c r="H63" s="155"/>
      <c r="I63" s="214"/>
      <c r="J63" s="153"/>
      <c r="K63" s="213"/>
    </row>
    <row r="64" customFormat="false" ht="15" hidden="false" customHeight="true" outlineLevel="0" collapsed="false">
      <c r="A64" s="212"/>
      <c r="B64" s="212"/>
      <c r="C64" s="155"/>
      <c r="D64" s="155"/>
      <c r="E64" s="155"/>
      <c r="F64" s="153"/>
      <c r="G64" s="213"/>
      <c r="H64" s="155"/>
      <c r="I64" s="214"/>
      <c r="J64" s="153"/>
      <c r="K64" s="213"/>
    </row>
    <row r="65" customFormat="false" ht="15" hidden="false" customHeight="true" outlineLevel="0" collapsed="false">
      <c r="A65" s="212"/>
      <c r="B65" s="212"/>
      <c r="C65" s="155"/>
      <c r="D65" s="155"/>
      <c r="E65" s="155"/>
      <c r="F65" s="153"/>
      <c r="G65" s="213"/>
      <c r="H65" s="155"/>
      <c r="I65" s="214"/>
      <c r="J65" s="153"/>
      <c r="K65" s="213"/>
    </row>
    <row r="66" customFormat="false" ht="15" hidden="false" customHeight="true" outlineLevel="0" collapsed="false">
      <c r="A66" s="212"/>
      <c r="B66" s="212"/>
      <c r="C66" s="155"/>
      <c r="D66" s="155"/>
      <c r="E66" s="155"/>
      <c r="F66" s="153"/>
      <c r="G66" s="213"/>
      <c r="H66" s="155"/>
      <c r="I66" s="214"/>
      <c r="J66" s="153"/>
      <c r="K66" s="213"/>
    </row>
    <row r="67" customFormat="false" ht="15" hidden="false" customHeight="true" outlineLevel="0" collapsed="false">
      <c r="A67" s="212"/>
      <c r="B67" s="212"/>
      <c r="C67" s="155"/>
      <c r="D67" s="155"/>
      <c r="E67" s="155"/>
      <c r="F67" s="153"/>
      <c r="G67" s="213"/>
      <c r="H67" s="155"/>
      <c r="I67" s="214"/>
      <c r="J67" s="153"/>
      <c r="K67" s="213"/>
    </row>
    <row r="68" customFormat="false" ht="15" hidden="false" customHeight="true" outlineLevel="0" collapsed="false">
      <c r="A68" s="212"/>
      <c r="B68" s="212"/>
      <c r="C68" s="155"/>
      <c r="D68" s="155"/>
      <c r="E68" s="155"/>
      <c r="F68" s="153"/>
      <c r="G68" s="213"/>
      <c r="H68" s="155"/>
      <c r="I68" s="214"/>
      <c r="J68" s="153"/>
      <c r="K68" s="213"/>
    </row>
    <row r="69" customFormat="false" ht="15" hidden="false" customHeight="true" outlineLevel="0" collapsed="false">
      <c r="A69" s="212"/>
      <c r="B69" s="212"/>
      <c r="C69" s="155"/>
      <c r="D69" s="155"/>
      <c r="E69" s="155"/>
      <c r="F69" s="153"/>
      <c r="G69" s="213"/>
      <c r="H69" s="155"/>
      <c r="I69" s="214"/>
      <c r="J69" s="153"/>
      <c r="K69" s="213"/>
    </row>
    <row r="70" customFormat="false" ht="15" hidden="false" customHeight="true" outlineLevel="0" collapsed="false">
      <c r="A70" s="212"/>
      <c r="B70" s="212"/>
      <c r="C70" s="155"/>
      <c r="D70" s="155"/>
      <c r="E70" s="155"/>
      <c r="F70" s="153"/>
      <c r="G70" s="213"/>
      <c r="H70" s="155"/>
      <c r="I70" s="214"/>
      <c r="J70" s="153"/>
      <c r="K70" s="213"/>
    </row>
    <row r="71" customFormat="false" ht="15" hidden="false" customHeight="true" outlineLevel="0" collapsed="false">
      <c r="A71" s="212"/>
      <c r="B71" s="212"/>
      <c r="C71" s="155"/>
      <c r="D71" s="155"/>
      <c r="E71" s="155"/>
      <c r="F71" s="153"/>
      <c r="G71" s="213"/>
      <c r="H71" s="155"/>
      <c r="I71" s="214"/>
      <c r="J71" s="153"/>
      <c r="K71" s="213"/>
    </row>
    <row r="72" customFormat="false" ht="15" hidden="false" customHeight="true" outlineLevel="0" collapsed="false">
      <c r="A72" s="212"/>
      <c r="B72" s="212"/>
      <c r="C72" s="155"/>
      <c r="D72" s="155"/>
      <c r="E72" s="155"/>
      <c r="F72" s="153"/>
      <c r="G72" s="213"/>
      <c r="H72" s="155"/>
      <c r="I72" s="214"/>
      <c r="J72" s="153"/>
      <c r="K72" s="213"/>
    </row>
    <row r="73" customFormat="false" ht="15" hidden="false" customHeight="true" outlineLevel="0" collapsed="false">
      <c r="A73" s="212"/>
      <c r="B73" s="212"/>
      <c r="C73" s="155"/>
      <c r="D73" s="155"/>
      <c r="E73" s="155"/>
      <c r="F73" s="153"/>
      <c r="G73" s="213"/>
      <c r="H73" s="155"/>
      <c r="I73" s="214"/>
      <c r="J73" s="153"/>
      <c r="K73" s="213"/>
    </row>
    <row r="74" customFormat="false" ht="15" hidden="false" customHeight="true" outlineLevel="0" collapsed="false">
      <c r="A74" s="212"/>
      <c r="B74" s="212"/>
      <c r="C74" s="155"/>
      <c r="D74" s="155"/>
      <c r="E74" s="155"/>
      <c r="F74" s="153"/>
      <c r="G74" s="213"/>
      <c r="H74" s="155"/>
      <c r="I74" s="214"/>
      <c r="J74" s="153"/>
      <c r="K74" s="213"/>
    </row>
    <row r="75" customFormat="false" ht="15" hidden="false" customHeight="true" outlineLevel="0" collapsed="false">
      <c r="A75" s="212"/>
      <c r="B75" s="212"/>
      <c r="C75" s="155"/>
      <c r="D75" s="155"/>
      <c r="E75" s="155"/>
      <c r="F75" s="153"/>
      <c r="G75" s="213"/>
      <c r="H75" s="155"/>
      <c r="I75" s="214"/>
      <c r="J75" s="153"/>
      <c r="K75" s="213"/>
    </row>
    <row r="76" customFormat="false" ht="15" hidden="false" customHeight="true" outlineLevel="0" collapsed="false">
      <c r="A76" s="212"/>
      <c r="B76" s="212"/>
      <c r="C76" s="155"/>
      <c r="D76" s="155"/>
      <c r="E76" s="155"/>
      <c r="F76" s="153"/>
      <c r="G76" s="213"/>
      <c r="H76" s="155"/>
      <c r="I76" s="214"/>
      <c r="J76" s="153"/>
      <c r="K76" s="213"/>
    </row>
    <row r="77" customFormat="false" ht="15" hidden="false" customHeight="true" outlineLevel="0" collapsed="false">
      <c r="A77" s="212"/>
      <c r="B77" s="212"/>
      <c r="C77" s="155"/>
      <c r="D77" s="155"/>
      <c r="E77" s="155"/>
      <c r="F77" s="153"/>
      <c r="G77" s="213"/>
      <c r="H77" s="155"/>
      <c r="I77" s="214"/>
      <c r="J77" s="153"/>
      <c r="K77" s="213"/>
    </row>
    <row r="78" customFormat="false" ht="15" hidden="false" customHeight="true" outlineLevel="0" collapsed="false">
      <c r="A78" s="212"/>
      <c r="B78" s="212"/>
      <c r="C78" s="155"/>
      <c r="D78" s="155"/>
      <c r="E78" s="155"/>
      <c r="F78" s="153"/>
      <c r="G78" s="213"/>
      <c r="H78" s="155"/>
      <c r="I78" s="214"/>
      <c r="J78" s="153"/>
      <c r="K78" s="213"/>
    </row>
    <row r="79" customFormat="false" ht="15" hidden="false" customHeight="true" outlineLevel="0" collapsed="false">
      <c r="A79" s="212"/>
      <c r="B79" s="212"/>
      <c r="C79" s="155"/>
      <c r="D79" s="155"/>
      <c r="E79" s="155"/>
      <c r="F79" s="153"/>
      <c r="G79" s="213"/>
      <c r="H79" s="155"/>
      <c r="I79" s="214"/>
      <c r="J79" s="153"/>
      <c r="K79" s="213"/>
    </row>
    <row r="80" customFormat="false" ht="15" hidden="false" customHeight="true" outlineLevel="0" collapsed="false">
      <c r="A80" s="212"/>
      <c r="B80" s="212"/>
      <c r="C80" s="155"/>
      <c r="D80" s="155"/>
      <c r="E80" s="155"/>
      <c r="F80" s="153"/>
      <c r="G80" s="213"/>
      <c r="H80" s="155"/>
      <c r="I80" s="214"/>
      <c r="J80" s="153"/>
      <c r="K80" s="213"/>
    </row>
    <row r="81" customFormat="false" ht="15" hidden="false" customHeight="true" outlineLevel="0" collapsed="false">
      <c r="A81" s="212"/>
      <c r="B81" s="212"/>
      <c r="C81" s="155"/>
      <c r="D81" s="155"/>
      <c r="E81" s="155"/>
      <c r="F81" s="153"/>
      <c r="G81" s="213"/>
      <c r="H81" s="155"/>
      <c r="I81" s="214"/>
      <c r="J81" s="153"/>
      <c r="K81" s="213"/>
    </row>
    <row r="82" customFormat="false" ht="15" hidden="false" customHeight="true" outlineLevel="0" collapsed="false">
      <c r="A82" s="212"/>
      <c r="B82" s="212"/>
      <c r="C82" s="155"/>
      <c r="D82" s="155"/>
      <c r="E82" s="155"/>
      <c r="F82" s="153"/>
      <c r="G82" s="213"/>
      <c r="H82" s="155"/>
      <c r="I82" s="214"/>
      <c r="J82" s="153"/>
      <c r="K82" s="213"/>
    </row>
    <row r="83" customFormat="false" ht="15" hidden="false" customHeight="true" outlineLevel="0" collapsed="false">
      <c r="A83" s="212"/>
      <c r="B83" s="212"/>
      <c r="C83" s="155"/>
      <c r="D83" s="155"/>
      <c r="E83" s="155"/>
      <c r="F83" s="153"/>
      <c r="G83" s="213"/>
      <c r="H83" s="155"/>
      <c r="I83" s="214"/>
      <c r="J83" s="153"/>
      <c r="K83" s="213"/>
    </row>
    <row r="84" customFormat="false" ht="15" hidden="false" customHeight="true" outlineLevel="0" collapsed="false">
      <c r="A84" s="212"/>
      <c r="B84" s="212"/>
      <c r="C84" s="155"/>
      <c r="D84" s="155"/>
      <c r="E84" s="155"/>
      <c r="F84" s="153"/>
      <c r="G84" s="213"/>
      <c r="H84" s="155"/>
      <c r="I84" s="214"/>
      <c r="J84" s="153"/>
      <c r="K84" s="213"/>
    </row>
    <row r="85" customFormat="false" ht="15" hidden="false" customHeight="true" outlineLevel="0" collapsed="false">
      <c r="A85" s="212"/>
      <c r="B85" s="212"/>
      <c r="C85" s="155"/>
      <c r="D85" s="155"/>
      <c r="E85" s="155"/>
      <c r="F85" s="153"/>
      <c r="G85" s="213"/>
      <c r="H85" s="155"/>
      <c r="I85" s="214"/>
      <c r="J85" s="153"/>
      <c r="K85" s="213"/>
    </row>
    <row r="86" customFormat="false" ht="15" hidden="false" customHeight="true" outlineLevel="0" collapsed="false">
      <c r="A86" s="212"/>
      <c r="B86" s="212"/>
      <c r="C86" s="155"/>
      <c r="D86" s="155"/>
      <c r="E86" s="155"/>
      <c r="F86" s="153"/>
      <c r="G86" s="213"/>
      <c r="H86" s="155"/>
      <c r="I86" s="214"/>
      <c r="J86" s="153"/>
      <c r="K86" s="213"/>
    </row>
    <row r="87" customFormat="false" ht="15" hidden="false" customHeight="true" outlineLevel="0" collapsed="false">
      <c r="A87" s="212"/>
      <c r="B87" s="212"/>
      <c r="C87" s="155"/>
      <c r="D87" s="155"/>
      <c r="E87" s="155"/>
      <c r="F87" s="153"/>
      <c r="G87" s="213"/>
      <c r="H87" s="155"/>
      <c r="I87" s="214"/>
      <c r="J87" s="153"/>
      <c r="K87" s="213"/>
    </row>
    <row r="88" customFormat="false" ht="15" hidden="false" customHeight="true" outlineLevel="0" collapsed="false">
      <c r="A88" s="212"/>
      <c r="B88" s="212"/>
      <c r="C88" s="155"/>
      <c r="D88" s="155"/>
      <c r="E88" s="155"/>
      <c r="F88" s="153"/>
      <c r="G88" s="213"/>
      <c r="H88" s="155"/>
      <c r="I88" s="214"/>
      <c r="J88" s="153"/>
      <c r="K88" s="213"/>
    </row>
    <row r="89" customFormat="false" ht="15" hidden="false" customHeight="true" outlineLevel="0" collapsed="false">
      <c r="A89" s="212"/>
      <c r="B89" s="212"/>
      <c r="C89" s="155"/>
      <c r="D89" s="155"/>
      <c r="E89" s="155"/>
      <c r="F89" s="153"/>
      <c r="G89" s="213"/>
      <c r="H89" s="155"/>
      <c r="I89" s="214"/>
      <c r="J89" s="153"/>
      <c r="K89" s="213"/>
    </row>
    <row r="90" customFormat="false" ht="15" hidden="false" customHeight="true" outlineLevel="0" collapsed="false">
      <c r="A90" s="212"/>
      <c r="B90" s="212"/>
      <c r="C90" s="155"/>
      <c r="D90" s="155"/>
      <c r="E90" s="155"/>
      <c r="F90" s="153"/>
      <c r="G90" s="213"/>
      <c r="H90" s="155"/>
      <c r="I90" s="214"/>
      <c r="J90" s="153"/>
      <c r="K90" s="213"/>
    </row>
    <row r="91" customFormat="false" ht="15" hidden="false" customHeight="true" outlineLevel="0" collapsed="false">
      <c r="A91" s="212"/>
      <c r="B91" s="212"/>
      <c r="C91" s="155"/>
      <c r="D91" s="155"/>
      <c r="E91" s="155"/>
      <c r="F91" s="153"/>
      <c r="G91" s="213"/>
      <c r="H91" s="155"/>
      <c r="I91" s="214"/>
      <c r="J91" s="153"/>
      <c r="K91" s="213"/>
    </row>
    <row r="92" customFormat="false" ht="15" hidden="false" customHeight="true" outlineLevel="0" collapsed="false">
      <c r="A92" s="212"/>
      <c r="B92" s="212"/>
      <c r="C92" s="155"/>
      <c r="D92" s="155"/>
      <c r="E92" s="155"/>
      <c r="F92" s="153"/>
      <c r="G92" s="213"/>
      <c r="H92" s="155"/>
      <c r="I92" s="214"/>
      <c r="J92" s="153"/>
      <c r="K92" s="213"/>
    </row>
    <row r="93" customFormat="false" ht="15" hidden="false" customHeight="true" outlineLevel="0" collapsed="false">
      <c r="A93" s="212"/>
      <c r="B93" s="212"/>
      <c r="C93" s="155"/>
      <c r="D93" s="155"/>
      <c r="E93" s="155"/>
      <c r="F93" s="153"/>
      <c r="G93" s="213"/>
      <c r="H93" s="155"/>
      <c r="I93" s="214"/>
      <c r="J93" s="153"/>
      <c r="K93" s="213"/>
    </row>
    <row r="94" customFormat="false" ht="15" hidden="false" customHeight="true" outlineLevel="0" collapsed="false">
      <c r="A94" s="212"/>
      <c r="B94" s="212"/>
      <c r="C94" s="155"/>
      <c r="D94" s="155"/>
      <c r="E94" s="155"/>
      <c r="F94" s="153"/>
      <c r="G94" s="213"/>
      <c r="H94" s="155"/>
      <c r="I94" s="214"/>
      <c r="J94" s="153"/>
      <c r="K94" s="213"/>
    </row>
    <row r="95" customFormat="false" ht="15" hidden="false" customHeight="true" outlineLevel="0" collapsed="false">
      <c r="A95" s="212"/>
      <c r="B95" s="212"/>
      <c r="C95" s="155"/>
      <c r="D95" s="155"/>
      <c r="E95" s="155"/>
      <c r="F95" s="153"/>
      <c r="G95" s="213"/>
      <c r="H95" s="155"/>
      <c r="I95" s="214"/>
      <c r="J95" s="153"/>
      <c r="K95" s="213"/>
    </row>
    <row r="96" customFormat="false" ht="15" hidden="false" customHeight="true" outlineLevel="0" collapsed="false">
      <c r="A96" s="212"/>
      <c r="B96" s="212"/>
      <c r="C96" s="155"/>
      <c r="D96" s="155"/>
      <c r="E96" s="155"/>
      <c r="F96" s="153"/>
      <c r="G96" s="213"/>
      <c r="H96" s="155"/>
      <c r="I96" s="214"/>
      <c r="J96" s="153"/>
      <c r="K96" s="213"/>
    </row>
    <row r="97" customFormat="false" ht="15" hidden="false" customHeight="true" outlineLevel="0" collapsed="false">
      <c r="A97" s="212"/>
      <c r="B97" s="212"/>
      <c r="C97" s="155"/>
      <c r="D97" s="155"/>
      <c r="E97" s="155"/>
      <c r="F97" s="153"/>
      <c r="G97" s="213"/>
      <c r="H97" s="155"/>
      <c r="I97" s="214"/>
      <c r="J97" s="153"/>
      <c r="K97" s="213"/>
    </row>
    <row r="98" customFormat="false" ht="15" hidden="false" customHeight="true" outlineLevel="0" collapsed="false">
      <c r="A98" s="212"/>
      <c r="B98" s="212"/>
      <c r="C98" s="155"/>
      <c r="D98" s="155"/>
      <c r="E98" s="155"/>
      <c r="F98" s="153"/>
      <c r="G98" s="213"/>
      <c r="H98" s="155"/>
      <c r="I98" s="214"/>
      <c r="J98" s="153"/>
      <c r="K98" s="213"/>
    </row>
    <row r="99" customFormat="false" ht="15" hidden="false" customHeight="true" outlineLevel="0" collapsed="false">
      <c r="A99" s="212"/>
      <c r="B99" s="212"/>
      <c r="C99" s="155"/>
      <c r="D99" s="155"/>
      <c r="E99" s="155"/>
      <c r="F99" s="153"/>
      <c r="G99" s="213"/>
      <c r="H99" s="155"/>
      <c r="I99" s="214"/>
      <c r="J99" s="153"/>
      <c r="K99" s="213"/>
    </row>
    <row r="100" customFormat="false" ht="15" hidden="false" customHeight="true" outlineLevel="0" collapsed="false">
      <c r="A100" s="212"/>
      <c r="B100" s="212"/>
      <c r="C100" s="155"/>
      <c r="D100" s="155"/>
      <c r="E100" s="155"/>
      <c r="F100" s="153"/>
      <c r="G100" s="213"/>
      <c r="H100" s="155"/>
      <c r="I100" s="214"/>
      <c r="J100" s="153"/>
      <c r="K100" s="213"/>
    </row>
    <row r="101" customFormat="false" ht="15" hidden="false" customHeight="true" outlineLevel="0" collapsed="false">
      <c r="A101" s="212"/>
      <c r="B101" s="212"/>
      <c r="C101" s="155"/>
      <c r="D101" s="155"/>
      <c r="E101" s="155"/>
      <c r="F101" s="153"/>
      <c r="G101" s="213"/>
      <c r="H101" s="155"/>
      <c r="I101" s="214"/>
      <c r="J101" s="153"/>
      <c r="K101" s="213"/>
    </row>
    <row r="102" customFormat="false" ht="15" hidden="false" customHeight="true" outlineLevel="0" collapsed="false">
      <c r="A102" s="212"/>
      <c r="B102" s="212"/>
      <c r="C102" s="155"/>
      <c r="D102" s="155"/>
      <c r="E102" s="155"/>
      <c r="F102" s="153"/>
      <c r="G102" s="213"/>
      <c r="H102" s="155"/>
      <c r="I102" s="214"/>
      <c r="J102" s="153"/>
      <c r="K102" s="213"/>
    </row>
    <row r="103" customFormat="false" ht="15" hidden="false" customHeight="true" outlineLevel="0" collapsed="false">
      <c r="A103" s="212"/>
      <c r="B103" s="212"/>
      <c r="C103" s="155"/>
      <c r="D103" s="155"/>
      <c r="E103" s="155"/>
      <c r="F103" s="153"/>
      <c r="G103" s="213"/>
      <c r="H103" s="155"/>
      <c r="I103" s="214"/>
      <c r="J103" s="153"/>
      <c r="K103" s="213"/>
    </row>
    <row r="104" customFormat="false" ht="15" hidden="false" customHeight="true" outlineLevel="0" collapsed="false">
      <c r="A104" s="212"/>
      <c r="B104" s="212"/>
      <c r="C104" s="155"/>
      <c r="D104" s="155"/>
      <c r="E104" s="155"/>
      <c r="F104" s="153"/>
      <c r="G104" s="213"/>
      <c r="H104" s="155"/>
      <c r="I104" s="214"/>
      <c r="J104" s="153"/>
      <c r="K104" s="213"/>
    </row>
    <row r="105" customFormat="false" ht="15" hidden="false" customHeight="true" outlineLevel="0" collapsed="false">
      <c r="A105" s="212"/>
      <c r="B105" s="212"/>
      <c r="C105" s="155"/>
      <c r="D105" s="155"/>
      <c r="E105" s="155"/>
      <c r="F105" s="153"/>
      <c r="G105" s="213"/>
      <c r="H105" s="155"/>
      <c r="I105" s="214"/>
      <c r="J105" s="153"/>
      <c r="K105" s="213"/>
    </row>
    <row r="106" customFormat="false" ht="15" hidden="false" customHeight="true" outlineLevel="0" collapsed="false">
      <c r="A106" s="212"/>
      <c r="B106" s="212"/>
      <c r="C106" s="155"/>
      <c r="D106" s="155"/>
      <c r="E106" s="155"/>
      <c r="F106" s="153"/>
      <c r="G106" s="213"/>
      <c r="H106" s="155"/>
      <c r="I106" s="214"/>
      <c r="J106" s="153"/>
      <c r="K106" s="213"/>
    </row>
    <row r="107" customFormat="false" ht="15" hidden="false" customHeight="true" outlineLevel="0" collapsed="false">
      <c r="A107" s="212"/>
      <c r="B107" s="212"/>
      <c r="C107" s="155"/>
      <c r="D107" s="155"/>
      <c r="E107" s="155"/>
      <c r="F107" s="153"/>
      <c r="G107" s="213"/>
      <c r="H107" s="155"/>
      <c r="I107" s="214"/>
      <c r="J107" s="153"/>
      <c r="K107" s="213"/>
    </row>
    <row r="108" customFormat="false" ht="15" hidden="false" customHeight="true" outlineLevel="0" collapsed="false">
      <c r="A108" s="212"/>
      <c r="B108" s="212"/>
      <c r="C108" s="155"/>
      <c r="D108" s="155"/>
      <c r="E108" s="155"/>
      <c r="F108" s="153"/>
      <c r="G108" s="213"/>
      <c r="H108" s="155"/>
      <c r="I108" s="214"/>
      <c r="J108" s="153"/>
      <c r="K108" s="213"/>
    </row>
    <row r="109" customFormat="false" ht="15" hidden="false" customHeight="true" outlineLevel="0" collapsed="false">
      <c r="A109" s="212"/>
      <c r="B109" s="212"/>
      <c r="C109" s="155"/>
      <c r="D109" s="155"/>
      <c r="E109" s="155"/>
      <c r="F109" s="153"/>
      <c r="G109" s="213"/>
      <c r="H109" s="155"/>
      <c r="I109" s="214"/>
      <c r="J109" s="153"/>
      <c r="K109" s="213"/>
    </row>
    <row r="110" customFormat="false" ht="15" hidden="false" customHeight="true" outlineLevel="0" collapsed="false">
      <c r="A110" s="212"/>
      <c r="B110" s="212"/>
      <c r="C110" s="155"/>
      <c r="D110" s="155"/>
      <c r="E110" s="155"/>
      <c r="F110" s="153"/>
      <c r="G110" s="213"/>
      <c r="H110" s="155"/>
      <c r="I110" s="214"/>
      <c r="J110" s="153"/>
      <c r="K110" s="213"/>
    </row>
    <row r="111" customFormat="false" ht="15" hidden="false" customHeight="true" outlineLevel="0" collapsed="false">
      <c r="A111" s="212"/>
      <c r="B111" s="212"/>
      <c r="C111" s="155"/>
      <c r="D111" s="155"/>
      <c r="E111" s="155"/>
      <c r="F111" s="153"/>
      <c r="G111" s="213"/>
      <c r="H111" s="155"/>
      <c r="I111" s="214"/>
      <c r="J111" s="153"/>
      <c r="K111" s="213"/>
    </row>
    <row r="112" customFormat="false" ht="15" hidden="false" customHeight="true" outlineLevel="0" collapsed="false">
      <c r="A112" s="212"/>
      <c r="B112" s="212"/>
      <c r="C112" s="155"/>
      <c r="D112" s="155"/>
      <c r="E112" s="155"/>
      <c r="F112" s="153"/>
      <c r="G112" s="213"/>
      <c r="H112" s="155"/>
      <c r="I112" s="214"/>
      <c r="J112" s="153"/>
      <c r="K112" s="213"/>
    </row>
    <row r="113" customFormat="false" ht="15" hidden="false" customHeight="true" outlineLevel="0" collapsed="false">
      <c r="A113" s="212"/>
      <c r="B113" s="212"/>
      <c r="C113" s="155"/>
      <c r="D113" s="155"/>
      <c r="E113" s="155"/>
      <c r="F113" s="153"/>
      <c r="G113" s="213"/>
      <c r="H113" s="155"/>
      <c r="I113" s="214"/>
      <c r="J113" s="153"/>
      <c r="K113" s="213"/>
    </row>
    <row r="114" customFormat="false" ht="15" hidden="false" customHeight="true" outlineLevel="0" collapsed="false">
      <c r="A114" s="212"/>
      <c r="B114" s="212"/>
      <c r="C114" s="155"/>
      <c r="D114" s="155"/>
      <c r="E114" s="155"/>
      <c r="F114" s="153"/>
      <c r="G114" s="213"/>
      <c r="H114" s="155"/>
      <c r="I114" s="214"/>
      <c r="J114" s="153"/>
      <c r="K114" s="213"/>
    </row>
    <row r="115" customFormat="false" ht="15" hidden="false" customHeight="true" outlineLevel="0" collapsed="false">
      <c r="A115" s="212"/>
      <c r="B115" s="212"/>
      <c r="C115" s="155"/>
      <c r="D115" s="155"/>
      <c r="E115" s="155"/>
      <c r="F115" s="153"/>
      <c r="G115" s="213"/>
      <c r="H115" s="155"/>
      <c r="I115" s="214"/>
      <c r="J115" s="153"/>
      <c r="K115" s="213"/>
    </row>
    <row r="116" customFormat="false" ht="15" hidden="false" customHeight="true" outlineLevel="0" collapsed="false">
      <c r="A116" s="212"/>
      <c r="B116" s="212"/>
      <c r="C116" s="155"/>
      <c r="D116" s="155"/>
      <c r="E116" s="155"/>
      <c r="F116" s="153"/>
      <c r="G116" s="213"/>
      <c r="H116" s="155"/>
      <c r="I116" s="214"/>
      <c r="J116" s="153"/>
      <c r="K116" s="213"/>
    </row>
    <row r="117" customFormat="false" ht="15" hidden="false" customHeight="true" outlineLevel="0" collapsed="false">
      <c r="A117" s="212"/>
      <c r="B117" s="212"/>
      <c r="C117" s="155"/>
      <c r="D117" s="155"/>
      <c r="E117" s="155"/>
      <c r="F117" s="153"/>
      <c r="G117" s="213"/>
      <c r="H117" s="155"/>
      <c r="I117" s="214"/>
      <c r="J117" s="153"/>
      <c r="K117" s="213"/>
    </row>
    <row r="118" customFormat="false" ht="15" hidden="false" customHeight="true" outlineLevel="0" collapsed="false">
      <c r="A118" s="212"/>
      <c r="B118" s="212"/>
      <c r="C118" s="155"/>
      <c r="D118" s="155"/>
      <c r="E118" s="155"/>
      <c r="F118" s="153"/>
      <c r="G118" s="213"/>
      <c r="H118" s="155"/>
      <c r="I118" s="214"/>
      <c r="J118" s="153"/>
      <c r="K118" s="213"/>
    </row>
    <row r="119" customFormat="false" ht="15" hidden="false" customHeight="true" outlineLevel="0" collapsed="false">
      <c r="A119" s="212"/>
      <c r="B119" s="212"/>
      <c r="C119" s="155"/>
      <c r="D119" s="155"/>
      <c r="E119" s="155"/>
      <c r="F119" s="153"/>
      <c r="G119" s="213"/>
      <c r="H119" s="155"/>
      <c r="I119" s="214"/>
      <c r="J119" s="153"/>
      <c r="K119" s="213"/>
    </row>
    <row r="120" customFormat="false" ht="15" hidden="false" customHeight="true" outlineLevel="0" collapsed="false">
      <c r="A120" s="212"/>
      <c r="B120" s="212"/>
      <c r="C120" s="155"/>
      <c r="D120" s="155"/>
      <c r="E120" s="155"/>
      <c r="F120" s="153"/>
      <c r="G120" s="213"/>
      <c r="H120" s="155"/>
      <c r="I120" s="214"/>
      <c r="J120" s="153"/>
      <c r="K120" s="213"/>
    </row>
    <row r="121" customFormat="false" ht="15" hidden="false" customHeight="true" outlineLevel="0" collapsed="false">
      <c r="A121" s="212"/>
      <c r="B121" s="212"/>
      <c r="C121" s="155"/>
      <c r="D121" s="155"/>
      <c r="E121" s="155"/>
      <c r="F121" s="153"/>
      <c r="G121" s="213"/>
      <c r="H121" s="155"/>
      <c r="I121" s="214"/>
      <c r="J121" s="153"/>
      <c r="K121" s="213"/>
    </row>
    <row r="122" customFormat="false" ht="15" hidden="false" customHeight="true" outlineLevel="0" collapsed="false">
      <c r="A122" s="212"/>
      <c r="B122" s="212"/>
      <c r="C122" s="155"/>
      <c r="D122" s="155"/>
      <c r="E122" s="155"/>
      <c r="F122" s="153"/>
      <c r="G122" s="213"/>
      <c r="H122" s="155"/>
      <c r="I122" s="214"/>
      <c r="J122" s="153"/>
      <c r="K122" s="213"/>
    </row>
    <row r="123" customFormat="false" ht="15" hidden="false" customHeight="true" outlineLevel="0" collapsed="false">
      <c r="A123" s="212"/>
      <c r="B123" s="212"/>
      <c r="C123" s="155"/>
      <c r="D123" s="155"/>
      <c r="E123" s="155"/>
      <c r="F123" s="153"/>
      <c r="G123" s="213"/>
      <c r="H123" s="155"/>
      <c r="I123" s="214"/>
      <c r="J123" s="153"/>
      <c r="K123" s="213"/>
    </row>
    <row r="124" customFormat="false" ht="15" hidden="false" customHeight="true" outlineLevel="0" collapsed="false">
      <c r="A124" s="212"/>
      <c r="B124" s="212"/>
      <c r="C124" s="155"/>
      <c r="D124" s="155"/>
      <c r="E124" s="155"/>
      <c r="F124" s="153"/>
      <c r="G124" s="213"/>
      <c r="H124" s="155"/>
      <c r="I124" s="214"/>
      <c r="J124" s="153"/>
      <c r="K124" s="213"/>
    </row>
    <row r="125" customFormat="false" ht="15" hidden="false" customHeight="true" outlineLevel="0" collapsed="false">
      <c r="A125" s="212"/>
      <c r="B125" s="212"/>
      <c r="C125" s="155"/>
      <c r="D125" s="155"/>
      <c r="E125" s="155"/>
      <c r="F125" s="153"/>
      <c r="G125" s="213"/>
      <c r="H125" s="155"/>
      <c r="I125" s="214"/>
      <c r="J125" s="153"/>
      <c r="K125" s="213"/>
    </row>
    <row r="126" customFormat="false" ht="15" hidden="false" customHeight="true" outlineLevel="0" collapsed="false">
      <c r="A126" s="212"/>
      <c r="B126" s="212"/>
      <c r="C126" s="155"/>
      <c r="D126" s="155"/>
      <c r="E126" s="155"/>
      <c r="F126" s="153"/>
      <c r="G126" s="213"/>
      <c r="H126" s="155"/>
      <c r="I126" s="214"/>
      <c r="J126" s="153"/>
      <c r="K126" s="213"/>
    </row>
    <row r="127" customFormat="false" ht="15" hidden="false" customHeight="true" outlineLevel="0" collapsed="false">
      <c r="A127" s="212"/>
      <c r="B127" s="212"/>
      <c r="C127" s="155"/>
      <c r="D127" s="155"/>
      <c r="E127" s="155"/>
      <c r="F127" s="153"/>
      <c r="G127" s="213"/>
      <c r="H127" s="155"/>
      <c r="I127" s="214"/>
      <c r="J127" s="153"/>
      <c r="K127" s="213"/>
    </row>
    <row r="128" customFormat="false" ht="15" hidden="false" customHeight="true" outlineLevel="0" collapsed="false">
      <c r="A128" s="212"/>
      <c r="B128" s="212"/>
      <c r="C128" s="155"/>
      <c r="D128" s="155"/>
      <c r="E128" s="155"/>
      <c r="F128" s="153"/>
      <c r="G128" s="213"/>
      <c r="H128" s="155"/>
      <c r="I128" s="214"/>
      <c r="J128" s="153"/>
      <c r="K128" s="213"/>
    </row>
    <row r="129" customFormat="false" ht="15" hidden="false" customHeight="true" outlineLevel="0" collapsed="false">
      <c r="A129" s="212"/>
      <c r="B129" s="212"/>
      <c r="C129" s="155"/>
      <c r="D129" s="155"/>
      <c r="E129" s="155"/>
      <c r="F129" s="153"/>
      <c r="G129" s="213"/>
      <c r="H129" s="155"/>
      <c r="I129" s="214"/>
      <c r="J129" s="153"/>
      <c r="K129" s="213"/>
    </row>
    <row r="130" customFormat="false" ht="15" hidden="false" customHeight="true" outlineLevel="0" collapsed="false">
      <c r="A130" s="212"/>
      <c r="B130" s="212"/>
      <c r="C130" s="155"/>
      <c r="D130" s="155"/>
      <c r="E130" s="155"/>
      <c r="F130" s="153"/>
      <c r="G130" s="213"/>
      <c r="H130" s="155"/>
      <c r="I130" s="214"/>
      <c r="J130" s="153"/>
      <c r="K130" s="213"/>
    </row>
    <row r="131" customFormat="false" ht="15" hidden="false" customHeight="true" outlineLevel="0" collapsed="false">
      <c r="A131" s="212"/>
      <c r="B131" s="212"/>
      <c r="C131" s="155"/>
      <c r="D131" s="155"/>
      <c r="E131" s="155"/>
      <c r="F131" s="153"/>
      <c r="G131" s="213"/>
      <c r="H131" s="155"/>
      <c r="I131" s="214"/>
      <c r="J131" s="153"/>
      <c r="K131" s="213"/>
    </row>
    <row r="132" customFormat="false" ht="15" hidden="false" customHeight="true" outlineLevel="0" collapsed="false">
      <c r="A132" s="212"/>
      <c r="B132" s="212"/>
      <c r="C132" s="155"/>
      <c r="D132" s="155"/>
      <c r="E132" s="155"/>
      <c r="F132" s="153"/>
      <c r="G132" s="213"/>
      <c r="H132" s="155"/>
      <c r="I132" s="214"/>
      <c r="J132" s="153"/>
      <c r="K132" s="213"/>
    </row>
    <row r="133" customFormat="false" ht="15" hidden="false" customHeight="true" outlineLevel="0" collapsed="false">
      <c r="A133" s="212"/>
      <c r="B133" s="212"/>
      <c r="C133" s="155"/>
      <c r="D133" s="155"/>
      <c r="E133" s="155"/>
      <c r="F133" s="153"/>
      <c r="G133" s="213"/>
      <c r="H133" s="155"/>
      <c r="I133" s="214"/>
      <c r="J133" s="153"/>
      <c r="K133" s="213"/>
    </row>
    <row r="134" customFormat="false" ht="15" hidden="false" customHeight="true" outlineLevel="0" collapsed="false">
      <c r="A134" s="212"/>
      <c r="B134" s="212"/>
      <c r="C134" s="155"/>
      <c r="D134" s="155"/>
      <c r="E134" s="155"/>
      <c r="F134" s="153"/>
      <c r="G134" s="213"/>
      <c r="H134" s="155"/>
      <c r="I134" s="214"/>
      <c r="J134" s="153"/>
      <c r="K134" s="213"/>
    </row>
    <row r="135" customFormat="false" ht="15" hidden="false" customHeight="true" outlineLevel="0" collapsed="false">
      <c r="A135" s="212"/>
      <c r="B135" s="212"/>
      <c r="C135" s="155"/>
      <c r="D135" s="155"/>
      <c r="E135" s="155"/>
      <c r="F135" s="153"/>
      <c r="G135" s="213"/>
      <c r="H135" s="155"/>
      <c r="I135" s="214"/>
      <c r="J135" s="153"/>
      <c r="K135" s="213"/>
    </row>
    <row r="136" customFormat="false" ht="15" hidden="false" customHeight="true" outlineLevel="0" collapsed="false">
      <c r="A136" s="212"/>
      <c r="B136" s="212"/>
      <c r="C136" s="155"/>
      <c r="D136" s="155"/>
      <c r="E136" s="155"/>
      <c r="F136" s="153"/>
      <c r="G136" s="213"/>
      <c r="H136" s="155"/>
      <c r="I136" s="214"/>
      <c r="J136" s="153"/>
      <c r="K136" s="213"/>
    </row>
    <row r="137" customFormat="false" ht="15" hidden="false" customHeight="true" outlineLevel="0" collapsed="false">
      <c r="A137" s="212"/>
      <c r="B137" s="212"/>
      <c r="C137" s="155"/>
      <c r="D137" s="155"/>
      <c r="E137" s="155"/>
      <c r="F137" s="153"/>
      <c r="G137" s="213"/>
      <c r="H137" s="155"/>
      <c r="I137" s="214"/>
      <c r="J137" s="153"/>
      <c r="K137" s="213"/>
    </row>
    <row r="138" customFormat="false" ht="15" hidden="false" customHeight="true" outlineLevel="0" collapsed="false">
      <c r="A138" s="212"/>
      <c r="B138" s="212"/>
      <c r="C138" s="155"/>
      <c r="D138" s="155"/>
      <c r="E138" s="155"/>
      <c r="F138" s="153"/>
      <c r="G138" s="213"/>
      <c r="H138" s="155"/>
      <c r="I138" s="214"/>
      <c r="J138" s="153"/>
      <c r="K138" s="213"/>
    </row>
    <row r="139" customFormat="false" ht="15" hidden="false" customHeight="true" outlineLevel="0" collapsed="false">
      <c r="A139" s="212"/>
      <c r="B139" s="212"/>
      <c r="C139" s="155"/>
      <c r="D139" s="155"/>
      <c r="E139" s="155"/>
      <c r="F139" s="153"/>
      <c r="G139" s="213"/>
      <c r="H139" s="155"/>
      <c r="I139" s="214"/>
      <c r="J139" s="153"/>
      <c r="K139" s="213"/>
    </row>
    <row r="140" customFormat="false" ht="15" hidden="false" customHeight="true" outlineLevel="0" collapsed="false">
      <c r="A140" s="212"/>
      <c r="B140" s="212"/>
      <c r="C140" s="155"/>
      <c r="D140" s="155"/>
      <c r="E140" s="155"/>
      <c r="F140" s="153"/>
      <c r="G140" s="213"/>
      <c r="H140" s="155"/>
      <c r="I140" s="214"/>
      <c r="J140" s="153"/>
      <c r="K140" s="213"/>
    </row>
    <row r="141" customFormat="false" ht="15" hidden="false" customHeight="true" outlineLevel="0" collapsed="false">
      <c r="A141" s="212"/>
      <c r="B141" s="212"/>
      <c r="C141" s="155"/>
      <c r="D141" s="155"/>
      <c r="E141" s="155"/>
      <c r="F141" s="153"/>
      <c r="G141" s="213"/>
      <c r="H141" s="155"/>
      <c r="I141" s="214"/>
      <c r="J141" s="153"/>
      <c r="K141" s="213"/>
    </row>
    <row r="142" customFormat="false" ht="15" hidden="false" customHeight="true" outlineLevel="0" collapsed="false">
      <c r="A142" s="212"/>
      <c r="B142" s="212"/>
      <c r="C142" s="155"/>
      <c r="D142" s="155"/>
      <c r="E142" s="155"/>
      <c r="F142" s="153"/>
      <c r="G142" s="213"/>
      <c r="H142" s="155"/>
      <c r="I142" s="214"/>
      <c r="J142" s="153"/>
      <c r="K142" s="213"/>
    </row>
    <row r="143" customFormat="false" ht="15" hidden="false" customHeight="true" outlineLevel="0" collapsed="false">
      <c r="A143" s="212"/>
      <c r="B143" s="212"/>
      <c r="C143" s="155"/>
      <c r="D143" s="155"/>
      <c r="E143" s="155"/>
      <c r="F143" s="153"/>
      <c r="G143" s="213"/>
      <c r="H143" s="155"/>
      <c r="I143" s="214"/>
      <c r="J143" s="153"/>
      <c r="K143" s="213"/>
    </row>
    <row r="144" customFormat="false" ht="15" hidden="false" customHeight="true" outlineLevel="0" collapsed="false">
      <c r="A144" s="212"/>
      <c r="B144" s="212"/>
      <c r="C144" s="155"/>
      <c r="D144" s="155"/>
      <c r="E144" s="155"/>
      <c r="F144" s="153"/>
      <c r="G144" s="213"/>
      <c r="H144" s="155"/>
      <c r="I144" s="214"/>
      <c r="J144" s="153"/>
      <c r="K144" s="213"/>
    </row>
    <row r="145" customFormat="false" ht="15" hidden="false" customHeight="true" outlineLevel="0" collapsed="false">
      <c r="A145" s="212"/>
      <c r="B145" s="212"/>
      <c r="C145" s="155"/>
      <c r="D145" s="155"/>
      <c r="E145" s="155"/>
      <c r="F145" s="153"/>
      <c r="G145" s="213"/>
      <c r="H145" s="155"/>
      <c r="I145" s="214"/>
      <c r="J145" s="153"/>
      <c r="K145" s="213"/>
    </row>
    <row r="146" customFormat="false" ht="15" hidden="false" customHeight="true" outlineLevel="0" collapsed="false">
      <c r="A146" s="212"/>
      <c r="B146" s="212"/>
      <c r="C146" s="155"/>
      <c r="D146" s="155"/>
      <c r="E146" s="155"/>
      <c r="F146" s="153"/>
      <c r="G146" s="213"/>
      <c r="H146" s="155"/>
      <c r="I146" s="214"/>
      <c r="J146" s="153"/>
      <c r="K146" s="213"/>
    </row>
    <row r="147" customFormat="false" ht="15" hidden="false" customHeight="true" outlineLevel="0" collapsed="false">
      <c r="A147" s="212"/>
      <c r="B147" s="212"/>
      <c r="C147" s="155"/>
      <c r="D147" s="155"/>
      <c r="E147" s="155"/>
      <c r="F147" s="153"/>
      <c r="G147" s="213"/>
      <c r="H147" s="155"/>
      <c r="I147" s="214"/>
      <c r="J147" s="153"/>
      <c r="K147" s="213"/>
    </row>
    <row r="148" customFormat="false" ht="15" hidden="false" customHeight="true" outlineLevel="0" collapsed="false">
      <c r="A148" s="212"/>
      <c r="B148" s="212"/>
      <c r="C148" s="155"/>
      <c r="D148" s="155"/>
      <c r="E148" s="155"/>
      <c r="F148" s="153"/>
      <c r="G148" s="213"/>
      <c r="H148" s="155"/>
      <c r="I148" s="214"/>
      <c r="J148" s="153"/>
      <c r="K148" s="213"/>
    </row>
    <row r="149" customFormat="false" ht="15" hidden="false" customHeight="true" outlineLevel="0" collapsed="false">
      <c r="A149" s="212"/>
      <c r="B149" s="212"/>
      <c r="C149" s="155"/>
      <c r="D149" s="155"/>
      <c r="E149" s="155"/>
      <c r="F149" s="153"/>
      <c r="G149" s="213"/>
      <c r="H149" s="155"/>
      <c r="I149" s="214"/>
      <c r="J149" s="153"/>
      <c r="K149" s="213"/>
    </row>
    <row r="150" customFormat="false" ht="15" hidden="false" customHeight="true" outlineLevel="0" collapsed="false">
      <c r="A150" s="212"/>
      <c r="B150" s="212"/>
      <c r="C150" s="155"/>
      <c r="D150" s="155"/>
      <c r="E150" s="155"/>
      <c r="F150" s="153"/>
      <c r="G150" s="213"/>
      <c r="H150" s="155"/>
      <c r="I150" s="214"/>
      <c r="J150" s="153"/>
      <c r="K150" s="213"/>
    </row>
    <row r="151" customFormat="false" ht="15" hidden="false" customHeight="true" outlineLevel="0" collapsed="false">
      <c r="A151" s="212"/>
      <c r="B151" s="212"/>
      <c r="C151" s="155"/>
      <c r="D151" s="155"/>
      <c r="E151" s="155"/>
      <c r="F151" s="153"/>
      <c r="G151" s="213"/>
      <c r="H151" s="155"/>
      <c r="I151" s="214"/>
      <c r="J151" s="153"/>
      <c r="K151" s="213"/>
    </row>
    <row r="152" customFormat="false" ht="15" hidden="false" customHeight="true" outlineLevel="0" collapsed="false">
      <c r="A152" s="212"/>
      <c r="B152" s="212"/>
      <c r="C152" s="155"/>
      <c r="D152" s="155"/>
      <c r="E152" s="155"/>
      <c r="F152" s="153"/>
      <c r="G152" s="213"/>
      <c r="H152" s="155"/>
      <c r="I152" s="214"/>
      <c r="J152" s="153"/>
      <c r="K152" s="213"/>
    </row>
    <row r="153" customFormat="false" ht="15" hidden="false" customHeight="true" outlineLevel="0" collapsed="false">
      <c r="A153" s="212"/>
      <c r="B153" s="212"/>
      <c r="C153" s="155"/>
      <c r="D153" s="155"/>
      <c r="E153" s="155"/>
      <c r="F153" s="153"/>
      <c r="G153" s="213"/>
      <c r="H153" s="155"/>
      <c r="I153" s="214"/>
      <c r="J153" s="153"/>
      <c r="K153" s="213"/>
    </row>
    <row r="154" customFormat="false" ht="15" hidden="false" customHeight="true" outlineLevel="0" collapsed="false">
      <c r="A154" s="212"/>
      <c r="B154" s="212"/>
      <c r="C154" s="155"/>
      <c r="D154" s="155"/>
      <c r="E154" s="155"/>
      <c r="F154" s="153"/>
      <c r="G154" s="213"/>
      <c r="H154" s="155"/>
      <c r="I154" s="214"/>
      <c r="J154" s="153"/>
      <c r="K154" s="213"/>
    </row>
    <row r="155" customFormat="false" ht="15" hidden="false" customHeight="true" outlineLevel="0" collapsed="false">
      <c r="A155" s="212"/>
      <c r="B155" s="212"/>
      <c r="C155" s="155"/>
      <c r="D155" s="155"/>
      <c r="E155" s="155"/>
      <c r="F155" s="153"/>
      <c r="G155" s="213"/>
      <c r="H155" s="155"/>
      <c r="I155" s="214"/>
      <c r="J155" s="153"/>
      <c r="K155" s="213"/>
    </row>
  </sheetData>
  <mergeCells count="3">
    <mergeCell ref="A2:H2"/>
    <mergeCell ref="A3:I3"/>
    <mergeCell ref="A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6" activeCellId="0" sqref="A16"/>
    </sheetView>
  </sheetViews>
  <sheetFormatPr defaultColWidth="8.66796875" defaultRowHeight="15" customHeight="false"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3" min="3" style="0" width="13"/>
    <col collapsed="false" customWidth="true" hidden="false" outlineLevel="0" max="4" min="4" style="0" width="58"/>
    <col collapsed="false" customWidth="true" hidden="false" outlineLevel="0" max="5" min="5" style="0" width="15"/>
    <col collapsed="false" customWidth="true" hidden="false" outlineLevel="0" max="6" min="6" style="0" width="34.16"/>
    <col collapsed="false" customWidth="true" hidden="false" outlineLevel="0" max="7" min="7" style="0" width="55"/>
  </cols>
  <sheetData>
    <row r="1" customFormat="false" ht="23.25" hidden="false" customHeight="true" outlineLevel="0" collapsed="false">
      <c r="A1" s="215" t="s">
        <v>607</v>
      </c>
      <c r="B1" s="215"/>
      <c r="C1" s="215"/>
      <c r="D1" s="215"/>
      <c r="E1" s="215"/>
      <c r="F1" s="215"/>
    </row>
    <row r="2" customFormat="false" ht="28.5" hidden="false" customHeight="true" outlineLevel="0" collapsed="false">
      <c r="A2" s="216" t="s">
        <v>608</v>
      </c>
      <c r="B2" s="216"/>
      <c r="C2" s="216"/>
      <c r="D2" s="216"/>
      <c r="E2" s="216"/>
      <c r="F2" s="216"/>
    </row>
    <row r="3" customFormat="false" ht="39" hidden="false" customHeight="true" outlineLevel="0" collapsed="false">
      <c r="A3" s="217" t="s">
        <v>609</v>
      </c>
      <c r="B3" s="188" t="n">
        <v>0.5</v>
      </c>
      <c r="C3" s="181" t="s">
        <v>103</v>
      </c>
      <c r="D3" s="218" t="s">
        <v>610</v>
      </c>
      <c r="E3" s="218"/>
      <c r="F3" s="218"/>
      <c r="G3" s="218" t="s">
        <v>611</v>
      </c>
    </row>
    <row r="4" customFormat="false" ht="19.5" hidden="false" customHeight="true" outlineLevel="0" collapsed="false">
      <c r="A4" s="219" t="s">
        <v>612</v>
      </c>
      <c r="B4" s="219"/>
      <c r="C4" s="219"/>
      <c r="D4" s="219"/>
      <c r="E4" s="219"/>
      <c r="F4" s="219"/>
    </row>
    <row r="5" customFormat="false" ht="18" hidden="false" customHeight="true" outlineLevel="0" collapsed="false">
      <c r="A5" s="220" t="s">
        <v>613</v>
      </c>
      <c r="B5" s="220" t="s">
        <v>31</v>
      </c>
      <c r="C5" s="220" t="s">
        <v>32</v>
      </c>
      <c r="D5" s="220" t="s">
        <v>614</v>
      </c>
      <c r="E5" s="220"/>
      <c r="F5" s="220"/>
      <c r="G5" s="220" t="s">
        <v>34</v>
      </c>
    </row>
    <row r="6" customFormat="false" ht="39" hidden="false" customHeight="true" outlineLevel="0" collapsed="false">
      <c r="A6" s="221" t="s">
        <v>615</v>
      </c>
      <c r="B6" s="222" t="n">
        <v>30000</v>
      </c>
      <c r="C6" s="221" t="s">
        <v>616</v>
      </c>
      <c r="D6" s="223" t="s">
        <v>617</v>
      </c>
      <c r="E6" s="223"/>
      <c r="F6" s="223"/>
      <c r="G6" s="223" t="s">
        <v>618</v>
      </c>
    </row>
    <row r="7" customFormat="false" ht="41.25" hidden="false" customHeight="true" outlineLevel="0" collapsed="false">
      <c r="A7" s="221" t="s">
        <v>619</v>
      </c>
      <c r="B7" s="222" t="n">
        <v>151</v>
      </c>
      <c r="C7" s="221" t="s">
        <v>270</v>
      </c>
      <c r="D7" s="223" t="s">
        <v>620</v>
      </c>
      <c r="E7" s="223"/>
      <c r="F7" s="223"/>
      <c r="G7" s="223" t="s">
        <v>621</v>
      </c>
    </row>
    <row r="8" customFormat="false" ht="39" hidden="false" customHeight="true" outlineLevel="0" collapsed="false">
      <c r="A8" s="221" t="s">
        <v>622</v>
      </c>
      <c r="B8" s="224" t="n">
        <f aca="false">'5a. Cooling Model - Local'!B19/'5a. Cooling Model - Local'!B16</f>
        <v>0.0209891411573993</v>
      </c>
      <c r="C8" s="221" t="s">
        <v>103</v>
      </c>
      <c r="D8" s="223" t="s">
        <v>623</v>
      </c>
      <c r="E8" s="223"/>
      <c r="F8" s="223"/>
    </row>
    <row r="9" customFormat="false" ht="39" hidden="false" customHeight="true" outlineLevel="0" collapsed="false">
      <c r="A9" s="221" t="s">
        <v>624</v>
      </c>
      <c r="B9" s="225" t="n">
        <f aca="false">'5a. Cooling Model - Local'!B19*'5a. Cooling Model - Local'!B22</f>
        <v>1.59517472796235</v>
      </c>
      <c r="C9" s="221" t="s">
        <v>542</v>
      </c>
      <c r="D9" s="223" t="s">
        <v>625</v>
      </c>
      <c r="E9" s="223"/>
      <c r="F9" s="223"/>
    </row>
    <row r="10" customFormat="false" ht="12.75" hidden="false" customHeight="true" outlineLevel="0" collapsed="false">
      <c r="A10" s="221" t="s">
        <v>626</v>
      </c>
      <c r="B10" s="224" t="n">
        <f aca="false">B26*(B9/B35)</f>
        <v>0.0413295270426608</v>
      </c>
      <c r="C10" s="221" t="s">
        <v>103</v>
      </c>
      <c r="D10" s="223" t="s">
        <v>627</v>
      </c>
      <c r="E10" s="223"/>
      <c r="F10" s="223"/>
    </row>
    <row r="11" customFormat="false" ht="15" hidden="false" customHeight="true" outlineLevel="0" collapsed="false">
      <c r="A11" s="221" t="s">
        <v>628</v>
      </c>
      <c r="B11" s="226" t="n">
        <f aca="false">'5a. Cooling Model - Local'!B11</f>
        <v>2910.92717131953</v>
      </c>
      <c r="C11" s="221" t="s">
        <v>534</v>
      </c>
      <c r="D11" s="223" t="s">
        <v>629</v>
      </c>
      <c r="E11" s="223"/>
      <c r="F11" s="223"/>
    </row>
    <row r="12" customFormat="false" ht="12.75" hidden="false" customHeight="true" outlineLevel="0" collapsed="false">
      <c r="A12" s="221" t="s">
        <v>630</v>
      </c>
      <c r="B12" s="227" t="n">
        <f aca="false">(B6/'5a. Cooling Model - Local'!B11)*(B7/'5a. Cooling Model - Local'!B24)/$B$3</f>
        <v>1037.47013314353</v>
      </c>
      <c r="C12" s="221" t="s">
        <v>631</v>
      </c>
      <c r="D12" s="223" t="s">
        <v>632</v>
      </c>
      <c r="E12" s="223"/>
      <c r="F12" s="223"/>
    </row>
    <row r="13" customFormat="false" ht="28.5" hidden="false" customHeight="true" outlineLevel="0" collapsed="false">
      <c r="A13" s="221" t="s">
        <v>633</v>
      </c>
      <c r="B13" s="227" t="n">
        <f aca="false">'2. Cost Inputs'!$B$15*(B7/365)*'5c-alt. Benefit - Reef (Zhao)'!$B$27</f>
        <v>425.777742642106</v>
      </c>
      <c r="C13" s="221" t="s">
        <v>631</v>
      </c>
      <c r="D13" s="223" t="s">
        <v>634</v>
      </c>
      <c r="E13" s="223"/>
      <c r="F13" s="223"/>
    </row>
    <row r="14" customFormat="false" ht="27.75" hidden="false" customHeight="true" outlineLevel="0" collapsed="false">
      <c r="A14" s="221" t="s">
        <v>635</v>
      </c>
      <c r="B14" s="227" t="n">
        <f aca="false">B12/B13</f>
        <v>2.43664717348928</v>
      </c>
      <c r="C14" s="221" t="s">
        <v>185</v>
      </c>
      <c r="D14" s="223" t="s">
        <v>636</v>
      </c>
      <c r="E14" s="223"/>
      <c r="F14" s="223"/>
    </row>
    <row r="15" customFormat="false" ht="19.5" hidden="false" customHeight="true" outlineLevel="0" collapsed="false">
      <c r="A15" s="221" t="s">
        <v>637</v>
      </c>
      <c r="B15" s="228" t="n">
        <f aca="false">'2. Cost Inputs'!B56/7</f>
        <v>21428.5714285714</v>
      </c>
      <c r="C15" s="221" t="s">
        <v>210</v>
      </c>
      <c r="D15" s="223" t="s">
        <v>638</v>
      </c>
      <c r="E15" s="223"/>
      <c r="F15" s="223"/>
      <c r="G15" s="223"/>
    </row>
    <row r="16" customFormat="false" ht="39" hidden="false" customHeight="true" outlineLevel="0" collapsed="false">
      <c r="A16" s="221" t="s">
        <v>639</v>
      </c>
      <c r="B16" s="229" t="n">
        <f aca="false">B14*B7*B15</f>
        <v>7884294.0685046</v>
      </c>
      <c r="C16" s="221" t="s">
        <v>207</v>
      </c>
      <c r="D16" s="223" t="s">
        <v>640</v>
      </c>
      <c r="E16" s="223"/>
      <c r="F16" s="223"/>
    </row>
    <row r="17" customFormat="false" ht="39" hidden="false" customHeight="true" outlineLevel="0" collapsed="false">
      <c r="A17" s="221" t="s">
        <v>641</v>
      </c>
      <c r="B17" s="229" t="n">
        <f aca="false">B14*'3b. Outputs - Ship Piggyback'!B5*2</f>
        <v>487329.434697856</v>
      </c>
      <c r="C17" s="221" t="s">
        <v>207</v>
      </c>
      <c r="D17" s="223" t="s">
        <v>642</v>
      </c>
      <c r="E17" s="223"/>
      <c r="F17" s="223"/>
    </row>
    <row r="18" customFormat="false" ht="39" hidden="false" customHeight="true" outlineLevel="0" collapsed="false">
      <c r="A18" s="221" t="s">
        <v>643</v>
      </c>
      <c r="B18" s="229" t="n">
        <f aca="false">B14*B7*('2. Cost Inputs'!B25+'2. Cost Inputs'!B26)*'2. Cost Inputs'!D25</f>
        <v>6192324.56140351</v>
      </c>
      <c r="C18" s="221"/>
      <c r="D18" s="223" t="s">
        <v>644</v>
      </c>
      <c r="E18" s="223"/>
      <c r="F18" s="223"/>
    </row>
    <row r="19" customFormat="false" ht="16.5" hidden="false" customHeight="true" outlineLevel="0" collapsed="false">
      <c r="A19" s="221" t="s">
        <v>645</v>
      </c>
      <c r="B19" s="229" t="n">
        <f aca="false">B12*'2. Cost Inputs'!B24*'2. Cost Inputs'!D24+B14*'3b. Outputs - Ship Piggyback'!B7*(B7/365)</f>
        <v>9622788.45937305</v>
      </c>
      <c r="C19" s="221" t="s">
        <v>207</v>
      </c>
      <c r="D19" s="223" t="s">
        <v>646</v>
      </c>
      <c r="E19" s="223"/>
      <c r="F19" s="223"/>
    </row>
    <row r="20" customFormat="false" ht="28.5" hidden="false" customHeight="true" outlineLevel="0" collapsed="false">
      <c r="A20" s="221" t="s">
        <v>647</v>
      </c>
      <c r="B20" s="230" t="n">
        <f aca="false">SUM(B16:B19)+B22</f>
        <v>25878491.0765694</v>
      </c>
      <c r="C20" s="221" t="s">
        <v>207</v>
      </c>
      <c r="D20" s="223" t="s">
        <v>648</v>
      </c>
      <c r="E20" s="223"/>
      <c r="F20" s="223"/>
    </row>
    <row r="21" customFormat="false" ht="15" hidden="false" customHeight="true" outlineLevel="0" collapsed="false">
      <c r="A21" s="221" t="s">
        <v>649</v>
      </c>
      <c r="B21" s="229" t="n">
        <f aca="false">B20/(B6*100)</f>
        <v>8.6261636921898</v>
      </c>
      <c r="C21" s="221" t="s">
        <v>650</v>
      </c>
      <c r="D21" s="223" t="s">
        <v>651</v>
      </c>
      <c r="E21" s="223"/>
      <c r="F21" s="223"/>
    </row>
    <row r="22" customFormat="false" ht="15" hidden="false" customHeight="true" outlineLevel="0" collapsed="false">
      <c r="A22" s="221" t="s">
        <v>652</v>
      </c>
      <c r="B22" s="229" t="n">
        <f aca="false">B14*B7*'2. Cost Inputs'!B58</f>
        <v>1691754.55259038</v>
      </c>
      <c r="C22" s="221" t="s">
        <v>207</v>
      </c>
      <c r="D22" s="223" t="s">
        <v>653</v>
      </c>
      <c r="E22" s="231"/>
      <c r="F22" s="231"/>
    </row>
    <row r="23" customFormat="false" ht="19.5" hidden="false" customHeight="true" outlineLevel="0" collapsed="false">
      <c r="A23" s="219" t="s">
        <v>654</v>
      </c>
      <c r="B23" s="219"/>
      <c r="C23" s="219"/>
      <c r="D23" s="219"/>
      <c r="E23" s="219"/>
      <c r="F23" s="219"/>
    </row>
    <row r="24" customFormat="false" ht="41.25" hidden="false" customHeight="true" outlineLevel="0" collapsed="false">
      <c r="A24" s="221" t="s">
        <v>655</v>
      </c>
      <c r="B24" s="232" t="n">
        <v>0.5</v>
      </c>
      <c r="C24" s="221" t="s">
        <v>103</v>
      </c>
      <c r="D24" s="233" t="s">
        <v>656</v>
      </c>
      <c r="E24" s="233"/>
      <c r="F24" s="233"/>
      <c r="G24" s="233" t="s">
        <v>657</v>
      </c>
    </row>
    <row r="25" customFormat="false" ht="28.5" hidden="false" customHeight="true" outlineLevel="0" collapsed="false">
      <c r="A25" s="221" t="s">
        <v>658</v>
      </c>
      <c r="B25" s="232" t="n">
        <v>0.65</v>
      </c>
      <c r="C25" s="221" t="s">
        <v>103</v>
      </c>
      <c r="D25" s="233" t="s">
        <v>656</v>
      </c>
      <c r="E25" s="233"/>
      <c r="F25" s="233"/>
      <c r="G25" s="233" t="s">
        <v>659</v>
      </c>
    </row>
    <row r="26" customFormat="false" ht="39" hidden="false" customHeight="true" outlineLevel="0" collapsed="false">
      <c r="A26" s="221" t="s">
        <v>660</v>
      </c>
      <c r="B26" s="232" t="n">
        <v>0.57</v>
      </c>
      <c r="C26" s="221" t="s">
        <v>103</v>
      </c>
      <c r="D26" s="233" t="s">
        <v>661</v>
      </c>
      <c r="E26" s="233" t="s">
        <v>662</v>
      </c>
      <c r="F26" s="233"/>
    </row>
    <row r="27" customFormat="false" ht="27.75" hidden="false" customHeight="true" outlineLevel="0" collapsed="false">
      <c r="A27" s="221" t="s">
        <v>663</v>
      </c>
      <c r="B27" s="234" t="n">
        <f aca="false">B31*'2. Cost Inputs'!B8</f>
        <v>66.5</v>
      </c>
      <c r="C27" s="221" t="s">
        <v>664</v>
      </c>
      <c r="D27" s="233" t="s">
        <v>665</v>
      </c>
      <c r="E27" s="233"/>
      <c r="F27" s="233"/>
    </row>
    <row r="28" customFormat="false" ht="28.5" hidden="false" customHeight="true" outlineLevel="0" collapsed="false">
      <c r="A28" s="221" t="s">
        <v>666</v>
      </c>
      <c r="B28" s="229" t="n">
        <f aca="false">B27*10^9*B32</f>
        <v>13300000000</v>
      </c>
      <c r="C28" s="221" t="s">
        <v>207</v>
      </c>
      <c r="D28" s="233" t="s">
        <v>667</v>
      </c>
      <c r="E28" s="233"/>
      <c r="F28" s="233"/>
    </row>
    <row r="29" customFormat="false" ht="15" hidden="false" customHeight="true" outlineLevel="0" collapsed="false">
      <c r="A29" s="221" t="s">
        <v>668</v>
      </c>
      <c r="B29" s="229" t="n">
        <f aca="false">B28*B10</f>
        <v>549682709.667388</v>
      </c>
      <c r="C29" s="221" t="s">
        <v>207</v>
      </c>
      <c r="D29" s="233" t="s">
        <v>669</v>
      </c>
      <c r="E29" s="233"/>
      <c r="F29" s="233"/>
    </row>
    <row r="30" customFormat="false" ht="15" hidden="false" customHeight="true" outlineLevel="0" collapsed="false">
      <c r="A30" s="221" t="s">
        <v>670</v>
      </c>
      <c r="B30" s="235" t="n">
        <f aca="false">B29/B20</f>
        <v>21.2409103776949</v>
      </c>
      <c r="C30" s="221" t="s">
        <v>550</v>
      </c>
      <c r="D30" s="233" t="s">
        <v>671</v>
      </c>
      <c r="E30" s="233"/>
      <c r="F30" s="233"/>
    </row>
    <row r="31" customFormat="false" ht="15" hidden="false" customHeight="true" outlineLevel="0" collapsed="false">
      <c r="A31" s="221" t="s">
        <v>672</v>
      </c>
      <c r="B31" s="232" t="n">
        <v>95</v>
      </c>
      <c r="C31" s="221" t="s">
        <v>673</v>
      </c>
      <c r="D31" s="233" t="s">
        <v>674</v>
      </c>
    </row>
    <row r="32" customFormat="false" ht="15" hidden="false" customHeight="true" outlineLevel="0" collapsed="false">
      <c r="A32" s="221" t="s">
        <v>675</v>
      </c>
      <c r="B32" s="232" t="n">
        <v>0.2</v>
      </c>
      <c r="C32" s="221" t="s">
        <v>103</v>
      </c>
      <c r="D32" s="233" t="s">
        <v>676</v>
      </c>
      <c r="E32" s="231"/>
      <c r="F32" s="231"/>
    </row>
    <row r="33" customFormat="false" ht="19.5" hidden="false" customHeight="true" outlineLevel="0" collapsed="false">
      <c r="A33" s="219" t="s">
        <v>677</v>
      </c>
      <c r="B33" s="236"/>
      <c r="C33" s="236"/>
      <c r="D33" s="236"/>
      <c r="E33" s="236"/>
      <c r="F33" s="236"/>
    </row>
    <row r="34" customFormat="false" ht="27.75" hidden="false" customHeight="true" outlineLevel="0" collapsed="false">
      <c r="A34" s="164" t="s">
        <v>678</v>
      </c>
      <c r="B34" s="164"/>
      <c r="C34" s="164"/>
      <c r="D34" s="164"/>
      <c r="E34" s="164"/>
      <c r="F34" s="164"/>
    </row>
    <row r="35" customFormat="false" ht="48.75" hidden="false" customHeight="true" outlineLevel="0" collapsed="false">
      <c r="A35" s="221" t="s">
        <v>679</v>
      </c>
      <c r="B35" s="237" t="n">
        <v>22</v>
      </c>
      <c r="C35" s="221" t="s">
        <v>542</v>
      </c>
      <c r="D35" s="233" t="s">
        <v>680</v>
      </c>
      <c r="E35" s="233" t="s">
        <v>681</v>
      </c>
      <c r="F35" s="233"/>
    </row>
    <row r="36" customFormat="false" ht="15" hidden="false" customHeight="true" outlineLevel="0" collapsed="false">
      <c r="A36" s="221" t="s">
        <v>682</v>
      </c>
      <c r="B36" s="224" t="s">
        <v>683</v>
      </c>
      <c r="C36" s="221" t="s">
        <v>546</v>
      </c>
      <c r="D36" s="233" t="s">
        <v>684</v>
      </c>
      <c r="E36" s="233"/>
      <c r="F36" s="233"/>
    </row>
    <row r="37" customFormat="false" ht="15" hidden="false" customHeight="true" outlineLevel="0" collapsed="false">
      <c r="A37" s="221" t="s">
        <v>685</v>
      </c>
      <c r="B37" s="238" t="n">
        <f aca="false">B9/B35</f>
        <v>0.0725079421801066</v>
      </c>
      <c r="C37" s="221" t="s">
        <v>103</v>
      </c>
      <c r="D37" s="233" t="s">
        <v>686</v>
      </c>
      <c r="E37" s="233"/>
      <c r="F37" s="233"/>
    </row>
    <row r="38" customFormat="false" ht="15" hidden="false" customHeight="true" outlineLevel="0" collapsed="false">
      <c r="A38" s="221" t="s">
        <v>687</v>
      </c>
      <c r="B38" s="229" t="n">
        <f aca="false">B28*B26</f>
        <v>7581000000</v>
      </c>
      <c r="C38" s="221" t="s">
        <v>207</v>
      </c>
      <c r="D38" s="233" t="s">
        <v>688</v>
      </c>
      <c r="E38" s="233"/>
      <c r="F38" s="233"/>
    </row>
    <row r="39" customFormat="false" ht="27.75" hidden="false" customHeight="true" outlineLevel="0" collapsed="false">
      <c r="A39" s="239" t="s">
        <v>689</v>
      </c>
      <c r="B39" s="235" t="n">
        <f aca="false">B38/B20</f>
        <v>292.945982730187</v>
      </c>
      <c r="C39" s="221" t="s">
        <v>550</v>
      </c>
      <c r="D39" s="233" t="s">
        <v>690</v>
      </c>
      <c r="E39" s="233"/>
      <c r="F39" s="233"/>
    </row>
    <row r="40" customFormat="false" ht="27.75" hidden="false" customHeight="true" outlineLevel="0" collapsed="false">
      <c r="A40" s="240" t="str">
        <f aca="false">CONCATENATE("Bracket: ",TEXT(B30,"0.0"),"x under our same-day accounting to ",TEXT(B39,"0.0"),"x if Harrison persistence and mobility assumptions hold - both priced on the chartered fleet.")</f>
        <v>Bracket: 21.2x under our same-day accounting to 292.9x if Harrison persistence and mobility assumptions hold - both priced on the chartered fleet.</v>
      </c>
      <c r="B40" s="240"/>
      <c r="C40" s="240"/>
      <c r="D40" s="240"/>
      <c r="E40" s="240"/>
      <c r="F40" s="240"/>
    </row>
    <row r="41" customFormat="false" ht="15" hidden="false" customHeight="true" outlineLevel="0" collapsed="false">
      <c r="A41" s="231"/>
      <c r="B41" s="241"/>
      <c r="C41" s="231"/>
      <c r="D41" s="231"/>
      <c r="E41" s="231"/>
      <c r="F41" s="231"/>
    </row>
    <row r="42" customFormat="false" ht="15" hidden="false" customHeight="true" outlineLevel="0" collapsed="false">
      <c r="A42" s="231"/>
      <c r="B42" s="242"/>
      <c r="C42" s="231"/>
      <c r="D42" s="231"/>
      <c r="E42" s="231"/>
      <c r="F42" s="231"/>
    </row>
    <row r="43" customFormat="false" ht="15" hidden="false" customHeight="true" outlineLevel="0" collapsed="false">
      <c r="A43" s="231"/>
      <c r="B43" s="231"/>
      <c r="C43" s="231"/>
      <c r="D43" s="231"/>
      <c r="E43" s="231"/>
      <c r="F43" s="231"/>
    </row>
    <row r="44" customFormat="false" ht="15" hidden="false" customHeight="true" outlineLevel="0" collapsed="false">
      <c r="A44" s="231"/>
      <c r="B44" s="241"/>
      <c r="C44" s="231"/>
      <c r="D44" s="231"/>
      <c r="E44" s="231"/>
      <c r="F44" s="231"/>
    </row>
    <row r="45" customFormat="false" ht="15" hidden="false" customHeight="true" outlineLevel="0" collapsed="false">
      <c r="A45" s="231"/>
      <c r="B45" s="241"/>
      <c r="C45" s="231"/>
      <c r="D45" s="231"/>
      <c r="E45" s="231"/>
      <c r="F45" s="231"/>
    </row>
    <row r="46" customFormat="false" ht="15" hidden="false" customHeight="true" outlineLevel="0" collapsed="false">
      <c r="A46" s="231"/>
      <c r="B46" s="241"/>
      <c r="C46" s="231"/>
      <c r="D46" s="231"/>
      <c r="E46" s="231"/>
      <c r="F46" s="231"/>
    </row>
    <row r="47" customFormat="false" ht="15" hidden="false" customHeight="true" outlineLevel="0" collapsed="false">
      <c r="A47" s="231"/>
      <c r="B47" s="241"/>
      <c r="C47" s="231"/>
      <c r="D47" s="231"/>
      <c r="E47" s="231"/>
      <c r="F47" s="231"/>
    </row>
    <row r="48" customFormat="false" ht="15" hidden="false" customHeight="true" outlineLevel="0" collapsed="false">
      <c r="A48" s="231"/>
      <c r="B48" s="241"/>
      <c r="C48" s="231"/>
      <c r="D48" s="231"/>
      <c r="E48" s="231"/>
      <c r="F48" s="231"/>
    </row>
    <row r="49" customFormat="false" ht="15" hidden="false" customHeight="true" outlineLevel="0" collapsed="false">
      <c r="A49" s="231"/>
      <c r="B49" s="242"/>
      <c r="C49" s="231"/>
      <c r="D49" s="231"/>
      <c r="E49" s="231"/>
      <c r="F49" s="231"/>
    </row>
  </sheetData>
  <mergeCells count="34">
    <mergeCell ref="A1:F1"/>
    <mergeCell ref="A2:F2"/>
    <mergeCell ref="D3:F3"/>
    <mergeCell ref="A4:F4"/>
    <mergeCell ref="D6:F6"/>
    <mergeCell ref="D7:F7"/>
    <mergeCell ref="D8:F8"/>
    <mergeCell ref="D9:F9"/>
    <mergeCell ref="D10:F10"/>
    <mergeCell ref="D11:F11"/>
    <mergeCell ref="D12:F12"/>
    <mergeCell ref="D13:F13"/>
    <mergeCell ref="D14:F14"/>
    <mergeCell ref="D15:F15"/>
    <mergeCell ref="D16:F16"/>
    <mergeCell ref="D17:F17"/>
    <mergeCell ref="D19:F19"/>
    <mergeCell ref="D20:F20"/>
    <mergeCell ref="D21:F21"/>
    <mergeCell ref="A23:F23"/>
    <mergeCell ref="D24:F24"/>
    <mergeCell ref="D25:F25"/>
    <mergeCell ref="D26:F26"/>
    <mergeCell ref="D27:F27"/>
    <mergeCell ref="D28:F28"/>
    <mergeCell ref="D29:F29"/>
    <mergeCell ref="D30:F30"/>
    <mergeCell ref="A34:F34"/>
    <mergeCell ref="D35:F35"/>
    <mergeCell ref="D36:F36"/>
    <mergeCell ref="D37:F37"/>
    <mergeCell ref="D38:F38"/>
    <mergeCell ref="D39:F39"/>
    <mergeCell ref="A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0CECE"/>
    <pageSetUpPr fitToPage="false"/>
  </sheetPr>
  <dimension ref="A1:D7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47" activeCellId="0" sqref="D47"/>
    </sheetView>
  </sheetViews>
  <sheetFormatPr defaultColWidth="8.6679687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34.33"/>
    <col collapsed="false" customWidth="true" hidden="false" outlineLevel="0" max="4" min="4" style="1" width="54"/>
    <col collapsed="false" customWidth="false" hidden="false" outlineLevel="0" max="16384" min="5" style="1" width="8.67"/>
  </cols>
  <sheetData>
    <row r="1" customFormat="false" ht="28.5" hidden="false" customHeight="true" outlineLevel="0" collapsed="false">
      <c r="A1" s="243" t="s">
        <v>691</v>
      </c>
      <c r="B1" s="243"/>
      <c r="C1" s="243"/>
      <c r="D1" s="243"/>
    </row>
    <row r="2" customFormat="false" ht="15" hidden="false" customHeight="true" outlineLevel="0" collapsed="false">
      <c r="A2" s="244" t="s">
        <v>692</v>
      </c>
      <c r="B2" s="245" t="s">
        <v>31</v>
      </c>
      <c r="C2" s="246" t="s">
        <v>693</v>
      </c>
    </row>
    <row r="3" customFormat="false" ht="13.5" hidden="false" customHeight="false" outlineLevel="0" collapsed="false">
      <c r="A3" s="247" t="s">
        <v>694</v>
      </c>
      <c r="B3" s="248" t="n">
        <f aca="false">B9/B17</f>
        <v>3.26797385620915E+017</v>
      </c>
    </row>
    <row r="5" customFormat="false" ht="19.5" hidden="false" customHeight="true" outlineLevel="0" collapsed="false">
      <c r="A5" s="249"/>
      <c r="B5" s="245"/>
      <c r="C5" s="250"/>
      <c r="D5" s="20" t="s">
        <v>34</v>
      </c>
    </row>
    <row r="6" customFormat="false" ht="41.25" hidden="false" customHeight="true" outlineLevel="0" collapsed="false">
      <c r="A6" s="247" t="s">
        <v>695</v>
      </c>
      <c r="B6" s="251" t="n">
        <v>75</v>
      </c>
      <c r="C6" s="245" t="s">
        <v>696</v>
      </c>
      <c r="D6" s="29" t="s">
        <v>697</v>
      </c>
    </row>
    <row r="7" customFormat="false" ht="31.5" hidden="false" customHeight="true" outlineLevel="0" collapsed="false">
      <c r="A7" s="247" t="s">
        <v>698</v>
      </c>
      <c r="B7" s="251" t="n">
        <v>20</v>
      </c>
      <c r="C7" s="245" t="s">
        <v>696</v>
      </c>
      <c r="D7" s="29" t="s">
        <v>699</v>
      </c>
    </row>
    <row r="8" customFormat="false" ht="41.25" hidden="false" customHeight="true" outlineLevel="0" collapsed="false">
      <c r="A8" s="247" t="s">
        <v>700</v>
      </c>
      <c r="B8" s="252" t="n">
        <v>10000000000000000</v>
      </c>
      <c r="C8" s="245" t="s">
        <v>696</v>
      </c>
      <c r="D8" s="29" t="s">
        <v>701</v>
      </c>
    </row>
    <row r="9" customFormat="false" ht="31.5" hidden="false" customHeight="true" outlineLevel="0" collapsed="false">
      <c r="A9" s="247" t="s">
        <v>702</v>
      </c>
      <c r="B9" s="248" t="n">
        <f aca="false">B6*B8</f>
        <v>7.5E+017</v>
      </c>
    </row>
    <row r="10" customFormat="false" ht="13.5" hidden="false" customHeight="false" outlineLevel="0" collapsed="false">
      <c r="A10" s="247" t="s">
        <v>703</v>
      </c>
      <c r="B10" s="253" t="n">
        <f aca="false">B6*B7^2</f>
        <v>30000</v>
      </c>
    </row>
    <row r="11" customFormat="false" ht="16.5" hidden="false" customHeight="true" outlineLevel="0" collapsed="false">
      <c r="A11" s="249"/>
      <c r="B11" s="245"/>
      <c r="C11" s="250"/>
    </row>
    <row r="12" customFormat="false" ht="28.5" hidden="false" customHeight="true" outlineLevel="0" collapsed="false">
      <c r="A12" s="254" t="s">
        <v>704</v>
      </c>
      <c r="B12" s="251" t="n">
        <v>151</v>
      </c>
      <c r="C12" s="245" t="s">
        <v>705</v>
      </c>
      <c r="D12" s="29" t="s">
        <v>706</v>
      </c>
    </row>
    <row r="13" customFormat="false" ht="91.5" hidden="false" customHeight="true" outlineLevel="0" collapsed="false">
      <c r="A13" s="247" t="s">
        <v>707</v>
      </c>
      <c r="B13" s="255" t="n">
        <f aca="false">ROUND(0.51-0.48,3)</f>
        <v>0.03</v>
      </c>
      <c r="C13" s="245" t="s">
        <v>708</v>
      </c>
      <c r="D13" s="29" t="s">
        <v>709</v>
      </c>
    </row>
    <row r="14" customFormat="false" ht="28.5" hidden="false" customHeight="true" outlineLevel="0" collapsed="false">
      <c r="A14" s="254" t="s">
        <v>710</v>
      </c>
      <c r="B14" s="256" t="n">
        <v>340</v>
      </c>
      <c r="D14" s="29" t="s">
        <v>711</v>
      </c>
    </row>
    <row r="15" customFormat="false" ht="13.5" hidden="false" customHeight="false" outlineLevel="0" collapsed="false">
      <c r="A15" s="247" t="s">
        <v>712</v>
      </c>
      <c r="B15" s="257" t="n">
        <f aca="false">B13*B14</f>
        <v>10.2</v>
      </c>
    </row>
    <row r="16" customFormat="false" ht="28.5" hidden="false" customHeight="true" outlineLevel="0" collapsed="false">
      <c r="A16" s="247" t="s">
        <v>557</v>
      </c>
      <c r="B16" s="255" t="n">
        <v>0.225</v>
      </c>
      <c r="C16" s="245" t="s">
        <v>713</v>
      </c>
      <c r="D16" s="29" t="s">
        <v>714</v>
      </c>
    </row>
    <row r="17" customFormat="false" ht="31.5" hidden="false" customHeight="true" outlineLevel="0" collapsed="false">
      <c r="A17" s="247" t="s">
        <v>715</v>
      </c>
      <c r="B17" s="257" t="n">
        <f aca="false">B15*B16</f>
        <v>2.295</v>
      </c>
    </row>
    <row r="18" customFormat="false" ht="18.75" hidden="false" customHeight="true" outlineLevel="0" collapsed="false">
      <c r="A18" s="249"/>
      <c r="B18" s="245"/>
      <c r="C18" s="250"/>
    </row>
    <row r="19" customFormat="false" ht="14.15" hidden="false" customHeight="false" outlineLevel="0" collapsed="false">
      <c r="A19" s="247" t="s">
        <v>716</v>
      </c>
      <c r="B19" s="258" t="n">
        <f aca="false">'5a. Cooling Model - Local'!B25</f>
        <v>0.0225</v>
      </c>
      <c r="C19" s="245" t="s">
        <v>717</v>
      </c>
    </row>
    <row r="20" customFormat="false" ht="31.5" hidden="false" customHeight="true" outlineLevel="0" collapsed="false">
      <c r="A20" s="247" t="s">
        <v>718</v>
      </c>
      <c r="B20" s="259" t="n">
        <f aca="false">B17*B19</f>
        <v>0.0516375</v>
      </c>
    </row>
    <row r="22" customFormat="false" ht="22.5" hidden="false" customHeight="true" outlineLevel="0" collapsed="false">
      <c r="A22" s="249"/>
      <c r="B22" s="245"/>
      <c r="C22" s="250"/>
    </row>
    <row r="23" customFormat="false" ht="31.5" hidden="false" customHeight="true" outlineLevel="0" collapsed="false">
      <c r="A23" s="247" t="s">
        <v>719</v>
      </c>
      <c r="B23" s="260" t="n">
        <f aca="false">'1. Technology Description'!B8</f>
        <v>1730000000000</v>
      </c>
      <c r="C23" s="245" t="s">
        <v>720</v>
      </c>
    </row>
    <row r="24" customFormat="false" ht="31.5" hidden="false" customHeight="true" outlineLevel="0" collapsed="false">
      <c r="A24" s="247" t="s">
        <v>721</v>
      </c>
      <c r="B24" s="261" t="n">
        <f aca="false">'1. Technology Description'!B9</f>
        <v>0.71</v>
      </c>
      <c r="C24" s="245" t="s">
        <v>720</v>
      </c>
    </row>
    <row r="25" customFormat="false" ht="31.5" hidden="false" customHeight="true" outlineLevel="0" collapsed="false">
      <c r="A25" s="247" t="s">
        <v>722</v>
      </c>
      <c r="B25" s="253" t="n">
        <f aca="false">$B$8/(B23*B24)</f>
        <v>8141.33355043556</v>
      </c>
    </row>
    <row r="26" customFormat="false" ht="15" hidden="false" customHeight="true" outlineLevel="0" collapsed="false">
      <c r="A26" s="247" t="s">
        <v>102</v>
      </c>
      <c r="B26" s="261" t="n">
        <f aca="false">'2. Cost Inputs'!B5</f>
        <v>0.9</v>
      </c>
      <c r="C26" s="245" t="s">
        <v>723</v>
      </c>
    </row>
    <row r="27" customFormat="false" ht="16.5" hidden="false" customHeight="true" outlineLevel="0" collapsed="false">
      <c r="A27" s="247" t="s">
        <v>724</v>
      </c>
      <c r="B27" s="262" t="n">
        <v>0.95</v>
      </c>
      <c r="D27" s="29" t="s">
        <v>725</v>
      </c>
    </row>
    <row r="28" customFormat="false" ht="31.5" hidden="false" customHeight="true" outlineLevel="0" collapsed="false">
      <c r="A28" s="254" t="s">
        <v>726</v>
      </c>
      <c r="B28" s="248" t="n">
        <f aca="false">$B$8*B26*B27</f>
        <v>8550000000000000</v>
      </c>
    </row>
    <row r="29" customFormat="false" ht="31.5" hidden="false" customHeight="true" outlineLevel="0" collapsed="false">
      <c r="A29" s="247" t="s">
        <v>727</v>
      </c>
      <c r="B29" s="248" t="n">
        <f aca="false">B17*B3*B12*86400</f>
        <v>9.7848E+024</v>
      </c>
    </row>
    <row r="30" customFormat="false" ht="31.5" hidden="false" customHeight="true" outlineLevel="0" collapsed="false">
      <c r="A30" s="247" t="s">
        <v>728</v>
      </c>
      <c r="B30" s="248" t="n">
        <f aca="false">B28*B12*86400</f>
        <v>1.1154672E+023</v>
      </c>
    </row>
    <row r="31" customFormat="false" ht="13.5" hidden="false" customHeight="false" outlineLevel="0" collapsed="false">
      <c r="A31" s="247" t="s">
        <v>729</v>
      </c>
      <c r="B31" s="263" t="n">
        <f aca="false">B29/B30</f>
        <v>87.7192982456141</v>
      </c>
    </row>
    <row r="32" customFormat="false" ht="31.5" hidden="false" customHeight="true" outlineLevel="0" collapsed="false">
      <c r="A32" s="247" t="s">
        <v>730</v>
      </c>
      <c r="B32" s="245" t="str">
        <f aca="false">IF(ABS(B31*B30/B29-1)&lt;0.001,"MATCH","MISMATCH")</f>
        <v>MATCH</v>
      </c>
    </row>
    <row r="33" customFormat="false" ht="15" hidden="false" customHeight="true" outlineLevel="0" collapsed="false">
      <c r="A33" s="249"/>
      <c r="B33" s="250"/>
      <c r="C33" s="250"/>
    </row>
    <row r="34" customFormat="false" ht="14.15" hidden="false" customHeight="false" outlineLevel="0" collapsed="false">
      <c r="A34" s="247" t="s">
        <v>731</v>
      </c>
      <c r="B34" s="264" t="n">
        <f aca="false">'1. Technology Description'!B17</f>
        <v>512</v>
      </c>
      <c r="C34" s="245" t="s">
        <v>720</v>
      </c>
    </row>
    <row r="35" customFormat="false" ht="31.5" hidden="false" customHeight="true" outlineLevel="0" collapsed="false">
      <c r="A35" s="247" t="s">
        <v>732</v>
      </c>
      <c r="B35" s="265" t="n">
        <f aca="false">B25*B34/1000</f>
        <v>4168.36277782301</v>
      </c>
    </row>
    <row r="36" customFormat="false" ht="14.15" hidden="false" customHeight="false" outlineLevel="0" collapsed="false">
      <c r="A36" s="247" t="s">
        <v>733</v>
      </c>
      <c r="B36" s="264" t="n">
        <f aca="false">'5c. Benefit - Local - Reef'!B15</f>
        <v>21428.5714285714</v>
      </c>
      <c r="C36" s="245" t="s">
        <v>734</v>
      </c>
    </row>
    <row r="37" customFormat="false" ht="15" hidden="false" customHeight="true" outlineLevel="0" collapsed="false">
      <c r="A37" s="247" t="s">
        <v>735</v>
      </c>
      <c r="B37" s="266" t="n">
        <f aca="false">B12/7</f>
        <v>21.5714285714286</v>
      </c>
    </row>
    <row r="38" customFormat="false" ht="15" hidden="false" customHeight="true" outlineLevel="0" collapsed="false">
      <c r="A38" s="254" t="s">
        <v>736</v>
      </c>
      <c r="B38" s="267" t="n">
        <f aca="false">'3b. Outputs - Ship Piggyback'!B5*2</f>
        <v>200000</v>
      </c>
      <c r="C38" s="245" t="s">
        <v>737</v>
      </c>
    </row>
    <row r="39" customFormat="false" ht="31.5" hidden="false" customHeight="true" outlineLevel="0" collapsed="false">
      <c r="A39" s="247" t="s">
        <v>738</v>
      </c>
      <c r="B39" s="265" t="n">
        <f aca="false">B31*B12*B36</f>
        <v>283834586.466166</v>
      </c>
    </row>
    <row r="40" customFormat="false" ht="31.5" hidden="false" customHeight="true" outlineLevel="0" collapsed="false">
      <c r="A40" s="247" t="s">
        <v>739</v>
      </c>
      <c r="B40" s="265" t="n">
        <f aca="false">B31*B38</f>
        <v>17543859.6491228</v>
      </c>
    </row>
    <row r="41" customFormat="false" ht="13.5" hidden="false" customHeight="false" outlineLevel="0" collapsed="false">
      <c r="A41" s="247" t="s">
        <v>740</v>
      </c>
      <c r="B41" s="268" t="n">
        <f aca="false">B12*24*B27*B26</f>
        <v>3098.52</v>
      </c>
    </row>
    <row r="42" customFormat="false" ht="15" hidden="false" customHeight="true" outlineLevel="0" collapsed="false">
      <c r="A42" s="247" t="s">
        <v>741</v>
      </c>
      <c r="B42" s="264" t="n">
        <f aca="false">'2. Cost Inputs'!D24</f>
        <v>0.3</v>
      </c>
      <c r="C42" s="245" t="s">
        <v>723</v>
      </c>
    </row>
    <row r="43" customFormat="false" ht="18" hidden="false" customHeight="true" outlineLevel="0" collapsed="false">
      <c r="A43" s="247" t="s">
        <v>742</v>
      </c>
      <c r="B43" s="245" t="n">
        <f aca="false">B31*B35*B41*B42</f>
        <v>339888300.903688</v>
      </c>
    </row>
    <row r="44" customFormat="false" ht="13.5" hidden="false" customHeight="false" outlineLevel="0" collapsed="false">
      <c r="A44" s="247" t="s">
        <v>743</v>
      </c>
      <c r="B44" s="269" t="n">
        <f aca="false">'3b. Outputs - Ship Piggyback'!B7</f>
        <v>180000</v>
      </c>
      <c r="C44" s="3" t="s">
        <v>744</v>
      </c>
    </row>
    <row r="45" customFormat="false" ht="13.5" hidden="false" customHeight="false" outlineLevel="0" collapsed="false">
      <c r="A45" s="247" t="s">
        <v>745</v>
      </c>
      <c r="B45" s="3" t="n">
        <f aca="false">B31*B44*((B12/7)/52)</f>
        <v>6550028.91844997</v>
      </c>
    </row>
    <row r="46" customFormat="false" ht="31.5" hidden="false" customHeight="true" outlineLevel="0" collapsed="false">
      <c r="A46" s="254" t="s">
        <v>746</v>
      </c>
      <c r="B46" s="3" t="n">
        <f aca="false">B39+B40+B43+B45+B47</f>
        <v>708719939.83068</v>
      </c>
    </row>
    <row r="47" customFormat="false" ht="91.5" hidden="false" customHeight="true" outlineLevel="0" collapsed="false">
      <c r="A47" s="247" t="s">
        <v>747</v>
      </c>
      <c r="B47" s="3" t="n">
        <f aca="false">B31*B12*'2. Cost Inputs'!B58</f>
        <v>60903163.8932538</v>
      </c>
      <c r="C47" s="3" t="s">
        <v>723</v>
      </c>
    </row>
    <row r="48" customFormat="false" ht="13.5" hidden="false" customHeight="false" outlineLevel="0" collapsed="false">
      <c r="A48" s="247" t="s">
        <v>748</v>
      </c>
      <c r="B48" s="270" t="n">
        <f aca="false">'5c. Benefit - Local - Reef'!B35</f>
        <v>22</v>
      </c>
      <c r="C48" s="3" t="s">
        <v>734</v>
      </c>
    </row>
    <row r="49" customFormat="false" ht="13.5" hidden="false" customHeight="false" outlineLevel="0" collapsed="false">
      <c r="A49" s="271" t="s">
        <v>749</v>
      </c>
      <c r="B49" s="272" t="n">
        <f aca="false">'5c. Benefit - Local - Reef'!B26</f>
        <v>0.57</v>
      </c>
      <c r="C49" s="3" t="s">
        <v>734</v>
      </c>
    </row>
    <row r="50" customFormat="false" ht="31.5" hidden="false" customHeight="true" outlineLevel="0" collapsed="false">
      <c r="A50" s="247" t="s">
        <v>750</v>
      </c>
      <c r="B50" s="264" t="n">
        <f aca="false">'5c. Benefit - Local - Reef'!B28</f>
        <v>13300000000</v>
      </c>
      <c r="C50" s="245" t="s">
        <v>734</v>
      </c>
    </row>
    <row r="51" customFormat="false" ht="31.5" hidden="false" customHeight="true" outlineLevel="0" collapsed="false">
      <c r="A51" s="247" t="s">
        <v>751</v>
      </c>
      <c r="B51" s="245" t="n">
        <f aca="false">B17/B48*B49</f>
        <v>0.0594613636363636</v>
      </c>
    </row>
    <row r="52" customFormat="false" ht="31.5" hidden="false" customHeight="true" outlineLevel="0" collapsed="false">
      <c r="A52" s="247" t="s">
        <v>752</v>
      </c>
      <c r="B52" s="248" t="n">
        <f aca="false">B51*B50</f>
        <v>790836136.363636</v>
      </c>
    </row>
    <row r="53" customFormat="false" ht="66" hidden="false" customHeight="true" outlineLevel="0" collapsed="false">
      <c r="A53" s="249"/>
      <c r="B53" s="273"/>
      <c r="C53" s="64"/>
    </row>
    <row r="54" customFormat="false" ht="31.5" hidden="false" customHeight="true" outlineLevel="0" collapsed="false">
      <c r="A54" s="247" t="s">
        <v>753</v>
      </c>
      <c r="B54" s="274" t="n">
        <f aca="false">B46/B29*10^16</f>
        <v>0.724307027052858</v>
      </c>
    </row>
    <row r="55" customFormat="false" ht="31.5" hidden="false" customHeight="true" outlineLevel="0" collapsed="false">
      <c r="A55" s="247" t="s">
        <v>754</v>
      </c>
      <c r="B55" s="275" t="n">
        <f aca="false">B52/B46</f>
        <v>1.11586550895206</v>
      </c>
    </row>
    <row r="56" customFormat="false" ht="31.5" hidden="false" customHeight="true" outlineLevel="0" collapsed="false">
      <c r="A56" s="245"/>
      <c r="B56" s="248"/>
      <c r="C56" s="3"/>
      <c r="D56" s="245"/>
    </row>
    <row r="57" customFormat="false" ht="13.5" hidden="false" customHeight="false" outlineLevel="0" collapsed="false">
      <c r="A57" s="276"/>
      <c r="B57" s="276"/>
      <c r="C57" s="276"/>
      <c r="D57" s="276"/>
    </row>
    <row r="58" customFormat="false" ht="13.5" hidden="false" customHeight="false" outlineLevel="0" collapsed="false">
      <c r="A58" s="276"/>
      <c r="B58" s="276"/>
      <c r="C58" s="276"/>
      <c r="D58" s="276"/>
    </row>
    <row r="59" customFormat="false" ht="13.5" hidden="false" customHeight="false" outlineLevel="0" collapsed="false">
      <c r="A59" s="276"/>
      <c r="B59" s="276"/>
      <c r="C59" s="276"/>
      <c r="D59" s="276"/>
    </row>
    <row r="60" customFormat="false" ht="13.5" hidden="false" customHeight="false" outlineLevel="0" collapsed="false">
      <c r="A60" s="276"/>
      <c r="B60" s="276"/>
      <c r="C60" s="276"/>
      <c r="D60" s="276"/>
    </row>
    <row r="61" customFormat="false" ht="13.5" hidden="false" customHeight="false" outlineLevel="0" collapsed="false">
      <c r="A61" s="276"/>
      <c r="B61" s="276"/>
      <c r="C61" s="276"/>
      <c r="D61" s="276"/>
    </row>
    <row r="62" customFormat="false" ht="13.5" hidden="false" customHeight="false" outlineLevel="0" collapsed="false">
      <c r="A62" s="276"/>
      <c r="B62" s="276"/>
      <c r="C62" s="276"/>
      <c r="D62" s="276"/>
    </row>
    <row r="63" customFormat="false" ht="13.5" hidden="false" customHeight="false" outlineLevel="0" collapsed="false">
      <c r="A63" s="276"/>
      <c r="B63" s="276"/>
      <c r="C63" s="276"/>
      <c r="D63" s="276"/>
    </row>
    <row r="64" customFormat="false" ht="15" hidden="false" customHeight="true" outlineLevel="0" collapsed="false">
      <c r="A64" s="3"/>
      <c r="B64" s="3"/>
      <c r="C64" s="3"/>
      <c r="D64" s="3"/>
    </row>
    <row r="76" customFormat="false" ht="15" hidden="false" customHeight="true" outlineLevel="0" collapsed="false">
      <c r="A76" s="3"/>
      <c r="B76" s="3"/>
      <c r="C76" s="3"/>
      <c r="D76" s="3"/>
    </row>
    <row r="77" customFormat="false" ht="15" hidden="false" customHeight="true" outlineLevel="0" collapsed="false">
      <c r="A77" s="3"/>
      <c r="B77" s="3"/>
      <c r="C77" s="3"/>
      <c r="D77" s="3"/>
    </row>
    <row r="78" customFormat="false" ht="15" hidden="false" customHeight="true" outlineLevel="0" collapsed="false">
      <c r="A78" s="3"/>
      <c r="B78" s="3"/>
      <c r="C78" s="3"/>
      <c r="D78" s="3"/>
    </row>
  </sheetData>
  <mergeCells count="8">
    <mergeCell ref="A1:D1"/>
    <mergeCell ref="A57:D57"/>
    <mergeCell ref="A58:D58"/>
    <mergeCell ref="A59:D59"/>
    <mergeCell ref="A60:D60"/>
    <mergeCell ref="A61:D61"/>
    <mergeCell ref="A62:D62"/>
    <mergeCell ref="A63:D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0CECE"/>
    <pageSetUpPr fitToPage="false"/>
  </sheetPr>
  <dimension ref="A1:G4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G37" activeCellId="0" sqref="G37"/>
    </sheetView>
  </sheetViews>
  <sheetFormatPr defaultColWidth="8.66796875" defaultRowHeight="15" customHeight="false"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3" min="3" style="0" width="13"/>
    <col collapsed="false" customWidth="true" hidden="false" outlineLevel="0" max="4" min="4" style="0" width="58"/>
    <col collapsed="false" customWidth="true" hidden="false" outlineLevel="0" max="5" min="5" style="0" width="15"/>
    <col collapsed="false" customWidth="true" hidden="false" outlineLevel="0" max="6" min="6" style="0" width="34.16"/>
    <col collapsed="false" customWidth="true" hidden="false" outlineLevel="0" max="7" min="7" style="0" width="55"/>
  </cols>
  <sheetData>
    <row r="1" customFormat="false" ht="23.25" hidden="false" customHeight="true" outlineLevel="0" collapsed="false">
      <c r="A1" s="277" t="s">
        <v>755</v>
      </c>
      <c r="B1" s="277"/>
      <c r="C1" s="277"/>
      <c r="D1" s="277"/>
      <c r="E1" s="277"/>
      <c r="F1" s="277"/>
    </row>
    <row r="2" customFormat="false" ht="39" hidden="false" customHeight="true" outlineLevel="0" collapsed="false">
      <c r="A2" s="216" t="s">
        <v>756</v>
      </c>
      <c r="B2" s="216"/>
      <c r="C2" s="216"/>
      <c r="D2" s="216"/>
      <c r="E2" s="216"/>
      <c r="F2" s="216"/>
    </row>
    <row r="3" customFormat="false" ht="34.5" hidden="false" customHeight="true" outlineLevel="0" collapsed="false">
      <c r="A3" s="278" t="s">
        <v>757</v>
      </c>
      <c r="B3" s="279" t="n">
        <v>0.5</v>
      </c>
      <c r="C3" s="90" t="s">
        <v>103</v>
      </c>
      <c r="D3" s="196" t="s">
        <v>758</v>
      </c>
      <c r="G3" s="208" t="s">
        <v>759</v>
      </c>
    </row>
    <row r="4" customFormat="false" ht="19.5" hidden="false" customHeight="true" outlineLevel="0" collapsed="false">
      <c r="A4" s="219" t="s">
        <v>612</v>
      </c>
      <c r="B4" s="219"/>
      <c r="C4" s="219"/>
      <c r="D4" s="219"/>
      <c r="E4" s="219"/>
      <c r="F4" s="219"/>
    </row>
    <row r="5" customFormat="false" ht="28.5" hidden="false" customHeight="true" outlineLevel="0" collapsed="false">
      <c r="A5" s="164" t="s">
        <v>760</v>
      </c>
      <c r="B5" s="164"/>
      <c r="C5" s="164"/>
      <c r="D5" s="164"/>
      <c r="E5" s="164"/>
      <c r="F5" s="164"/>
    </row>
    <row r="6" customFormat="false" ht="18" hidden="false" customHeight="true" outlineLevel="0" collapsed="false">
      <c r="A6" s="220" t="s">
        <v>613</v>
      </c>
      <c r="B6" s="220" t="s">
        <v>31</v>
      </c>
      <c r="C6" s="220" t="s">
        <v>32</v>
      </c>
      <c r="D6" s="220" t="s">
        <v>614</v>
      </c>
      <c r="F6" s="280"/>
      <c r="G6" s="20" t="s">
        <v>34</v>
      </c>
    </row>
    <row r="7" customFormat="false" ht="25.5" hidden="false" customHeight="true" outlineLevel="0" collapsed="false">
      <c r="A7" s="221" t="s">
        <v>761</v>
      </c>
      <c r="B7" s="222" t="n">
        <v>50000</v>
      </c>
      <c r="C7" s="221" t="s">
        <v>762</v>
      </c>
      <c r="D7" s="223" t="s">
        <v>763</v>
      </c>
      <c r="E7" s="223"/>
      <c r="F7" s="223"/>
      <c r="G7" s="223" t="s">
        <v>764</v>
      </c>
    </row>
    <row r="8" customFormat="false" ht="25.5" hidden="false" customHeight="true" outlineLevel="0" collapsed="false">
      <c r="A8" s="221" t="s">
        <v>765</v>
      </c>
      <c r="B8" s="281" t="n">
        <f aca="false">'5a. Cooling Model - Local'!B19*'5a. Cooling Model - Local'!B25</f>
        <v>0.179457156895764</v>
      </c>
      <c r="C8" s="221" t="s">
        <v>766</v>
      </c>
      <c r="D8" s="223" t="s">
        <v>767</v>
      </c>
      <c r="E8" s="223"/>
      <c r="F8" s="223"/>
      <c r="G8" s="223" t="s">
        <v>768</v>
      </c>
    </row>
    <row r="9" customFormat="false" ht="28.5" hidden="false" customHeight="true" outlineLevel="0" collapsed="false">
      <c r="A9" s="221" t="s">
        <v>769</v>
      </c>
      <c r="B9" s="222" t="n">
        <v>14</v>
      </c>
      <c r="C9" s="221" t="s">
        <v>270</v>
      </c>
      <c r="D9" s="223" t="s">
        <v>770</v>
      </c>
      <c r="E9" s="223"/>
      <c r="F9" s="223"/>
      <c r="G9" s="223" t="s">
        <v>771</v>
      </c>
    </row>
    <row r="10" customFormat="false" ht="15" hidden="false" customHeight="true" outlineLevel="0" collapsed="false">
      <c r="A10" s="221" t="s">
        <v>628</v>
      </c>
      <c r="B10" s="282" t="n">
        <f aca="false">'5a. Cooling Model - Local'!B11</f>
        <v>2910.92717131953</v>
      </c>
      <c r="C10" s="221" t="s">
        <v>534</v>
      </c>
      <c r="D10" s="223" t="s">
        <v>629</v>
      </c>
      <c r="E10" s="223"/>
      <c r="F10" s="223"/>
    </row>
    <row r="11" customFormat="false" ht="27.75" hidden="false" customHeight="true" outlineLevel="0" collapsed="false">
      <c r="A11" s="221" t="s">
        <v>772</v>
      </c>
      <c r="B11" s="283" t="n">
        <f aca="false">(B7/100/B10)*(B9/'5a. Cooling Model - Local'!B24)/$B$3</f>
        <v>1.60315473112687</v>
      </c>
      <c r="C11" s="221" t="s">
        <v>631</v>
      </c>
      <c r="D11" s="223" t="s">
        <v>773</v>
      </c>
      <c r="E11" s="223"/>
      <c r="F11" s="223"/>
    </row>
    <row r="12" customFormat="false" ht="27.75" hidden="false" customHeight="true" outlineLevel="0" collapsed="false">
      <c r="A12" s="221" t="s">
        <v>774</v>
      </c>
      <c r="B12" s="282" t="n">
        <f aca="false">'2. Cost Inputs'!$B$15*(B9/365)*'5c-alt. Benefit - Reef (Zhao)'!$B$27</f>
        <v>39.4760820992681</v>
      </c>
      <c r="C12" s="221" t="s">
        <v>631</v>
      </c>
      <c r="D12" s="223" t="s">
        <v>775</v>
      </c>
      <c r="E12" s="223"/>
      <c r="F12" s="223"/>
    </row>
    <row r="13" customFormat="false" ht="15" hidden="false" customHeight="true" outlineLevel="0" collapsed="false">
      <c r="A13" s="221" t="s">
        <v>776</v>
      </c>
      <c r="B13" s="284" t="n">
        <f aca="false">MAX(1,ROUNDUP(B11/B12,0))</f>
        <v>1</v>
      </c>
      <c r="C13" s="221" t="s">
        <v>185</v>
      </c>
      <c r="D13" s="223" t="s">
        <v>777</v>
      </c>
      <c r="E13" s="223"/>
      <c r="F13" s="223"/>
    </row>
    <row r="14" customFormat="false" ht="19.5" hidden="false" customHeight="true" outlineLevel="0" collapsed="false">
      <c r="A14" s="221" t="s">
        <v>778</v>
      </c>
      <c r="B14" s="228" t="n">
        <f aca="false">'2. Cost Inputs'!B56</f>
        <v>150000</v>
      </c>
      <c r="C14" s="221" t="s">
        <v>203</v>
      </c>
      <c r="D14" s="223" t="s">
        <v>779</v>
      </c>
      <c r="E14" s="223"/>
      <c r="F14" s="223"/>
      <c r="G14" s="223" t="s">
        <v>780</v>
      </c>
    </row>
    <row r="15" customFormat="false" ht="15" hidden="false" customHeight="true" outlineLevel="0" collapsed="false">
      <c r="A15" s="221" t="s">
        <v>639</v>
      </c>
      <c r="B15" s="285" t="n">
        <f aca="false">B13*(B9/7)*B14</f>
        <v>300000</v>
      </c>
      <c r="C15" s="221" t="s">
        <v>207</v>
      </c>
      <c r="D15" s="223" t="s">
        <v>781</v>
      </c>
      <c r="E15" s="223"/>
      <c r="F15" s="223"/>
    </row>
    <row r="16" customFormat="false" ht="27.75" hidden="false" customHeight="true" outlineLevel="0" collapsed="false">
      <c r="A16" s="221" t="s">
        <v>641</v>
      </c>
      <c r="B16" s="285" t="n">
        <f aca="false">B13*'3b. Outputs - Ship Piggyback'!B5*2</f>
        <v>200000</v>
      </c>
      <c r="C16" s="221" t="s">
        <v>207</v>
      </c>
      <c r="D16" s="223" t="s">
        <v>642</v>
      </c>
      <c r="E16" s="223"/>
      <c r="F16" s="223"/>
    </row>
    <row r="17" customFormat="false" ht="39.75" hidden="false" customHeight="true" outlineLevel="0" collapsed="false">
      <c r="A17" s="221" t="s">
        <v>645</v>
      </c>
      <c r="B17" s="285" t="n">
        <f aca="false">B11*'2. Cost Inputs'!B24*'2. Cost Inputs'!D24+B13*'3b. Outputs - Ship Piggyback'!B7*(B9/365)</f>
        <v>21493.3793114216</v>
      </c>
      <c r="C17" s="221" t="s">
        <v>207</v>
      </c>
      <c r="D17" s="223" t="s">
        <v>646</v>
      </c>
      <c r="E17" s="223"/>
      <c r="F17" s="223"/>
    </row>
    <row r="18" customFormat="false" ht="39.75" hidden="false" customHeight="true" outlineLevel="0" collapsed="false">
      <c r="A18" s="221" t="s">
        <v>782</v>
      </c>
      <c r="B18" s="286" t="n">
        <f aca="false">SUM(B15:B17)+B20</f>
        <v>585865.200221113</v>
      </c>
      <c r="C18" s="221" t="s">
        <v>207</v>
      </c>
      <c r="D18" s="223" t="s">
        <v>783</v>
      </c>
      <c r="E18" s="223"/>
      <c r="F18" s="223"/>
    </row>
    <row r="19" customFormat="false" ht="15" hidden="false" customHeight="true" outlineLevel="0" collapsed="false">
      <c r="A19" s="221" t="s">
        <v>649</v>
      </c>
      <c r="B19" s="285" t="n">
        <f aca="false">B18/B7</f>
        <v>11.7173040044223</v>
      </c>
      <c r="C19" s="221" t="s">
        <v>650</v>
      </c>
      <c r="D19" s="223" t="s">
        <v>651</v>
      </c>
      <c r="E19" s="223"/>
      <c r="F19" s="223"/>
    </row>
    <row r="20" customFormat="false" ht="15" hidden="false" customHeight="true" outlineLevel="0" collapsed="false">
      <c r="A20" s="221" t="s">
        <v>784</v>
      </c>
      <c r="B20" s="285" t="n">
        <f aca="false">B13*B9*'2. Cost Inputs'!B58</f>
        <v>64371.8209096908</v>
      </c>
      <c r="C20" s="221" t="s">
        <v>207</v>
      </c>
      <c r="D20" s="223" t="s">
        <v>785</v>
      </c>
      <c r="E20" s="231"/>
      <c r="F20" s="231"/>
    </row>
    <row r="21" customFormat="false" ht="19.5" hidden="false" customHeight="true" outlineLevel="0" collapsed="false">
      <c r="A21" s="219" t="s">
        <v>786</v>
      </c>
      <c r="B21" s="219"/>
      <c r="C21" s="219"/>
      <c r="D21" s="219"/>
      <c r="E21" s="219"/>
      <c r="F21" s="219"/>
    </row>
    <row r="22" customFormat="false" ht="18" hidden="false" customHeight="true" outlineLevel="0" collapsed="false">
      <c r="A22" s="221" t="s">
        <v>787</v>
      </c>
      <c r="B22" s="222" t="n">
        <v>2000000</v>
      </c>
      <c r="C22" s="221" t="s">
        <v>373</v>
      </c>
      <c r="D22" s="223" t="s">
        <v>788</v>
      </c>
      <c r="E22" s="223"/>
      <c r="F22" s="223"/>
      <c r="G22" s="223" t="s">
        <v>789</v>
      </c>
    </row>
    <row r="23" customFormat="false" ht="28.5" hidden="false" customHeight="true" outlineLevel="0" collapsed="false">
      <c r="A23" s="221" t="s">
        <v>790</v>
      </c>
      <c r="B23" s="222" t="n">
        <v>200</v>
      </c>
      <c r="C23" s="221" t="s">
        <v>791</v>
      </c>
      <c r="D23" s="223" t="s">
        <v>792</v>
      </c>
      <c r="E23" s="223"/>
      <c r="F23" s="223"/>
      <c r="G23" s="223" t="s">
        <v>793</v>
      </c>
    </row>
    <row r="24" customFormat="false" ht="18" hidden="false" customHeight="true" outlineLevel="0" collapsed="false">
      <c r="A24" s="221" t="s">
        <v>794</v>
      </c>
      <c r="B24" s="287" t="n">
        <v>0.057</v>
      </c>
      <c r="C24" s="221" t="s">
        <v>795</v>
      </c>
      <c r="D24" s="223" t="s">
        <v>796</v>
      </c>
      <c r="E24" s="223"/>
      <c r="F24" s="223"/>
      <c r="G24" s="223" t="s">
        <v>797</v>
      </c>
    </row>
    <row r="25" customFormat="false" ht="28.5" hidden="false" customHeight="true" outlineLevel="0" collapsed="false">
      <c r="A25" s="221" t="s">
        <v>798</v>
      </c>
      <c r="B25" s="288" t="n">
        <f aca="false">B8*'5a. Cooling Model - Local'!B21</f>
        <v>0.0358914313791528</v>
      </c>
      <c r="C25" s="221" t="s">
        <v>766</v>
      </c>
      <c r="D25" s="223" t="s">
        <v>799</v>
      </c>
      <c r="E25" s="223"/>
      <c r="F25" s="223"/>
    </row>
    <row r="26" customFormat="false" ht="28.5" hidden="false" customHeight="true" outlineLevel="0" collapsed="false">
      <c r="A26" s="221" t="s">
        <v>800</v>
      </c>
      <c r="B26" s="282" t="n">
        <f aca="false">B40*(1-1/(1+B24)^B25)</f>
        <v>1.54873563283706</v>
      </c>
      <c r="C26" s="221" t="s">
        <v>791</v>
      </c>
      <c r="D26" s="223" t="s">
        <v>801</v>
      </c>
      <c r="E26" s="223"/>
      <c r="F26" s="223"/>
    </row>
    <row r="27" customFormat="false" ht="27.75" hidden="false" customHeight="true" outlineLevel="0" collapsed="false">
      <c r="A27" s="221" t="s">
        <v>802</v>
      </c>
      <c r="B27" s="289" t="n">
        <v>10000000</v>
      </c>
      <c r="C27" s="221" t="s">
        <v>803</v>
      </c>
      <c r="D27" s="223" t="s">
        <v>804</v>
      </c>
      <c r="E27" s="223"/>
      <c r="F27" s="223"/>
      <c r="G27" s="223" t="s">
        <v>805</v>
      </c>
    </row>
    <row r="28" customFormat="false" ht="15" hidden="false" customHeight="true" outlineLevel="0" collapsed="false">
      <c r="A28" s="221" t="s">
        <v>668</v>
      </c>
      <c r="B28" s="285" t="n">
        <f aca="false">B26*B27</f>
        <v>15487356.3283706</v>
      </c>
      <c r="C28" s="221" t="s">
        <v>207</v>
      </c>
      <c r="D28" s="223" t="s">
        <v>806</v>
      </c>
      <c r="E28" s="223"/>
      <c r="F28" s="223"/>
    </row>
    <row r="29" customFormat="false" ht="15" hidden="false" customHeight="true" outlineLevel="0" collapsed="false">
      <c r="A29" s="221" t="s">
        <v>670</v>
      </c>
      <c r="B29" s="290" t="n">
        <f aca="false">B28/B18</f>
        <v>26.4350166600193</v>
      </c>
      <c r="C29" s="221" t="s">
        <v>550</v>
      </c>
      <c r="D29" s="223" t="s">
        <v>807</v>
      </c>
      <c r="E29" s="223"/>
      <c r="F29" s="223"/>
    </row>
    <row r="30" customFormat="false" ht="15" hidden="false" customHeight="true" outlineLevel="0" collapsed="false">
      <c r="A30" s="221" t="s">
        <v>808</v>
      </c>
      <c r="B30" s="289" t="n">
        <v>0.44</v>
      </c>
      <c r="C30" s="221" t="s">
        <v>103</v>
      </c>
      <c r="D30" s="223" t="s">
        <v>809</v>
      </c>
    </row>
    <row r="31" customFormat="false" ht="19.5" hidden="false" customHeight="true" outlineLevel="0" collapsed="false">
      <c r="A31" s="219" t="s">
        <v>810</v>
      </c>
      <c r="B31" s="219"/>
      <c r="C31" s="219"/>
      <c r="D31" s="219"/>
      <c r="E31" s="219"/>
      <c r="F31" s="219"/>
    </row>
    <row r="32" customFormat="false" ht="27.75" hidden="false" customHeight="true" outlineLevel="0" collapsed="false">
      <c r="A32" s="164" t="s">
        <v>811</v>
      </c>
      <c r="B32" s="164"/>
      <c r="C32" s="164"/>
      <c r="D32" s="164"/>
      <c r="E32" s="164"/>
      <c r="F32" s="164"/>
    </row>
    <row r="33" customFormat="false" ht="18" hidden="false" customHeight="true" outlineLevel="0" collapsed="false">
      <c r="A33" s="220" t="s">
        <v>613</v>
      </c>
      <c r="B33" s="220" t="s">
        <v>31</v>
      </c>
      <c r="C33" s="220" t="s">
        <v>32</v>
      </c>
      <c r="D33" s="220" t="s">
        <v>614</v>
      </c>
      <c r="E33" s="291"/>
      <c r="F33" s="291"/>
    </row>
    <row r="34" customFormat="false" ht="66" hidden="false" customHeight="true" outlineLevel="0" collapsed="false">
      <c r="A34" s="221" t="s">
        <v>812</v>
      </c>
      <c r="B34" s="292" t="s">
        <v>813</v>
      </c>
      <c r="C34" s="221" t="s">
        <v>814</v>
      </c>
      <c r="D34" s="223" t="s">
        <v>815</v>
      </c>
      <c r="E34" s="223"/>
      <c r="F34" s="223"/>
      <c r="G34" s="223" t="s">
        <v>816</v>
      </c>
    </row>
    <row r="35" customFormat="false" ht="28.5" hidden="false" customHeight="true" outlineLevel="0" collapsed="false">
      <c r="A35" s="221" t="s">
        <v>817</v>
      </c>
      <c r="B35" s="293" t="n">
        <v>13</v>
      </c>
      <c r="C35" s="221" t="s">
        <v>550</v>
      </c>
      <c r="D35" s="223" t="s">
        <v>818</v>
      </c>
      <c r="E35" s="223"/>
      <c r="F35" s="223"/>
      <c r="G35" s="223" t="s">
        <v>819</v>
      </c>
    </row>
    <row r="36" customFormat="false" ht="27.75" hidden="false" customHeight="true" outlineLevel="0" collapsed="false">
      <c r="A36" s="221" t="s">
        <v>820</v>
      </c>
      <c r="B36" s="294" t="n">
        <f aca="false">B29</f>
        <v>26.4350166600193</v>
      </c>
      <c r="C36" s="221" t="s">
        <v>550</v>
      </c>
      <c r="D36" s="223" t="s">
        <v>821</v>
      </c>
      <c r="E36" s="223"/>
      <c r="F36" s="223"/>
    </row>
    <row r="37" customFormat="false" ht="27.75" hidden="false" customHeight="true" outlineLevel="0" collapsed="false">
      <c r="A37" s="295" t="str">
        <f aca="false">"This profile ("&amp;TEXT(B29,"0.0")&amp;"x on the daily-mean realized dose, whole-vessel charter) compares with 1.5-15.2x for urban passive cooling (Estrada et al. 2017). The 13x geoengineering anchor is benefit vs risk, not benefit vs cost, so it is not a like-for-like comparison."</f>
        <v>This profile (26.4x on the daily-mean realized dose, whole-vessel charter) compares with 1.5-15.2x for urban passive cooling (Estrada et al. 2017). The 13x geoengineering anchor is benefit vs risk, not benefit vs cost, so it is not a like-for-like comparison.</v>
      </c>
      <c r="B37" s="295"/>
      <c r="C37" s="295"/>
      <c r="D37" s="295"/>
      <c r="E37" s="295"/>
      <c r="F37" s="295"/>
    </row>
    <row r="38" customFormat="false" ht="15" hidden="false" customHeight="true" outlineLevel="0" collapsed="false"/>
    <row r="39" customFormat="false" ht="15" hidden="false" customHeight="true" outlineLevel="0" collapsed="false">
      <c r="A39" s="296" t="s">
        <v>822</v>
      </c>
      <c r="B39" s="297" t="n">
        <v>7.55</v>
      </c>
      <c r="C39" s="296" t="s">
        <v>823</v>
      </c>
      <c r="D39" s="87" t="s">
        <v>824</v>
      </c>
      <c r="G39" s="87" t="s">
        <v>825</v>
      </c>
    </row>
    <row r="40" customFormat="false" ht="15" hidden="false" customHeight="true" outlineLevel="0" collapsed="false">
      <c r="A40" s="296" t="s">
        <v>826</v>
      </c>
      <c r="B40" s="298" t="n">
        <f aca="false">B22*B39/1000*B9/365+B23</f>
        <v>779.178082191781</v>
      </c>
      <c r="C40" s="296" t="s">
        <v>791</v>
      </c>
      <c r="D40" s="87" t="s">
        <v>827</v>
      </c>
    </row>
    <row r="41" customFormat="false" ht="15" hidden="false" customHeight="true" outlineLevel="0" collapsed="false"/>
  </sheetData>
  <mergeCells count="32">
    <mergeCell ref="A1:F1"/>
    <mergeCell ref="A2:F2"/>
    <mergeCell ref="A4:F4"/>
    <mergeCell ref="A5:F5"/>
    <mergeCell ref="D7:F7"/>
    <mergeCell ref="D8:F8"/>
    <mergeCell ref="D9:F9"/>
    <mergeCell ref="D10:F10"/>
    <mergeCell ref="D11:F11"/>
    <mergeCell ref="D12:F12"/>
    <mergeCell ref="D13:F13"/>
    <mergeCell ref="D14:F14"/>
    <mergeCell ref="D15:F15"/>
    <mergeCell ref="D16:F16"/>
    <mergeCell ref="D17:F17"/>
    <mergeCell ref="D18:F18"/>
    <mergeCell ref="D19:F19"/>
    <mergeCell ref="A21:F21"/>
    <mergeCell ref="D22:F22"/>
    <mergeCell ref="D23:F23"/>
    <mergeCell ref="D24:F24"/>
    <mergeCell ref="D25:F25"/>
    <mergeCell ref="D26:F26"/>
    <mergeCell ref="D27:F27"/>
    <mergeCell ref="D28:F28"/>
    <mergeCell ref="D29:F29"/>
    <mergeCell ref="A31:F31"/>
    <mergeCell ref="A32:F32"/>
    <mergeCell ref="D34:F34"/>
    <mergeCell ref="D35:F35"/>
    <mergeCell ref="D36:F36"/>
    <mergeCell ref="A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6796875" defaultRowHeight="13.5" customHeight="false" zeroHeight="false" outlineLevelRow="0" outlineLevelCol="0"/>
  <cols>
    <col collapsed="false" customWidth="true" hidden="false" outlineLevel="0" max="1" min="1" style="1" width="40"/>
    <col collapsed="false" customWidth="true" hidden="false" outlineLevel="0" max="2" min="2" style="1" width="23"/>
    <col collapsed="false" customWidth="true" hidden="false" outlineLevel="0" max="3" min="3" style="1" width="21"/>
    <col collapsed="false" customWidth="true" hidden="false" outlineLevel="0" max="4" min="4" style="1" width="18.5"/>
    <col collapsed="false" customWidth="true" hidden="false" outlineLevel="0" max="5" min="5" style="1" width="15"/>
    <col collapsed="false" customWidth="true" hidden="false" outlineLevel="0" max="6" min="6" style="1" width="29.83"/>
    <col collapsed="false" customWidth="true" hidden="false" outlineLevel="0" max="7" min="7" style="1" width="46"/>
    <col collapsed="false" customWidth="true" hidden="false" outlineLevel="0" max="8" min="8" style="1" width="17.83"/>
    <col collapsed="false" customWidth="true" hidden="false" outlineLevel="0" max="9" min="9" style="1" width="20"/>
    <col collapsed="false" customWidth="true" hidden="false" outlineLevel="0" max="10" min="10" style="1" width="33.51"/>
    <col collapsed="false" customWidth="false" hidden="false" outlineLevel="0" max="16384" min="11" style="1" width="8.67"/>
  </cols>
  <sheetData>
    <row r="1" customFormat="false" ht="18" hidden="false" customHeight="true" outlineLevel="0" collapsed="false">
      <c r="A1" s="20" t="s">
        <v>828</v>
      </c>
      <c r="B1" s="20"/>
      <c r="C1" s="20"/>
      <c r="D1" s="20"/>
      <c r="E1" s="20"/>
      <c r="F1" s="20"/>
      <c r="G1" s="20"/>
    </row>
    <row r="2" customFormat="false" ht="28.5" hidden="false" customHeight="true" outlineLevel="0" collapsed="false">
      <c r="A2" s="164" t="s">
        <v>829</v>
      </c>
      <c r="B2" s="164"/>
      <c r="C2" s="164"/>
      <c r="D2" s="164"/>
      <c r="E2" s="164"/>
      <c r="F2" s="164"/>
      <c r="G2" s="164"/>
    </row>
    <row r="3" customFormat="false" ht="45.75" hidden="false" customHeight="true" outlineLevel="0" collapsed="false">
      <c r="A3" s="164" t="s">
        <v>830</v>
      </c>
      <c r="B3" s="164"/>
      <c r="C3" s="164"/>
      <c r="D3" s="164"/>
      <c r="E3" s="164"/>
      <c r="F3" s="164"/>
      <c r="G3" s="164"/>
    </row>
    <row r="4" customFormat="false" ht="19.5" hidden="false" customHeight="true" outlineLevel="0" collapsed="false">
      <c r="A4" s="41" t="s">
        <v>831</v>
      </c>
      <c r="B4" s="41"/>
      <c r="C4" s="41"/>
      <c r="D4" s="41"/>
      <c r="E4" s="41"/>
      <c r="F4" s="41"/>
      <c r="G4" s="41"/>
    </row>
    <row r="5" customFormat="false" ht="28.5" hidden="false" customHeight="true" outlineLevel="0" collapsed="false">
      <c r="A5" s="164" t="s">
        <v>832</v>
      </c>
      <c r="B5" s="164"/>
      <c r="C5" s="164"/>
      <c r="D5" s="164"/>
      <c r="E5" s="164"/>
      <c r="F5" s="164"/>
      <c r="G5" s="164"/>
    </row>
    <row r="6" customFormat="false" ht="24" hidden="false" customHeight="true" outlineLevel="0" collapsed="false">
      <c r="A6" s="200" t="s">
        <v>833</v>
      </c>
      <c r="B6" s="299" t="s">
        <v>834</v>
      </c>
      <c r="C6" s="299" t="s">
        <v>835</v>
      </c>
      <c r="D6" s="299" t="s">
        <v>836</v>
      </c>
      <c r="E6" s="299" t="s">
        <v>837</v>
      </c>
      <c r="F6" s="25"/>
      <c r="G6" s="200" t="s">
        <v>259</v>
      </c>
    </row>
    <row r="7" customFormat="false" ht="30" hidden="false" customHeight="true" outlineLevel="0" collapsed="false">
      <c r="A7" s="217" t="s">
        <v>838</v>
      </c>
      <c r="B7" s="181" t="s">
        <v>839</v>
      </c>
      <c r="C7" s="300" t="n">
        <v>7.5</v>
      </c>
      <c r="D7" s="301" t="n">
        <v>-1.042</v>
      </c>
      <c r="E7" s="301" t="n">
        <v>-0.14</v>
      </c>
      <c r="F7" s="167"/>
      <c r="G7" s="196" t="s">
        <v>840</v>
      </c>
      <c r="H7" s="196"/>
    </row>
    <row r="8" customFormat="false" ht="25.5" hidden="false" customHeight="true" outlineLevel="0" collapsed="false">
      <c r="A8" s="217" t="s">
        <v>838</v>
      </c>
      <c r="B8" s="181" t="s">
        <v>841</v>
      </c>
      <c r="C8" s="300" t="n">
        <v>49.5</v>
      </c>
      <c r="D8" s="301" t="n">
        <v>-1.145</v>
      </c>
      <c r="E8" s="301" t="n">
        <v>-0.0231</v>
      </c>
      <c r="F8" s="167"/>
      <c r="G8" s="196" t="s">
        <v>842</v>
      </c>
    </row>
    <row r="9" customFormat="false" ht="30" hidden="false" customHeight="true" outlineLevel="0" collapsed="false">
      <c r="A9" s="217" t="s">
        <v>838</v>
      </c>
      <c r="B9" s="181" t="s">
        <v>843</v>
      </c>
      <c r="C9" s="300" t="n">
        <v>150</v>
      </c>
      <c r="D9" s="301" t="n">
        <v>-1.134</v>
      </c>
      <c r="E9" s="301" t="n">
        <v>-0.00756</v>
      </c>
      <c r="F9" s="167"/>
      <c r="G9" s="196" t="s">
        <v>844</v>
      </c>
      <c r="H9" s="196"/>
    </row>
    <row r="10" customFormat="false" ht="25.5" hidden="false" customHeight="true" outlineLevel="0" collapsed="false">
      <c r="A10" s="217" t="s">
        <v>845</v>
      </c>
      <c r="B10" s="181" t="s">
        <v>839</v>
      </c>
      <c r="C10" s="300" t="n">
        <v>12.5</v>
      </c>
      <c r="D10" s="301" t="n">
        <v>-2.948</v>
      </c>
      <c r="E10" s="301" t="n">
        <v>-0.231</v>
      </c>
      <c r="F10" s="167"/>
      <c r="G10" s="196" t="s">
        <v>846</v>
      </c>
      <c r="H10" s="196"/>
    </row>
    <row r="11" customFormat="false" ht="25.5" hidden="false" customHeight="true" outlineLevel="0" collapsed="false">
      <c r="A11" s="217" t="s">
        <v>845</v>
      </c>
      <c r="B11" s="181" t="s">
        <v>841</v>
      </c>
      <c r="C11" s="300" t="n">
        <v>82.5</v>
      </c>
      <c r="D11" s="301" t="n">
        <v>-3.065</v>
      </c>
      <c r="E11" s="301" t="n">
        <v>-0.0372</v>
      </c>
      <c r="F11" s="167"/>
      <c r="G11" s="196"/>
    </row>
    <row r="12" customFormat="false" ht="25.5" hidden="false" customHeight="true" outlineLevel="0" collapsed="false">
      <c r="A12" s="217" t="s">
        <v>845</v>
      </c>
      <c r="B12" s="181" t="s">
        <v>843</v>
      </c>
      <c r="C12" s="300" t="n">
        <v>250</v>
      </c>
      <c r="D12" s="301" t="n">
        <v>-1.886</v>
      </c>
      <c r="E12" s="301" t="n">
        <v>-0.00754</v>
      </c>
      <c r="F12" s="167"/>
      <c r="G12" s="196"/>
    </row>
    <row r="13" customFormat="false" ht="15" hidden="false" customHeight="true" outlineLevel="0" collapsed="false">
      <c r="A13" s="217" t="s">
        <v>845</v>
      </c>
      <c r="B13" s="217" t="s">
        <v>847</v>
      </c>
      <c r="C13" s="302" t="n">
        <f aca="false">C10</f>
        <v>12.5</v>
      </c>
      <c r="D13" s="217" t="n">
        <f aca="false">E10*C13*(3.34/2.62)</f>
        <v>-3.68101145038168</v>
      </c>
      <c r="E13" s="217" t="n">
        <f aca="false">D13/C13</f>
        <v>-0.294480916030534</v>
      </c>
      <c r="G13" s="196" t="s">
        <v>848</v>
      </c>
      <c r="H13" s="196"/>
    </row>
    <row r="14" customFormat="false" ht="19.5" hidden="false" customHeight="true" outlineLevel="0" collapsed="false">
      <c r="A14" s="41" t="s">
        <v>849</v>
      </c>
      <c r="B14" s="41"/>
      <c r="C14" s="41"/>
      <c r="D14" s="41"/>
      <c r="E14" s="41"/>
      <c r="F14" s="41"/>
      <c r="G14" s="41"/>
    </row>
    <row r="15" customFormat="false" ht="30" hidden="false" customHeight="true" outlineLevel="0" collapsed="false">
      <c r="A15" s="164" t="s">
        <v>850</v>
      </c>
      <c r="B15" s="164"/>
      <c r="C15" s="164"/>
      <c r="D15" s="164"/>
      <c r="E15" s="164"/>
      <c r="F15" s="164"/>
      <c r="G15" s="164"/>
    </row>
    <row r="16" customFormat="false" ht="30" hidden="false" customHeight="true" outlineLevel="0" collapsed="false">
      <c r="A16" s="303" t="s">
        <v>851</v>
      </c>
      <c r="B16" s="304" t="n">
        <v>94.2</v>
      </c>
      <c r="C16" s="127" t="s">
        <v>42</v>
      </c>
      <c r="D16" s="301" t="n">
        <v>0.157</v>
      </c>
      <c r="E16" s="305" t="s">
        <v>852</v>
      </c>
      <c r="F16" s="305"/>
      <c r="G16" s="196" t="s">
        <v>853</v>
      </c>
      <c r="H16" s="196"/>
    </row>
    <row r="17" customFormat="false" ht="30" hidden="false" customHeight="true" outlineLevel="0" collapsed="false">
      <c r="A17" s="303" t="s">
        <v>854</v>
      </c>
      <c r="B17" s="304" t="n">
        <v>94.2</v>
      </c>
      <c r="C17" s="127" t="s">
        <v>42</v>
      </c>
      <c r="D17" s="301" t="n">
        <v>0.157</v>
      </c>
      <c r="E17" s="305" t="s">
        <v>852</v>
      </c>
      <c r="F17" s="305"/>
      <c r="G17" s="196" t="s">
        <v>853</v>
      </c>
      <c r="H17" s="196"/>
    </row>
    <row r="18" customFormat="false" ht="30" hidden="false" customHeight="true" outlineLevel="0" collapsed="false">
      <c r="A18" s="303" t="s">
        <v>855</v>
      </c>
      <c r="B18" s="304" t="n">
        <v>94.2</v>
      </c>
      <c r="C18" s="127" t="s">
        <v>42</v>
      </c>
      <c r="D18" s="301" t="n">
        <v>0.131</v>
      </c>
      <c r="E18" s="305" t="s">
        <v>852</v>
      </c>
      <c r="F18" s="305"/>
      <c r="G18" s="196" t="s">
        <v>853</v>
      </c>
      <c r="H18" s="196"/>
    </row>
    <row r="19" customFormat="false" ht="30" hidden="false" customHeight="true" outlineLevel="0" collapsed="false">
      <c r="A19" s="303" t="s">
        <v>856</v>
      </c>
      <c r="B19" s="304" t="n">
        <v>171.8</v>
      </c>
      <c r="C19" s="127" t="s">
        <v>42</v>
      </c>
      <c r="D19" s="301" t="n">
        <v>0.805</v>
      </c>
      <c r="E19" s="305" t="s">
        <v>852</v>
      </c>
      <c r="F19" s="305"/>
      <c r="G19" s="196" t="s">
        <v>857</v>
      </c>
      <c r="H19" s="196"/>
    </row>
    <row r="20" customFormat="false" ht="28.5" hidden="false" customHeight="true" outlineLevel="0" collapsed="false">
      <c r="A20" s="303" t="s">
        <v>858</v>
      </c>
      <c r="B20" s="306" t="n">
        <f aca="false">'1. Technology Description'!B10</f>
        <v>150</v>
      </c>
      <c r="C20" s="127" t="s">
        <v>42</v>
      </c>
      <c r="D20" s="307" t="n">
        <v>0.22</v>
      </c>
      <c r="E20" s="305" t="s">
        <v>859</v>
      </c>
      <c r="F20" s="305"/>
      <c r="G20" s="196" t="s">
        <v>860</v>
      </c>
      <c r="H20" s="196"/>
    </row>
    <row r="21" customFormat="false" ht="15" hidden="false" customHeight="true" outlineLevel="0" collapsed="false"/>
    <row r="22" customFormat="false" ht="19.5" hidden="false" customHeight="true" outlineLevel="0" collapsed="false">
      <c r="A22" s="41" t="s">
        <v>861</v>
      </c>
      <c r="B22" s="41"/>
      <c r="C22" s="41"/>
      <c r="D22" s="41"/>
      <c r="E22" s="41"/>
      <c r="F22" s="41"/>
      <c r="G22" s="41"/>
    </row>
    <row r="23" customFormat="false" ht="31.5" hidden="false" customHeight="true" outlineLevel="0" collapsed="false">
      <c r="A23" s="164" t="s">
        <v>862</v>
      </c>
      <c r="B23" s="164"/>
      <c r="C23" s="164"/>
      <c r="D23" s="164"/>
      <c r="E23" s="164"/>
      <c r="F23" s="164"/>
      <c r="G23" s="164"/>
    </row>
    <row r="24" customFormat="false" ht="41.25" hidden="false" customHeight="true" outlineLevel="0" collapsed="false">
      <c r="A24" s="308" t="s">
        <v>863</v>
      </c>
      <c r="B24" s="309" t="n">
        <f aca="false">('5a. Cooling Model - Local'!B19*'5a. Cooling Model - Local'!B11*10^6/(5.1*10^14)*('5a. Cooling Model - Local'!B24/365)*10^6)*'5a. Cooling Model - Local'!B22</f>
        <v>0.0748338027176121</v>
      </c>
      <c r="C24" s="310" t="s">
        <v>864</v>
      </c>
      <c r="D24" s="167"/>
      <c r="E24" s="167"/>
      <c r="F24" s="167"/>
      <c r="G24" s="196" t="s">
        <v>865</v>
      </c>
      <c r="H24" s="196"/>
    </row>
    <row r="25" customFormat="false" ht="16.5" hidden="false" customHeight="true" outlineLevel="0" collapsed="false">
      <c r="A25" s="217" t="s">
        <v>866</v>
      </c>
      <c r="B25" s="310" t="n">
        <v>0.24</v>
      </c>
      <c r="C25" s="310" t="n">
        <f aca="false">B25*($B$16/$B$20)^3*$D$20/D16</f>
        <v>0.0832939008</v>
      </c>
      <c r="D25" s="167" t="s">
        <v>867</v>
      </c>
      <c r="E25" s="167"/>
      <c r="F25" s="167"/>
      <c r="G25" s="305"/>
    </row>
    <row r="26" customFormat="false" ht="15" hidden="false" customHeight="true" outlineLevel="0" collapsed="false">
      <c r="A26" s="217" t="s">
        <v>868</v>
      </c>
      <c r="B26" s="310" t="n">
        <v>0.0364</v>
      </c>
      <c r="C26" s="310" t="n">
        <f aca="false">B26*($B$18/$B$20)^3*$D$20/D18</f>
        <v>0.0151402030627176</v>
      </c>
      <c r="D26" s="167"/>
      <c r="E26" s="167"/>
      <c r="F26" s="167"/>
      <c r="G26" s="305"/>
    </row>
    <row r="27" customFormat="false" ht="15" hidden="false" customHeight="true" outlineLevel="0" collapsed="false">
      <c r="A27" s="217" t="s">
        <v>869</v>
      </c>
      <c r="B27" s="310" t="n">
        <v>0.019</v>
      </c>
      <c r="C27" s="310" t="n">
        <f aca="false">B27*($B$19/$B$20)^3*$D$20/D19</f>
        <v>0.00780146389133103</v>
      </c>
      <c r="D27" s="167" t="s">
        <v>870</v>
      </c>
      <c r="E27" s="167"/>
      <c r="F27" s="167"/>
      <c r="G27" s="305"/>
    </row>
    <row r="28" customFormat="false" ht="15" hidden="false" customHeight="true" outlineLevel="0" collapsed="false"/>
    <row r="29" customFormat="false" ht="19.5" hidden="false" customHeight="true" outlineLevel="0" collapsed="false">
      <c r="A29" s="7" t="s">
        <v>871</v>
      </c>
      <c r="B29" s="7"/>
      <c r="C29" s="7"/>
      <c r="D29" s="7"/>
      <c r="E29" s="7"/>
      <c r="F29" s="7"/>
      <c r="G29" s="7"/>
      <c r="H29" s="58" t="s">
        <v>34</v>
      </c>
      <c r="I29" s="58"/>
    </row>
    <row r="30" customFormat="false" ht="21" hidden="false" customHeight="true" outlineLevel="0" collapsed="false">
      <c r="A30" s="303" t="s">
        <v>872</v>
      </c>
      <c r="B30" s="60" t="n">
        <v>1</v>
      </c>
      <c r="C30" s="127" t="s">
        <v>103</v>
      </c>
      <c r="D30" s="3" t="s">
        <v>873</v>
      </c>
      <c r="F30" s="305"/>
      <c r="G30" s="305"/>
      <c r="H30" s="311" t="s">
        <v>874</v>
      </c>
      <c r="I30" s="311"/>
    </row>
    <row r="31" customFormat="false" ht="18" hidden="false" customHeight="true" outlineLevel="0" collapsed="false">
      <c r="A31" s="303" t="s">
        <v>875</v>
      </c>
      <c r="B31" s="300" t="n">
        <v>1</v>
      </c>
      <c r="C31" s="127" t="s">
        <v>876</v>
      </c>
      <c r="D31" s="123"/>
      <c r="F31" s="305"/>
      <c r="G31" s="196"/>
      <c r="H31" s="311" t="s">
        <v>877</v>
      </c>
      <c r="I31" s="311"/>
    </row>
    <row r="32" customFormat="false" ht="18" hidden="false" customHeight="true" outlineLevel="0" collapsed="false">
      <c r="A32" s="3" t="s">
        <v>878</v>
      </c>
      <c r="B32" s="300" t="n">
        <v>0.3</v>
      </c>
      <c r="C32" s="3" t="s">
        <v>103</v>
      </c>
      <c r="D32" s="152" t="s">
        <v>879</v>
      </c>
      <c r="G32" s="38"/>
      <c r="H32" s="312"/>
      <c r="I32" s="312"/>
      <c r="J32" s="313" t="s">
        <v>880</v>
      </c>
    </row>
    <row r="33" customFormat="false" ht="24" hidden="false" customHeight="true" outlineLevel="0" collapsed="false">
      <c r="A33" s="200" t="s">
        <v>834</v>
      </c>
      <c r="B33" s="200" t="s">
        <v>837</v>
      </c>
      <c r="C33" s="200" t="s">
        <v>881</v>
      </c>
      <c r="D33" s="200" t="s">
        <v>882</v>
      </c>
      <c r="E33" s="200" t="s">
        <v>883</v>
      </c>
      <c r="F33" s="200" t="s">
        <v>884</v>
      </c>
      <c r="G33" s="200" t="s">
        <v>885</v>
      </c>
      <c r="H33" s="200" t="s">
        <v>886</v>
      </c>
      <c r="I33" s="200" t="s">
        <v>887</v>
      </c>
      <c r="J33" s="313" t="s">
        <v>888</v>
      </c>
      <c r="K33" s="313" t="s">
        <v>889</v>
      </c>
      <c r="L33" s="313" t="s">
        <v>890</v>
      </c>
      <c r="M33" s="313" t="s">
        <v>571</v>
      </c>
    </row>
    <row r="34" customFormat="false" ht="15" hidden="false" customHeight="true" outlineLevel="0" collapsed="false">
      <c r="A34" s="217" t="s">
        <v>839</v>
      </c>
      <c r="B34" s="301" t="n">
        <f aca="false">-E10</f>
        <v>0.231</v>
      </c>
      <c r="C34" s="314" t="n">
        <f aca="false">$B$31/B34/$B$30</f>
        <v>4.32900432900433</v>
      </c>
      <c r="D34" s="315" t="n">
        <f aca="false">C34*10^6</f>
        <v>4329004.32900433</v>
      </c>
      <c r="E34" s="316" t="n">
        <f aca="false">$B$16</f>
        <v>94.2</v>
      </c>
      <c r="F34" s="181" t="n">
        <f aca="false">($B$20/E34)^3*D16/$D$20</f>
        <v>2.88136343351565</v>
      </c>
      <c r="G34" s="305" t="n">
        <f aca="false">C34*F34</f>
        <v>12.473434777124</v>
      </c>
      <c r="H34" s="1" t="n">
        <f aca="false">G34/$B$32</f>
        <v>41.5781159237468</v>
      </c>
      <c r="I34" s="317" t="n">
        <f aca="false">H34*10^6</f>
        <v>41578115.9237468</v>
      </c>
      <c r="J34" s="318" t="n">
        <v>2</v>
      </c>
      <c r="K34" s="319" t="n">
        <f aca="false">$B$50/J34</f>
        <v>0.9</v>
      </c>
      <c r="L34" s="320" t="n">
        <f aca="false">I34/K34</f>
        <v>46197906.5819408</v>
      </c>
      <c r="M34" s="87" t="s">
        <v>891</v>
      </c>
    </row>
    <row r="35" customFormat="false" ht="15" hidden="false" customHeight="true" outlineLevel="0" collapsed="false">
      <c r="A35" s="217" t="s">
        <v>847</v>
      </c>
      <c r="B35" s="301" t="n">
        <f aca="false">-E13</f>
        <v>0.294480916030534</v>
      </c>
      <c r="C35" s="314" t="n">
        <f aca="false">$B$31/B35/$B$30</f>
        <v>3.39580579101537</v>
      </c>
      <c r="D35" s="315" t="n">
        <f aca="false">C35*10^6</f>
        <v>3395805.79101537</v>
      </c>
      <c r="E35" s="316" t="n">
        <f aca="false">$B$17</f>
        <v>94.2</v>
      </c>
      <c r="F35" s="181" t="n">
        <f aca="false">($B$20/E35)^3*D17/$D$20</f>
        <v>2.88136343351565</v>
      </c>
      <c r="G35" s="305" t="n">
        <f aca="false">C35*F35</f>
        <v>9.78455063355238</v>
      </c>
      <c r="H35" s="1" t="n">
        <f aca="false">G35/$B$32</f>
        <v>32.6151687785079</v>
      </c>
      <c r="I35" s="317" t="n">
        <f aca="false">H35*10^6</f>
        <v>32615168.7785079</v>
      </c>
      <c r="J35" s="318" t="n">
        <f aca="false">J34</f>
        <v>2</v>
      </c>
      <c r="K35" s="319" t="n">
        <f aca="false">$B$50/J35</f>
        <v>0.9</v>
      </c>
      <c r="L35" s="320" t="n">
        <f aca="false">I35/K35</f>
        <v>36239076.4205644</v>
      </c>
      <c r="M35" s="87" t="s">
        <v>892</v>
      </c>
    </row>
    <row r="36" customFormat="false" ht="15" hidden="false" customHeight="true" outlineLevel="0" collapsed="false">
      <c r="A36" s="217" t="s">
        <v>841</v>
      </c>
      <c r="B36" s="301" t="n">
        <f aca="false">-E11</f>
        <v>0.0372</v>
      </c>
      <c r="C36" s="314" t="n">
        <f aca="false">$B$31/B36/$B$30</f>
        <v>26.8817204301075</v>
      </c>
      <c r="D36" s="315" t="n">
        <f aca="false">C36*10^6</f>
        <v>26881720.4301075</v>
      </c>
      <c r="E36" s="316" t="n">
        <f aca="false">$B$18</f>
        <v>94.2</v>
      </c>
      <c r="F36" s="181" t="n">
        <f aca="false">($B$20/E36)^3*D18/$D$20</f>
        <v>2.40419496681879</v>
      </c>
      <c r="G36" s="305" t="n">
        <f aca="false">C36*F36</f>
        <v>64.6288969574944</v>
      </c>
      <c r="H36" s="1" t="n">
        <f aca="false">G36/$B$32</f>
        <v>215.429656524981</v>
      </c>
      <c r="I36" s="317" t="n">
        <f aca="false">H36*10^6</f>
        <v>215429656.524981</v>
      </c>
      <c r="J36" s="318" t="n">
        <v>2.4</v>
      </c>
      <c r="K36" s="319" t="n">
        <f aca="false">$B$50/J36</f>
        <v>0.75</v>
      </c>
      <c r="L36" s="320" t="n">
        <f aca="false">I36/K36</f>
        <v>287239542.033308</v>
      </c>
      <c r="M36" s="87" t="s">
        <v>893</v>
      </c>
    </row>
    <row r="37" customFormat="false" ht="15" hidden="false" customHeight="true" outlineLevel="0" collapsed="false">
      <c r="A37" s="217" t="s">
        <v>843</v>
      </c>
      <c r="B37" s="301" t="n">
        <f aca="false">-E12</f>
        <v>0.00754</v>
      </c>
      <c r="C37" s="314" t="n">
        <f aca="false">$B$31/B37/$B$30</f>
        <v>132.62599469496</v>
      </c>
      <c r="D37" s="315" t="n">
        <f aca="false">C37*10^6</f>
        <v>132625994.69496</v>
      </c>
      <c r="E37" s="316" t="n">
        <f aca="false">$B$19</f>
        <v>171.8</v>
      </c>
      <c r="F37" s="181" t="n">
        <f aca="false">($B$20/E37)^3*D19/$D$20</f>
        <v>2.43544035640705</v>
      </c>
      <c r="G37" s="305" t="n">
        <f aca="false">C37*F37</f>
        <v>323.002699788734</v>
      </c>
      <c r="H37" s="1" t="n">
        <f aca="false">G37/$B$32</f>
        <v>1076.67566596245</v>
      </c>
      <c r="I37" s="317" t="n">
        <f aca="false">H37*10^6</f>
        <v>1076675665.96245</v>
      </c>
      <c r="J37" s="318" t="n">
        <v>2.8</v>
      </c>
      <c r="K37" s="319" t="n">
        <f aca="false">$B$50/J37</f>
        <v>0.642857142857143</v>
      </c>
      <c r="L37" s="320" t="n">
        <f aca="false">I37/K37</f>
        <v>1674828813.71936</v>
      </c>
      <c r="M37" s="87" t="s">
        <v>894</v>
      </c>
    </row>
    <row r="38" customFormat="false" ht="15" hidden="false" customHeight="true" outlineLevel="0" collapsed="false">
      <c r="A38" s="167"/>
      <c r="B38" s="167"/>
      <c r="C38" s="167"/>
      <c r="D38" s="167"/>
      <c r="E38" s="167"/>
      <c r="F38" s="167"/>
    </row>
    <row r="39" customFormat="false" ht="15" hidden="false" customHeight="true" outlineLevel="0" collapsed="false">
      <c r="A39" s="3" t="s">
        <v>895</v>
      </c>
      <c r="B39" s="321"/>
      <c r="C39" s="3"/>
      <c r="D39" s="3"/>
      <c r="E39" s="3"/>
      <c r="F39" s="3"/>
      <c r="G39" s="3"/>
      <c r="H39" s="3"/>
      <c r="I39" s="3"/>
    </row>
    <row r="40" customFormat="false" ht="15" hidden="false" customHeight="true" outlineLevel="0" collapsed="false">
      <c r="A40" s="3"/>
      <c r="B40" s="3"/>
      <c r="C40" s="3"/>
      <c r="D40" s="3"/>
      <c r="E40" s="3"/>
      <c r="F40" s="3"/>
      <c r="G40" s="3"/>
      <c r="H40" s="3"/>
      <c r="I40" s="3"/>
    </row>
    <row r="41" customFormat="false" ht="15" hidden="false" customHeight="true" outlineLevel="0" collapsed="false">
      <c r="A41" s="7" t="s">
        <v>896</v>
      </c>
      <c r="B41" s="322"/>
      <c r="C41" s="323"/>
      <c r="D41" s="323"/>
      <c r="E41" s="3"/>
      <c r="F41" s="3"/>
      <c r="G41" s="3"/>
      <c r="H41" s="3"/>
      <c r="I41" s="3"/>
    </row>
    <row r="42" customFormat="false" ht="15" hidden="false" customHeight="true" outlineLevel="0" collapsed="false">
      <c r="A42" s="303" t="s">
        <v>897</v>
      </c>
      <c r="B42" s="304" t="n">
        <v>110</v>
      </c>
      <c r="C42" s="127" t="s">
        <v>898</v>
      </c>
      <c r="D42" s="323"/>
      <c r="E42" s="3"/>
      <c r="F42" s="3"/>
      <c r="G42" s="196" t="s">
        <v>899</v>
      </c>
      <c r="H42" s="3"/>
      <c r="I42" s="3"/>
    </row>
    <row r="43" customFormat="false" ht="15" hidden="false" customHeight="true" outlineLevel="0" collapsed="false">
      <c r="A43" s="303" t="s">
        <v>900</v>
      </c>
      <c r="B43" s="324" t="n">
        <v>0.6</v>
      </c>
      <c r="C43" s="127" t="s">
        <v>901</v>
      </c>
      <c r="D43" s="323"/>
      <c r="E43" s="3"/>
      <c r="F43" s="3"/>
      <c r="G43" s="196" t="s">
        <v>902</v>
      </c>
      <c r="H43" s="3"/>
      <c r="I43" s="3"/>
    </row>
    <row r="44" customFormat="false" ht="15" hidden="false" customHeight="true" outlineLevel="0" collapsed="false">
      <c r="A44" s="303" t="s">
        <v>903</v>
      </c>
      <c r="B44" s="324" t="n">
        <v>3.3</v>
      </c>
      <c r="C44" s="127" t="s">
        <v>901</v>
      </c>
      <c r="D44" s="3"/>
      <c r="E44" s="3"/>
      <c r="F44" s="3"/>
      <c r="G44" s="196" t="s">
        <v>904</v>
      </c>
      <c r="H44" s="3"/>
      <c r="I44" s="3"/>
    </row>
    <row r="45" customFormat="false" ht="15" hidden="false" customHeight="true" outlineLevel="0" collapsed="false">
      <c r="A45" s="303" t="s">
        <v>905</v>
      </c>
      <c r="B45" s="324" t="n">
        <v>14</v>
      </c>
      <c r="C45" s="127" t="s">
        <v>901</v>
      </c>
      <c r="D45" s="3"/>
      <c r="E45" s="3"/>
      <c r="F45" s="3"/>
      <c r="G45" s="196" t="s">
        <v>906</v>
      </c>
      <c r="H45" s="3"/>
      <c r="I45" s="3"/>
    </row>
    <row r="46" customFormat="false" ht="15" hidden="false" customHeight="true" outlineLevel="0" collapsed="false">
      <c r="A46" s="325" t="s">
        <v>907</v>
      </c>
      <c r="B46" s="326" t="n">
        <v>1</v>
      </c>
      <c r="C46" s="327" t="s">
        <v>103</v>
      </c>
      <c r="D46" s="3"/>
      <c r="E46" s="3"/>
      <c r="F46" s="3"/>
      <c r="G46" s="87" t="s">
        <v>908</v>
      </c>
      <c r="H46" s="3"/>
      <c r="I46" s="3"/>
    </row>
    <row r="47" customFormat="false" ht="15" hidden="false" customHeight="true" outlineLevel="0" collapsed="false">
      <c r="A47" s="325" t="s">
        <v>909</v>
      </c>
      <c r="B47" s="328" t="n">
        <v>18</v>
      </c>
      <c r="C47" s="327" t="s">
        <v>910</v>
      </c>
      <c r="D47" s="3"/>
      <c r="E47" s="3"/>
      <c r="F47" s="3"/>
      <c r="G47" s="87" t="s">
        <v>911</v>
      </c>
      <c r="H47" s="3"/>
      <c r="I47" s="3"/>
    </row>
    <row r="48" customFormat="false" ht="15" hidden="false" customHeight="true" outlineLevel="0" collapsed="false">
      <c r="A48" s="325" t="s">
        <v>912</v>
      </c>
      <c r="B48" s="329" t="n">
        <v>109000</v>
      </c>
      <c r="C48" s="327" t="s">
        <v>185</v>
      </c>
      <c r="D48" s="3"/>
      <c r="E48" s="3"/>
      <c r="F48" s="3"/>
      <c r="G48" s="87" t="s">
        <v>913</v>
      </c>
      <c r="H48" s="3"/>
      <c r="I48" s="3"/>
    </row>
    <row r="49" customFormat="false" ht="15" hidden="false" customHeight="true" outlineLevel="0" collapsed="false">
      <c r="A49" s="325" t="s">
        <v>914</v>
      </c>
      <c r="B49" s="329" t="n">
        <v>1056</v>
      </c>
      <c r="C49" s="327" t="s">
        <v>915</v>
      </c>
      <c r="D49" s="330"/>
      <c r="E49" s="3"/>
      <c r="F49" s="3"/>
      <c r="G49" s="87" t="s">
        <v>916</v>
      </c>
      <c r="H49" s="3"/>
      <c r="I49" s="3"/>
    </row>
    <row r="50" customFormat="false" ht="15" hidden="false" customHeight="true" outlineLevel="0" collapsed="false">
      <c r="A50" s="325" t="s">
        <v>917</v>
      </c>
      <c r="B50" s="318" t="n">
        <v>1.8</v>
      </c>
      <c r="C50" s="327" t="s">
        <v>876</v>
      </c>
      <c r="D50" s="330"/>
      <c r="E50" s="3"/>
      <c r="F50" s="3"/>
      <c r="G50" s="87" t="s">
        <v>918</v>
      </c>
      <c r="H50" s="3"/>
      <c r="I50" s="3"/>
    </row>
    <row r="51" customFormat="false" ht="15" hidden="false" customHeight="true" outlineLevel="0" collapsed="false">
      <c r="A51" s="3"/>
      <c r="B51" s="331"/>
      <c r="C51" s="331"/>
      <c r="D51" s="330"/>
      <c r="E51" s="3"/>
      <c r="F51" s="3"/>
      <c r="G51" s="3"/>
      <c r="H51" s="3"/>
      <c r="I51" s="3"/>
    </row>
    <row r="52" customFormat="false" ht="15" hidden="false" customHeight="true" outlineLevel="0" collapsed="false">
      <c r="A52" s="3"/>
      <c r="B52" s="3"/>
      <c r="C52" s="3"/>
      <c r="D52" s="3"/>
      <c r="E52" s="3"/>
      <c r="F52" s="3"/>
      <c r="G52" s="3"/>
      <c r="H52" s="3"/>
      <c r="I52" s="3"/>
    </row>
    <row r="53" customFormat="false" ht="15" hidden="false" customHeight="true" outlineLevel="0" collapsed="false"/>
    <row r="54" customFormat="false" ht="15" hidden="false" customHeight="true" outlineLevel="0" collapsed="false">
      <c r="A54" s="3"/>
      <c r="B54" s="3"/>
      <c r="C54" s="3"/>
      <c r="D54" s="3"/>
      <c r="E54" s="3"/>
      <c r="F54" s="3"/>
      <c r="G54" s="3"/>
      <c r="H54" s="3"/>
      <c r="I54" s="3"/>
      <c r="J54" s="3"/>
      <c r="K54" s="3"/>
      <c r="L54" s="3"/>
      <c r="M54" s="3"/>
    </row>
    <row r="55" customFormat="false" ht="15" hidden="false" customHeight="true" outlineLevel="0" collapsed="false">
      <c r="A55" s="3"/>
      <c r="B55" s="3"/>
      <c r="C55" s="3"/>
      <c r="D55" s="3"/>
      <c r="E55" s="3"/>
      <c r="F55" s="3"/>
      <c r="G55" s="3"/>
      <c r="H55" s="3"/>
      <c r="I55" s="3"/>
      <c r="J55" s="3"/>
      <c r="K55" s="3"/>
      <c r="L55" s="3"/>
      <c r="M55" s="3"/>
    </row>
    <row r="56" customFormat="false" ht="15" hidden="false" customHeight="true" outlineLevel="0" collapsed="false">
      <c r="A56" s="3"/>
      <c r="B56" s="332"/>
      <c r="C56" s="332"/>
      <c r="D56" s="3"/>
      <c r="E56" s="3"/>
      <c r="F56" s="3"/>
      <c r="G56" s="3"/>
      <c r="H56" s="3"/>
      <c r="I56" s="3"/>
      <c r="J56" s="3"/>
      <c r="K56" s="3"/>
      <c r="L56" s="3"/>
      <c r="M56" s="3"/>
    </row>
    <row r="57" customFormat="false" ht="15" hidden="false" customHeight="true" outlineLevel="0" collapsed="false">
      <c r="A57" s="3"/>
      <c r="B57" s="332"/>
      <c r="C57" s="332"/>
      <c r="D57" s="3"/>
      <c r="E57" s="3"/>
      <c r="F57" s="3"/>
      <c r="G57" s="3"/>
      <c r="H57" s="3"/>
      <c r="I57" s="3"/>
      <c r="J57" s="3"/>
      <c r="K57" s="3"/>
      <c r="L57" s="3"/>
      <c r="M57" s="3"/>
    </row>
    <row r="58" customFormat="false" ht="15" hidden="false" customHeight="true" outlineLevel="0" collapsed="false">
      <c r="A58" s="3"/>
      <c r="B58" s="332"/>
      <c r="C58" s="332"/>
      <c r="D58" s="3"/>
      <c r="E58" s="3"/>
      <c r="F58" s="3"/>
      <c r="G58" s="3"/>
      <c r="H58" s="3"/>
      <c r="I58" s="3"/>
      <c r="J58" s="3"/>
      <c r="K58" s="3"/>
      <c r="L58" s="3"/>
      <c r="M58" s="3"/>
    </row>
    <row r="59" customFormat="false" ht="15" hidden="false" customHeight="true" outlineLevel="0" collapsed="false">
      <c r="A59" s="3"/>
      <c r="B59" s="332"/>
      <c r="C59" s="332"/>
      <c r="D59" s="3"/>
      <c r="E59" s="3"/>
      <c r="F59" s="3"/>
      <c r="G59" s="3"/>
      <c r="H59" s="3"/>
      <c r="I59" s="3"/>
      <c r="J59" s="3"/>
      <c r="K59" s="3"/>
      <c r="L59" s="3"/>
      <c r="M59" s="3"/>
    </row>
    <row r="60" customFormat="false" ht="15" hidden="false" customHeight="true" outlineLevel="0" collapsed="false">
      <c r="A60" s="3"/>
      <c r="B60" s="332"/>
      <c r="C60" s="332"/>
      <c r="D60" s="3"/>
      <c r="E60" s="3"/>
      <c r="F60" s="3"/>
      <c r="G60" s="3"/>
      <c r="H60" s="3"/>
      <c r="I60" s="3"/>
      <c r="J60" s="3"/>
      <c r="K60" s="3"/>
      <c r="L60" s="3"/>
      <c r="M60" s="3"/>
    </row>
    <row r="61" customFormat="false" ht="15" hidden="false" customHeight="true" outlineLevel="0" collapsed="false">
      <c r="A61" s="3"/>
      <c r="B61" s="332"/>
      <c r="C61" s="332"/>
      <c r="D61" s="3"/>
      <c r="E61" s="3"/>
      <c r="F61" s="3"/>
      <c r="G61" s="3"/>
      <c r="H61" s="3"/>
      <c r="I61" s="3"/>
      <c r="J61" s="3"/>
      <c r="K61" s="3"/>
      <c r="L61" s="3"/>
      <c r="M61" s="3"/>
    </row>
    <row r="62" customFormat="false" ht="15" hidden="false" customHeight="true" outlineLevel="0" collapsed="false">
      <c r="A62" s="3"/>
      <c r="B62" s="332"/>
      <c r="C62" s="332"/>
      <c r="D62" s="3"/>
      <c r="E62" s="3"/>
      <c r="F62" s="3"/>
      <c r="G62" s="3"/>
      <c r="H62" s="3"/>
      <c r="I62" s="3"/>
      <c r="J62" s="3"/>
      <c r="K62" s="3"/>
      <c r="L62" s="3"/>
      <c r="M62" s="3"/>
    </row>
    <row r="63" customFormat="false" ht="15" hidden="false" customHeight="true" outlineLevel="0" collapsed="false">
      <c r="A63" s="3"/>
      <c r="B63" s="332"/>
      <c r="C63" s="332"/>
      <c r="D63" s="3"/>
      <c r="E63" s="3"/>
      <c r="F63" s="3"/>
      <c r="G63" s="3"/>
      <c r="H63" s="3"/>
      <c r="I63" s="3"/>
      <c r="J63" s="3"/>
      <c r="K63" s="3"/>
      <c r="L63" s="3"/>
      <c r="M63" s="3"/>
    </row>
    <row r="64" customFormat="false" ht="15" hidden="false" customHeight="true" outlineLevel="0" collapsed="false">
      <c r="A64" s="3"/>
      <c r="B64" s="332"/>
      <c r="C64" s="332"/>
      <c r="D64" s="3"/>
      <c r="E64" s="3"/>
      <c r="F64" s="3"/>
      <c r="G64" s="3"/>
      <c r="H64" s="3"/>
      <c r="I64" s="3"/>
      <c r="J64" s="3"/>
      <c r="K64" s="3"/>
      <c r="L64" s="3"/>
      <c r="M64" s="3"/>
    </row>
    <row r="65" customFormat="false" ht="15" hidden="false" customHeight="true" outlineLevel="0" collapsed="false">
      <c r="A65" s="3"/>
      <c r="B65" s="332"/>
      <c r="C65" s="332"/>
      <c r="D65" s="3"/>
      <c r="E65" s="3"/>
      <c r="F65" s="3"/>
      <c r="G65" s="3"/>
      <c r="H65" s="3"/>
      <c r="I65" s="3"/>
      <c r="J65" s="3"/>
      <c r="K65" s="3"/>
      <c r="L65" s="3"/>
      <c r="M65" s="3"/>
    </row>
    <row r="67" customFormat="false" ht="15" hidden="false" customHeight="true" outlineLevel="0" collapsed="false">
      <c r="A67" s="29"/>
      <c r="B67" s="29"/>
      <c r="C67" s="29"/>
      <c r="D67" s="29"/>
      <c r="E67" s="29"/>
      <c r="F67" s="29"/>
      <c r="G67" s="29"/>
    </row>
    <row r="68" customFormat="false" ht="15" hidden="false" customHeight="true" outlineLevel="0" collapsed="false">
      <c r="A68" s="333"/>
    </row>
    <row r="69" customFormat="false" ht="15" hidden="false" customHeight="true" outlineLevel="0" collapsed="false">
      <c r="A69" s="334"/>
      <c r="B69" s="335"/>
      <c r="C69" s="336"/>
      <c r="D69" s="336"/>
      <c r="E69" s="337"/>
    </row>
    <row r="70" customFormat="false" ht="15" hidden="false" customHeight="true" outlineLevel="0" collapsed="false">
      <c r="A70" s="334"/>
      <c r="B70" s="335"/>
      <c r="C70" s="336"/>
      <c r="D70" s="336"/>
      <c r="E70" s="337"/>
    </row>
    <row r="71" customFormat="false" ht="15" hidden="false" customHeight="true" outlineLevel="0" collapsed="false">
      <c r="A71" s="334"/>
      <c r="B71" s="335"/>
      <c r="C71" s="336"/>
      <c r="D71" s="336"/>
      <c r="E71" s="337"/>
    </row>
    <row r="72" customFormat="false" ht="15" hidden="false" customHeight="true" outlineLevel="0" collapsed="false">
      <c r="A72" s="334"/>
      <c r="B72" s="335"/>
      <c r="C72" s="338"/>
      <c r="E72" s="339"/>
    </row>
    <row r="73" customFormat="false" ht="15" hidden="false" customHeight="true" outlineLevel="0" collapsed="false">
      <c r="A73" s="334"/>
      <c r="B73" s="335"/>
      <c r="C73" s="338"/>
      <c r="E73" s="339"/>
    </row>
    <row r="74" customFormat="false" ht="15" hidden="false" customHeight="true" outlineLevel="0" collapsed="false">
      <c r="A74" s="334"/>
      <c r="B74" s="335"/>
      <c r="C74" s="338"/>
      <c r="E74" s="339"/>
    </row>
    <row r="75" customFormat="false" ht="15" hidden="false" customHeight="true" outlineLevel="0" collapsed="false">
      <c r="A75" s="333"/>
      <c r="B75" s="340"/>
      <c r="C75" s="341"/>
      <c r="D75" s="341"/>
      <c r="E75" s="341"/>
      <c r="F75" s="341"/>
      <c r="G75" s="341"/>
    </row>
    <row r="76" customFormat="false" ht="15" hidden="false" customHeight="true" outlineLevel="0" collapsed="false">
      <c r="A76" s="334"/>
      <c r="B76" s="335"/>
      <c r="C76" s="335"/>
      <c r="D76" s="342"/>
      <c r="E76" s="342"/>
      <c r="F76" s="343"/>
      <c r="G76" s="342"/>
    </row>
    <row r="77" customFormat="false" ht="15" hidden="false" customHeight="true" outlineLevel="0" collapsed="false">
      <c r="A77" s="334"/>
      <c r="B77" s="335"/>
      <c r="C77" s="335"/>
      <c r="D77" s="342"/>
      <c r="E77" s="342"/>
      <c r="F77" s="342"/>
      <c r="G77" s="342"/>
    </row>
    <row r="78" customFormat="false" ht="15" hidden="false" customHeight="true" outlineLevel="0" collapsed="false">
      <c r="A78" s="334"/>
      <c r="B78" s="335"/>
      <c r="C78" s="335"/>
      <c r="D78" s="342"/>
      <c r="E78" s="342"/>
      <c r="F78" s="342"/>
      <c r="G78" s="342"/>
    </row>
    <row r="79" customFormat="false" ht="15" hidden="false" customHeight="true" outlineLevel="0" collapsed="false">
      <c r="A79" s="334"/>
      <c r="B79" s="335"/>
      <c r="C79" s="335"/>
      <c r="D79" s="342"/>
      <c r="E79" s="342"/>
      <c r="F79" s="342"/>
    </row>
    <row r="80" customFormat="false" ht="15" hidden="false" customHeight="true" outlineLevel="0" collapsed="false">
      <c r="A80" s="52"/>
    </row>
    <row r="81" customFormat="false" ht="15" hidden="false" customHeight="true" outlineLevel="0" collapsed="false">
      <c r="A81" s="52"/>
    </row>
    <row r="82" customFormat="false" ht="15" hidden="false" customHeight="true" outlineLevel="0" collapsed="false">
      <c r="A82" s="52"/>
    </row>
  </sheetData>
  <mergeCells count="23">
    <mergeCell ref="A1:G1"/>
    <mergeCell ref="A2:G2"/>
    <mergeCell ref="A3:G3"/>
    <mergeCell ref="A4:G4"/>
    <mergeCell ref="A5:G5"/>
    <mergeCell ref="G7:H7"/>
    <mergeCell ref="G9:H9"/>
    <mergeCell ref="G10:H10"/>
    <mergeCell ref="G13:H13"/>
    <mergeCell ref="A14:G14"/>
    <mergeCell ref="A15:G15"/>
    <mergeCell ref="G16:H16"/>
    <mergeCell ref="G17:H17"/>
    <mergeCell ref="G18:H18"/>
    <mergeCell ref="G19:H19"/>
    <mergeCell ref="G20:H20"/>
    <mergeCell ref="A22:G22"/>
    <mergeCell ref="A23:G23"/>
    <mergeCell ref="G24:H24"/>
    <mergeCell ref="H29:I29"/>
    <mergeCell ref="H30:I30"/>
    <mergeCell ref="H31:I31"/>
    <mergeCell ref="A67:G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19" zoomScaleNormal="119" zoomScalePageLayoutView="100" workbookViewId="0">
      <selection pane="topLeft" activeCell="B30" activeCellId="0" sqref="B30"/>
    </sheetView>
  </sheetViews>
  <sheetFormatPr defaultColWidth="8.83203125" defaultRowHeight="13.5" customHeight="false" zeroHeight="false" outlineLevelRow="0" outlineLevelCol="0"/>
  <cols>
    <col collapsed="false" customWidth="true" hidden="false" outlineLevel="0" max="1" min="1" style="1" width="38"/>
    <col collapsed="false" customWidth="true" hidden="false" outlineLevel="0" max="2" min="2" style="1" width="18.83"/>
    <col collapsed="false" customWidth="true" hidden="false" outlineLevel="0" max="3" min="3" style="1" width="19.83"/>
    <col collapsed="false" customWidth="true" hidden="false" outlineLevel="0" max="4" min="4" style="1" width="31"/>
    <col collapsed="false" customWidth="true" hidden="false" outlineLevel="0" max="5" min="5" style="1" width="20"/>
    <col collapsed="false" customWidth="true" hidden="false" outlineLevel="0" max="6" min="6" style="1" width="25.51"/>
    <col collapsed="false" customWidth="true" hidden="false" outlineLevel="0" max="7" min="7" style="1" width="46"/>
    <col collapsed="false" customWidth="true" hidden="false" outlineLevel="0" max="8" min="8" style="1" width="10"/>
    <col collapsed="false" customWidth="false" hidden="false" outlineLevel="0" max="16384" min="9" style="1" width="8.83"/>
  </cols>
  <sheetData>
    <row r="1" customFormat="false" ht="15.75" hidden="false" customHeight="true" outlineLevel="0" collapsed="false">
      <c r="A1" s="344" t="s">
        <v>919</v>
      </c>
      <c r="B1" s="344"/>
      <c r="C1" s="344"/>
      <c r="D1" s="344"/>
      <c r="E1" s="344"/>
      <c r="F1" s="344"/>
      <c r="G1" s="344"/>
    </row>
    <row r="2" customFormat="false" ht="30" hidden="false" customHeight="true" outlineLevel="0" collapsed="false">
      <c r="A2" s="164" t="s">
        <v>920</v>
      </c>
      <c r="B2" s="164"/>
      <c r="C2" s="164"/>
      <c r="D2" s="164"/>
      <c r="E2" s="164"/>
      <c r="F2" s="164"/>
      <c r="G2" s="164"/>
    </row>
    <row r="4" customFormat="false" ht="15" hidden="false" customHeight="true" outlineLevel="0" collapsed="false">
      <c r="A4" s="345" t="s">
        <v>921</v>
      </c>
      <c r="B4" s="345"/>
      <c r="C4" s="345"/>
      <c r="D4" s="345"/>
      <c r="E4" s="345"/>
      <c r="F4" s="345"/>
      <c r="G4" s="345"/>
    </row>
    <row r="5" customFormat="false" ht="15" hidden="false" customHeight="true" outlineLevel="0" collapsed="false">
      <c r="A5" s="156" t="s">
        <v>875</v>
      </c>
      <c r="B5" s="346" t="n">
        <f aca="false">'6a. Cooling Model - Global'!B31</f>
        <v>1</v>
      </c>
      <c r="C5" s="156" t="s">
        <v>876</v>
      </c>
    </row>
    <row r="6" customFormat="false" ht="15" hidden="false" customHeight="true" outlineLevel="0" collapsed="false">
      <c r="A6" s="156" t="s">
        <v>922</v>
      </c>
      <c r="B6" s="347" t="n">
        <f aca="false">'3a. Outputs - Dedicated Vessel'!G5</f>
        <v>54047.9786281274</v>
      </c>
      <c r="C6" s="156" t="s">
        <v>499</v>
      </c>
    </row>
    <row r="7" customFormat="false" ht="24" hidden="false" customHeight="true" outlineLevel="0" collapsed="false">
      <c r="A7" s="164" t="s">
        <v>923</v>
      </c>
      <c r="B7" s="164"/>
      <c r="C7" s="164"/>
      <c r="D7" s="164"/>
      <c r="E7" s="164"/>
      <c r="F7" s="164"/>
      <c r="G7" s="164"/>
    </row>
    <row r="9" customFormat="false" ht="15" hidden="false" customHeight="true" outlineLevel="0" collapsed="false">
      <c r="A9" s="76" t="s">
        <v>834</v>
      </c>
      <c r="B9" s="76" t="s">
        <v>837</v>
      </c>
      <c r="C9" s="348" t="s">
        <v>924</v>
      </c>
      <c r="D9" s="348" t="s">
        <v>925</v>
      </c>
      <c r="E9" s="76" t="s">
        <v>243</v>
      </c>
      <c r="F9" s="349" t="s">
        <v>926</v>
      </c>
    </row>
    <row r="10" customFormat="false" ht="15" hidden="false" customHeight="true" outlineLevel="0" collapsed="false">
      <c r="A10" s="156" t="s">
        <v>839</v>
      </c>
      <c r="B10" s="350" t="n">
        <f aca="false">'6a. Cooling Model - Global'!B34</f>
        <v>0.231</v>
      </c>
      <c r="C10" s="351" t="n">
        <f aca="false">'6a. Cooling Model - Global'!G34</f>
        <v>12.473434777124</v>
      </c>
      <c r="D10" s="228" t="n">
        <f aca="false">'6a. Cooling Model - Global'!I34</f>
        <v>41578115.9237468</v>
      </c>
      <c r="E10" s="153" t="n">
        <f aca="false">D10*$B$6</f>
        <v>2247213120844.47</v>
      </c>
      <c r="F10" s="352" t="n">
        <f aca="false">D10*'3a. Outputs - Dedicated Vessel'!$G$15*'2. Cost Inputs'!$B$63</f>
        <v>287140910433.598</v>
      </c>
    </row>
    <row r="11" customFormat="false" ht="15" hidden="false" customHeight="true" outlineLevel="0" collapsed="false">
      <c r="A11" s="156" t="s">
        <v>847</v>
      </c>
      <c r="B11" s="350" t="n">
        <f aca="false">'6a. Cooling Model - Global'!B35</f>
        <v>0.294480916030534</v>
      </c>
      <c r="C11" s="351" t="n">
        <f aca="false">'6a. Cooling Model - Global'!G35</f>
        <v>9.78455063355238</v>
      </c>
      <c r="D11" s="228" t="n">
        <f aca="false">'6a. Cooling Model - Global'!I35</f>
        <v>32615168.7785079</v>
      </c>
      <c r="E11" s="153" t="n">
        <f aca="false">D11*$B$6</f>
        <v>1762783945093.57</v>
      </c>
      <c r="F11" s="352" t="n">
        <f aca="false">D11*'3a. Outputs - Dedicated Vessel'!$G$15*'2. Cost Inputs'!$B$63</f>
        <v>225242271058.691</v>
      </c>
    </row>
    <row r="12" customFormat="false" ht="15" hidden="false" customHeight="true" outlineLevel="0" collapsed="false">
      <c r="A12" s="156" t="s">
        <v>841</v>
      </c>
      <c r="B12" s="350" t="n">
        <f aca="false">'6a. Cooling Model - Global'!B36</f>
        <v>0.0372</v>
      </c>
      <c r="C12" s="351" t="n">
        <f aca="false">'6a. Cooling Model - Global'!G36</f>
        <v>64.6288969574944</v>
      </c>
      <c r="D12" s="228" t="n">
        <f aca="false">'6a. Cooling Model - Global'!I36</f>
        <v>215429656.524981</v>
      </c>
      <c r="E12" s="153" t="n">
        <f aca="false">D12*$B$6</f>
        <v>11643537471727</v>
      </c>
      <c r="F12" s="352" t="n">
        <f aca="false">D12*'3a. Outputs - Dedicated Vessel'!$G$15*'2. Cost Inputs'!$B$63</f>
        <v>1487769860049.16</v>
      </c>
    </row>
    <row r="13" customFormat="false" ht="15" hidden="false" customHeight="true" outlineLevel="0" collapsed="false">
      <c r="A13" s="156" t="s">
        <v>843</v>
      </c>
      <c r="B13" s="350" t="n">
        <f aca="false">'6a. Cooling Model - Global'!B37</f>
        <v>0.00754</v>
      </c>
      <c r="C13" s="351" t="n">
        <f aca="false">'6a. Cooling Model - Global'!G37</f>
        <v>323.002699788734</v>
      </c>
      <c r="D13" s="228" t="n">
        <f aca="false">'6a. Cooling Model - Global'!I37</f>
        <v>1076675665.96245</v>
      </c>
      <c r="E13" s="153" t="n">
        <f aca="false">D13*$B$6</f>
        <v>58192143383363.1</v>
      </c>
      <c r="F13" s="352" t="n">
        <f aca="false">D13*'3a. Outputs - Dedicated Vessel'!$G$15*'2. Cost Inputs'!$B$63</f>
        <v>7435585381818.27</v>
      </c>
    </row>
    <row r="14" customFormat="false" ht="15" hidden="false" customHeight="true" outlineLevel="0" collapsed="false">
      <c r="A14" s="345" t="s">
        <v>927</v>
      </c>
      <c r="B14" s="345"/>
      <c r="C14" s="345"/>
      <c r="D14" s="345"/>
      <c r="E14" s="345"/>
      <c r="F14" s="345"/>
      <c r="G14" s="345"/>
    </row>
    <row r="15" customFormat="false" ht="28.5" hidden="false" customHeight="true" outlineLevel="0" collapsed="false">
      <c r="A15" s="164" t="s">
        <v>928</v>
      </c>
      <c r="B15" s="164"/>
      <c r="C15" s="164"/>
      <c r="D15" s="164"/>
      <c r="E15" s="164"/>
      <c r="F15" s="164"/>
      <c r="G15" s="164"/>
    </row>
    <row r="16" customFormat="false" ht="41.25" hidden="false" customHeight="true" outlineLevel="0" collapsed="false">
      <c r="A16" s="156" t="s">
        <v>897</v>
      </c>
      <c r="B16" s="228" t="n">
        <f aca="false">'6a. Cooling Model - Global'!$B$42</f>
        <v>110</v>
      </c>
      <c r="C16" s="156" t="s">
        <v>898</v>
      </c>
      <c r="E16" s="40" t="s">
        <v>929</v>
      </c>
    </row>
    <row r="17" customFormat="false" ht="15" hidden="false" customHeight="true" outlineLevel="0" collapsed="false">
      <c r="A17" s="156" t="s">
        <v>930</v>
      </c>
      <c r="B17" s="346" t="n">
        <f aca="false">B5</f>
        <v>1</v>
      </c>
      <c r="C17" s="156" t="s">
        <v>876</v>
      </c>
    </row>
    <row r="19" customFormat="false" ht="15" hidden="false" customHeight="true" outlineLevel="0" collapsed="false">
      <c r="A19" s="76" t="s">
        <v>931</v>
      </c>
      <c r="B19" s="76" t="s">
        <v>901</v>
      </c>
      <c r="C19" s="76" t="s">
        <v>932</v>
      </c>
      <c r="D19" s="76" t="s">
        <v>933</v>
      </c>
      <c r="E19" s="76" t="s">
        <v>571</v>
      </c>
    </row>
    <row r="20" customFormat="false" ht="28.5" hidden="false" customHeight="true" outlineLevel="0" collapsed="false">
      <c r="A20" s="156" t="s">
        <v>934</v>
      </c>
      <c r="B20" s="353" t="n">
        <f aca="false">'6a. Cooling Model - Global'!$B$43</f>
        <v>0.6</v>
      </c>
      <c r="C20" s="354" t="n">
        <f aca="false">B16*1000*B20/100</f>
        <v>660</v>
      </c>
      <c r="D20" s="354" t="n">
        <f aca="false">C20*B17*'6a. Cooling Model - Global'!$B$46</f>
        <v>660</v>
      </c>
      <c r="E20" s="164" t="s">
        <v>935</v>
      </c>
      <c r="F20" s="164"/>
      <c r="G20" s="164"/>
      <c r="H20" s="164"/>
    </row>
    <row r="21" customFormat="false" ht="41.25" hidden="false" customHeight="true" outlineLevel="0" collapsed="false">
      <c r="A21" s="156" t="s">
        <v>936</v>
      </c>
      <c r="B21" s="353" t="n">
        <f aca="false">'6a. Cooling Model - Global'!$B$44</f>
        <v>3.3</v>
      </c>
      <c r="C21" s="354" t="n">
        <f aca="false">B16*1000*B21/100</f>
        <v>3630</v>
      </c>
      <c r="D21" s="354" t="n">
        <f aca="false">C21*B17*'6a. Cooling Model - Global'!$B$46</f>
        <v>3630</v>
      </c>
      <c r="E21" s="164" t="s">
        <v>937</v>
      </c>
      <c r="F21" s="164"/>
      <c r="G21" s="164"/>
      <c r="H21" s="164"/>
    </row>
    <row r="22" customFormat="false" ht="28.5" hidden="false" customHeight="true" outlineLevel="0" collapsed="false">
      <c r="A22" s="156" t="s">
        <v>938</v>
      </c>
      <c r="B22" s="353" t="n">
        <f aca="false">'6a. Cooling Model - Global'!$B$45</f>
        <v>14</v>
      </c>
      <c r="C22" s="354" t="n">
        <f aca="false">B16*1000*B22/100</f>
        <v>15400</v>
      </c>
      <c r="D22" s="354" t="n">
        <f aca="false">C22*B17*'6a. Cooling Model - Global'!$B$46</f>
        <v>15400</v>
      </c>
      <c r="E22" s="164" t="s">
        <v>939</v>
      </c>
      <c r="F22" s="164"/>
      <c r="G22" s="164"/>
      <c r="H22" s="164"/>
    </row>
    <row r="23" customFormat="false" ht="39.75" hidden="false" customHeight="true" outlineLevel="0" collapsed="false">
      <c r="A23" s="164" t="s">
        <v>940</v>
      </c>
      <c r="B23" s="164"/>
      <c r="C23" s="164"/>
      <c r="D23" s="164"/>
      <c r="E23" s="164"/>
      <c r="F23" s="164"/>
      <c r="G23" s="164"/>
    </row>
    <row r="25" customFormat="false" ht="15" hidden="false" customHeight="true" outlineLevel="0" collapsed="false">
      <c r="A25" s="345" t="s">
        <v>941</v>
      </c>
      <c r="B25" s="345"/>
      <c r="C25" s="345"/>
      <c r="D25" s="345"/>
      <c r="E25" s="345"/>
      <c r="F25" s="345"/>
      <c r="G25" s="345"/>
    </row>
    <row r="26" customFormat="false" ht="15" hidden="false" customHeight="true" outlineLevel="0" collapsed="false">
      <c r="A26" s="164" t="s">
        <v>942</v>
      </c>
      <c r="B26" s="164"/>
      <c r="C26" s="164"/>
      <c r="D26" s="164"/>
      <c r="E26" s="164"/>
      <c r="F26" s="164"/>
      <c r="G26" s="164"/>
    </row>
    <row r="28" customFormat="false" ht="15" hidden="false" customHeight="true" outlineLevel="0" collapsed="false">
      <c r="A28" s="76" t="s">
        <v>943</v>
      </c>
      <c r="B28" s="76" t="s">
        <v>944</v>
      </c>
      <c r="C28" s="76" t="s">
        <v>945</v>
      </c>
      <c r="D28" s="76" t="s">
        <v>946</v>
      </c>
      <c r="E28" s="349" t="s">
        <v>947</v>
      </c>
      <c r="F28" s="349" t="s">
        <v>948</v>
      </c>
    </row>
    <row r="29" customFormat="false" ht="15" hidden="false" customHeight="true" outlineLevel="0" collapsed="false">
      <c r="A29" s="156" t="s">
        <v>949</v>
      </c>
      <c r="B29" s="153" t="n">
        <f aca="false">E10+F10</f>
        <v>2534354031278.07</v>
      </c>
      <c r="C29" s="153" t="n">
        <f aca="false">$D$21*10^9</f>
        <v>3630000000000</v>
      </c>
      <c r="D29" s="355" t="n">
        <f aca="false">C29/B29</f>
        <v>1.43231764591682</v>
      </c>
      <c r="E29" s="356" t="n">
        <f aca="false">C29/E10</f>
        <v>1.6153341070899</v>
      </c>
      <c r="F29" s="356" t="n">
        <f aca="false">D29*'6a. Cooling Model - Global'!K34</f>
        <v>1.28908588132514</v>
      </c>
    </row>
    <row r="30" customFormat="false" ht="15" hidden="false" customHeight="true" outlineLevel="0" collapsed="false">
      <c r="A30" s="156" t="s">
        <v>950</v>
      </c>
      <c r="B30" s="153" t="n">
        <f aca="false">E11+F11</f>
        <v>1988026216152.26</v>
      </c>
      <c r="C30" s="153" t="n">
        <f aca="false">$D$21*10^9</f>
        <v>3630000000000</v>
      </c>
      <c r="D30" s="355" t="n">
        <f aca="false">C30/B30</f>
        <v>1.82593165548175</v>
      </c>
      <c r="E30" s="356" t="n">
        <f aca="false">C30/E11</f>
        <v>2.05924271667185</v>
      </c>
      <c r="F30" s="356" t="n">
        <f aca="false">D30*'6a. Cooling Model - Global'!K35</f>
        <v>1.64333848993357</v>
      </c>
    </row>
    <row r="31" customFormat="false" ht="15" hidden="false" customHeight="true" outlineLevel="0" collapsed="false">
      <c r="A31" s="156" t="s">
        <v>951</v>
      </c>
      <c r="B31" s="153" t="n">
        <f aca="false">E12+F12</f>
        <v>13131307331776.2</v>
      </c>
      <c r="C31" s="153" t="n">
        <f aca="false">$D$21*10^9</f>
        <v>3630000000000</v>
      </c>
      <c r="D31" s="355" t="n">
        <f aca="false">C31/B31</f>
        <v>0.276438583629509</v>
      </c>
      <c r="E31" s="356" t="n">
        <f aca="false">C31/E12</f>
        <v>0.311760923930069</v>
      </c>
      <c r="F31" s="356" t="n">
        <f aca="false">D31*'6a. Cooling Model - Global'!K36</f>
        <v>0.207328937722132</v>
      </c>
    </row>
    <row r="32" customFormat="false" ht="15" hidden="false" customHeight="true" outlineLevel="0" collapsed="false">
      <c r="A32" s="156" t="s">
        <v>952</v>
      </c>
      <c r="B32" s="153" t="n">
        <f aca="false">E13+F13</f>
        <v>65627728765181.4</v>
      </c>
      <c r="C32" s="153" t="n">
        <f aca="false">$D$21*10^9</f>
        <v>3630000000000</v>
      </c>
      <c r="D32" s="355" t="n">
        <f aca="false">C32/B32</f>
        <v>0.0553119857764434</v>
      </c>
      <c r="E32" s="356" t="n">
        <f aca="false">C32/E13</f>
        <v>0.0623795548496294</v>
      </c>
      <c r="F32" s="356" t="n">
        <f aca="false">D32*'6a. Cooling Model - Global'!K37</f>
        <v>0.0355577051419993</v>
      </c>
    </row>
    <row r="33" customFormat="false" ht="27.75" hidden="false" customHeight="true" outlineLevel="0" collapsed="false">
      <c r="A33" s="164" t="s">
        <v>953</v>
      </c>
      <c r="B33" s="164"/>
      <c r="C33" s="164"/>
      <c r="D33" s="164"/>
      <c r="E33" s="164"/>
      <c r="F33" s="164"/>
      <c r="G33" s="164"/>
    </row>
    <row r="35" customFormat="false" ht="13.5" hidden="false" customHeight="false" outlineLevel="0" collapsed="false">
      <c r="A35" s="349" t="s">
        <v>954</v>
      </c>
    </row>
    <row r="36" customFormat="false" ht="43.25" hidden="false" customHeight="false" outlineLevel="0" collapsed="false">
      <c r="A36" s="87" t="s">
        <v>955</v>
      </c>
    </row>
    <row r="37" customFormat="false" ht="13.5" hidden="false" customHeight="false" outlineLevel="0" collapsed="false">
      <c r="A37" s="349" t="s">
        <v>834</v>
      </c>
      <c r="B37" s="349" t="s">
        <v>729</v>
      </c>
      <c r="C37" s="349" t="s">
        <v>956</v>
      </c>
      <c r="D37" s="349" t="s">
        <v>957</v>
      </c>
      <c r="E37" s="349" t="s">
        <v>958</v>
      </c>
      <c r="F37" s="349" t="s">
        <v>959</v>
      </c>
      <c r="G37" s="349" t="s">
        <v>960</v>
      </c>
      <c r="H37" s="349" t="s">
        <v>961</v>
      </c>
    </row>
    <row r="38" customFormat="false" ht="13.5" hidden="false" customHeight="false" outlineLevel="0" collapsed="false">
      <c r="A38" s="327" t="s">
        <v>839</v>
      </c>
      <c r="B38" s="357" t="n">
        <f aca="false">D10/'3a. Outputs - Dedicated Vessel'!$G$6</f>
        <v>105061.516818323</v>
      </c>
      <c r="C38" s="358" t="n">
        <f aca="false">B38/'6a. Cooling Model - Global'!$B$48</f>
        <v>0.963867126773602</v>
      </c>
      <c r="D38" s="359" t="n">
        <f aca="false">D10*'3a. Outputs - Dedicated Vessel'!$G$15/'2. Cost Inputs'!$B$61/10^6</f>
        <v>471.387382922806</v>
      </c>
      <c r="E38" s="319" t="n">
        <f aca="false">D10*'3a. Outputs - Dedicated Vessel'!$G$15/10^9</f>
        <v>1.51126794965052</v>
      </c>
      <c r="F38" s="359" t="n">
        <f aca="false">D10*'2. Cost Inputs'!$B$24/10^9</f>
        <v>1261.25140633091</v>
      </c>
      <c r="G38" s="360" t="n">
        <f aca="false">B38*'2. Cost Inputs'!$B$53/10^12</f>
        <v>7.64480332410329</v>
      </c>
      <c r="H38" s="361" t="n">
        <f aca="false">(B29/10^9/$B$5)/'6a. Cooling Model - Global'!$B$47</f>
        <v>140.797446182115</v>
      </c>
    </row>
    <row r="39" customFormat="false" ht="13.5" hidden="false" customHeight="false" outlineLevel="0" collapsed="false">
      <c r="A39" s="327" t="s">
        <v>847</v>
      </c>
      <c r="B39" s="357" t="n">
        <f aca="false">D11/'3a. Outputs - Dedicated Vessel'!$G$6</f>
        <v>82413.5251688638</v>
      </c>
      <c r="C39" s="358" t="n">
        <f aca="false">B39/'6a. Cooling Model - Global'!$B$48</f>
        <v>0.75608738687031</v>
      </c>
      <c r="D39" s="359" t="n">
        <f aca="false">D11*'3a. Outputs - Dedicated Vessel'!$G$15/'2. Cost Inputs'!$B$61/10^6</f>
        <v>369.770941095135</v>
      </c>
      <c r="E39" s="319" t="n">
        <f aca="false">D11*'3a. Outputs - Dedicated Vessel'!$G$15/10^9</f>
        <v>1.185485637151</v>
      </c>
      <c r="F39" s="359" t="n">
        <f aca="false">D11*'2. Cost Inputs'!$B$24/10^9</f>
        <v>989.364875624846</v>
      </c>
      <c r="G39" s="360" t="n">
        <f aca="false">B39*'2. Cost Inputs'!$B$53/10^12</f>
        <v>5.99682176920677</v>
      </c>
      <c r="H39" s="361" t="n">
        <f aca="false">(B30/10^9/$B$5)/'6a. Cooling Model - Global'!$B$47</f>
        <v>110.445900897348</v>
      </c>
    </row>
    <row r="40" customFormat="false" ht="13.5" hidden="false" customHeight="false" outlineLevel="0" collapsed="false">
      <c r="A40" s="327" t="s">
        <v>841</v>
      </c>
      <c r="B40" s="357" t="n">
        <f aca="false">D12/'3a. Outputs - Dedicated Vessel'!$G$6</f>
        <v>544357.67420712</v>
      </c>
      <c r="C40" s="358" t="n">
        <f aca="false">B40/'6a. Cooling Model - Global'!$B$48</f>
        <v>4.99410710281761</v>
      </c>
      <c r="D40" s="359" t="n">
        <f aca="false">D12*'3a. Outputs - Dedicated Vessel'!$G$15/'2. Cost Inputs'!$B$61/10^6</f>
        <v>2442.41038193052</v>
      </c>
      <c r="E40" s="319" t="n">
        <f aca="false">D12*'3a. Outputs - Dedicated Vessel'!$G$15/10^9</f>
        <v>7.83036768446926</v>
      </c>
      <c r="F40" s="359" t="n">
        <f aca="false">D12*'2. Cost Inputs'!$B$24/10^9</f>
        <v>6534.95116892331</v>
      </c>
      <c r="G40" s="360" t="n">
        <f aca="false">B40*'2. Cost Inputs'!$B$53/10^12</f>
        <v>39.6101967999948</v>
      </c>
      <c r="H40" s="361" t="n">
        <f aca="false">(B31/10^9/$B$5)/'6a. Cooling Model - Global'!$B$47</f>
        <v>729.517073987566</v>
      </c>
    </row>
    <row r="41" customFormat="false" ht="13.5" hidden="false" customHeight="false" outlineLevel="0" collapsed="false">
      <c r="A41" s="327" t="s">
        <v>843</v>
      </c>
      <c r="B41" s="357" t="n">
        <f aca="false">D13/'3a. Outputs - Dedicated Vessel'!$G$6</f>
        <v>2720594.14127485</v>
      </c>
      <c r="C41" s="358" t="n">
        <f aca="false">B41/'6a. Cooling Model - Global'!$B$48</f>
        <v>24.959579277751</v>
      </c>
      <c r="D41" s="359" t="n">
        <f aca="false">D13*'3a. Outputs - Dedicated Vessel'!$G$15/'2. Cost Inputs'!$B$61/10^6</f>
        <v>12206.6936694656</v>
      </c>
      <c r="E41" s="319" t="n">
        <f aca="false">D13*'3a. Outputs - Dedicated Vessel'!$G$15/10^9</f>
        <v>39.1346599043067</v>
      </c>
      <c r="F41" s="359" t="n">
        <f aca="false">D13*'2. Cost Inputs'!$B$24/10^9</f>
        <v>32660.4192539139</v>
      </c>
      <c r="G41" s="360" t="n">
        <f aca="false">B41*'2. Cost Inputs'!$B$53/10^12</f>
        <v>197.964085848099</v>
      </c>
      <c r="H41" s="361" t="n">
        <f aca="false">(B32/10^9/$B$5)/'6a. Cooling Model - Global'!$B$47</f>
        <v>3645.98493139897</v>
      </c>
    </row>
    <row r="42" customFormat="false" ht="74.6" hidden="false" customHeight="false" outlineLevel="0" collapsed="false">
      <c r="A42" s="87" t="s">
        <v>962</v>
      </c>
    </row>
  </sheetData>
  <mergeCells count="13">
    <mergeCell ref="A1:G1"/>
    <mergeCell ref="A2:G2"/>
    <mergeCell ref="A4:G4"/>
    <mergeCell ref="A7:G7"/>
    <mergeCell ref="A14:G14"/>
    <mergeCell ref="A15:G15"/>
    <mergeCell ref="E20:H20"/>
    <mergeCell ref="E21:H21"/>
    <mergeCell ref="E22:H22"/>
    <mergeCell ref="A23:G23"/>
    <mergeCell ref="A25:G25"/>
    <mergeCell ref="A26:G26"/>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true" showRowColHeaders="true" showZeros="true" rightToLeft="false" tabSelected="false" showOutlineSymbols="true" defaultGridColor="true" view="normal" topLeftCell="A24" colorId="64" zoomScale="100" zoomScaleNormal="100" zoomScalePageLayoutView="100" workbookViewId="0">
      <selection pane="topLeft" activeCell="E54" activeCellId="0" sqref="E54"/>
    </sheetView>
  </sheetViews>
  <sheetFormatPr defaultColWidth="8.83203125" defaultRowHeight="13.5" customHeight="false" zeroHeight="false" outlineLevelRow="0" outlineLevelCol="0"/>
  <cols>
    <col collapsed="false" customWidth="true" hidden="false" outlineLevel="0" max="1" min="1" style="1" width="42"/>
    <col collapsed="false" customWidth="true" hidden="false" outlineLevel="0" max="2" min="2" style="1" width="20.33"/>
    <col collapsed="false" customWidth="true" hidden="false" outlineLevel="0" max="3" min="3" style="1" width="24.67"/>
    <col collapsed="false" customWidth="true" hidden="false" outlineLevel="0" max="4" min="4" style="1" width="26"/>
    <col collapsed="false" customWidth="true" hidden="false" outlineLevel="0" max="5" min="5" style="1" width="24"/>
    <col collapsed="false" customWidth="true" hidden="false" outlineLevel="0" max="6" min="6" style="1" width="22"/>
    <col collapsed="false" customWidth="true" hidden="false" outlineLevel="0" max="7" min="7" style="1" width="18"/>
    <col collapsed="false" customWidth="true" hidden="false" outlineLevel="0" max="8" min="8" style="1" width="10"/>
    <col collapsed="false" customWidth="false" hidden="false" outlineLevel="0" max="16384" min="9" style="1" width="8.83"/>
  </cols>
  <sheetData>
    <row r="1" customFormat="false" ht="15.75" hidden="false" customHeight="true" outlineLevel="0" collapsed="false">
      <c r="A1" s="344" t="s">
        <v>963</v>
      </c>
      <c r="B1" s="344"/>
      <c r="C1" s="344"/>
      <c r="D1" s="344"/>
      <c r="E1" s="344"/>
      <c r="F1" s="344"/>
      <c r="G1" s="344"/>
      <c r="H1" s="3"/>
    </row>
    <row r="2" customFormat="false" ht="27.75" hidden="false" customHeight="true" outlineLevel="0" collapsed="false">
      <c r="A2" s="164" t="s">
        <v>964</v>
      </c>
      <c r="B2" s="164"/>
      <c r="C2" s="164"/>
      <c r="D2" s="164"/>
      <c r="E2" s="164"/>
      <c r="F2" s="164"/>
      <c r="G2" s="164"/>
      <c r="H2" s="3"/>
    </row>
    <row r="3" customFormat="false" ht="15" hidden="false" customHeight="true" outlineLevel="0" collapsed="false">
      <c r="A3" s="3"/>
      <c r="B3" s="3"/>
      <c r="C3" s="3"/>
      <c r="D3" s="3"/>
      <c r="E3" s="3"/>
      <c r="F3" s="3"/>
      <c r="G3" s="3"/>
      <c r="H3" s="3"/>
    </row>
    <row r="4" customFormat="false" ht="15" hidden="false" customHeight="true" outlineLevel="0" collapsed="false">
      <c r="A4" s="362" t="s">
        <v>965</v>
      </c>
      <c r="B4" s="362"/>
      <c r="C4" s="362"/>
      <c r="D4" s="362"/>
      <c r="E4" s="362"/>
      <c r="F4" s="362"/>
      <c r="G4" s="362"/>
      <c r="H4" s="3"/>
    </row>
    <row r="5" customFormat="false" ht="15" hidden="false" customHeight="true" outlineLevel="0" collapsed="false">
      <c r="A5" s="156" t="s">
        <v>875</v>
      </c>
      <c r="B5" s="346" t="n">
        <f aca="false">'6a. Cooling Model - Global'!B31</f>
        <v>1</v>
      </c>
      <c r="C5" s="156" t="s">
        <v>876</v>
      </c>
      <c r="D5" s="3"/>
      <c r="E5" s="3"/>
      <c r="F5" s="3"/>
      <c r="G5" s="3"/>
      <c r="H5" s="3"/>
    </row>
    <row r="6" customFormat="false" ht="25.5" hidden="false" customHeight="true" outlineLevel="0" collapsed="false">
      <c r="A6" s="334" t="s">
        <v>966</v>
      </c>
      <c r="B6" s="363" t="n">
        <f aca="false">'3b. Outputs - Ship Piggyback'!C32</f>
        <v>21674.0050777153</v>
      </c>
      <c r="C6" s="364" t="s">
        <v>499</v>
      </c>
      <c r="D6" s="365" t="s">
        <v>967</v>
      </c>
      <c r="E6" s="365"/>
      <c r="F6" s="365"/>
      <c r="G6" s="3"/>
      <c r="H6" s="3"/>
    </row>
    <row r="7" customFormat="false" ht="27.75" hidden="false" customHeight="true" outlineLevel="0" collapsed="false">
      <c r="A7" s="334"/>
      <c r="B7" s="363"/>
      <c r="C7" s="364"/>
      <c r="D7" s="365"/>
      <c r="E7" s="365"/>
      <c r="F7" s="365"/>
      <c r="G7" s="3"/>
      <c r="H7" s="3"/>
    </row>
    <row r="8" customFormat="false" ht="39" hidden="false" customHeight="true" outlineLevel="0" collapsed="false">
      <c r="A8" s="334"/>
      <c r="B8" s="363"/>
      <c r="C8" s="364"/>
      <c r="D8" s="365"/>
      <c r="E8" s="365"/>
      <c r="F8" s="365"/>
      <c r="G8" s="3"/>
      <c r="H8" s="3"/>
    </row>
    <row r="9" customFormat="false" ht="25.5" hidden="false" customHeight="true" outlineLevel="0" collapsed="false">
      <c r="A9" s="334"/>
      <c r="B9" s="363"/>
      <c r="C9" s="364"/>
      <c r="D9" s="365"/>
      <c r="E9" s="365"/>
      <c r="F9" s="365"/>
      <c r="G9" s="3"/>
      <c r="H9" s="3"/>
    </row>
    <row r="10" customFormat="false" ht="25.5" hidden="false" customHeight="true" outlineLevel="0" collapsed="false">
      <c r="A10" s="334"/>
      <c r="B10" s="363"/>
      <c r="C10" s="364"/>
      <c r="D10" s="365"/>
      <c r="E10" s="365"/>
      <c r="F10" s="365"/>
      <c r="G10" s="3"/>
      <c r="H10" s="3"/>
    </row>
    <row r="11" customFormat="false" ht="28.5" hidden="false" customHeight="true" outlineLevel="0" collapsed="false">
      <c r="A11" s="334"/>
      <c r="B11" s="363"/>
      <c r="C11" s="364"/>
      <c r="D11" s="365"/>
      <c r="E11" s="365"/>
      <c r="F11" s="365"/>
      <c r="G11" s="3"/>
      <c r="H11" s="3"/>
    </row>
    <row r="12" customFormat="false" ht="39" hidden="false" customHeight="true" outlineLevel="0" collapsed="false">
      <c r="A12" s="334"/>
      <c r="B12" s="363"/>
      <c r="C12" s="364"/>
      <c r="D12" s="365"/>
      <c r="E12" s="365"/>
      <c r="F12" s="365"/>
      <c r="G12" s="3"/>
      <c r="H12" s="3"/>
    </row>
    <row r="13" customFormat="false" ht="15" hidden="false" customHeight="true" outlineLevel="0" collapsed="false">
      <c r="A13" s="334"/>
      <c r="B13" s="363"/>
      <c r="C13" s="364"/>
      <c r="D13" s="52"/>
      <c r="F13" s="3"/>
      <c r="G13" s="3"/>
      <c r="H13" s="3"/>
    </row>
    <row r="14" customFormat="false" ht="25.5" hidden="false" customHeight="true" outlineLevel="0" collapsed="false">
      <c r="A14" s="334"/>
      <c r="B14" s="366"/>
      <c r="C14" s="364"/>
      <c r="D14" s="365"/>
      <c r="E14" s="365"/>
      <c r="F14" s="365"/>
      <c r="G14" s="3"/>
      <c r="H14" s="3"/>
    </row>
    <row r="15" customFormat="false" ht="12.75" hidden="false" customHeight="true" outlineLevel="0" collapsed="false">
      <c r="A15" s="3"/>
      <c r="B15" s="367"/>
      <c r="C15" s="332"/>
      <c r="D15" s="164"/>
      <c r="E15" s="164"/>
      <c r="F15" s="164"/>
      <c r="G15" s="3"/>
      <c r="H15" s="3"/>
    </row>
    <row r="16" customFormat="false" ht="15" hidden="false" customHeight="true" outlineLevel="0" collapsed="false">
      <c r="A16" s="3"/>
      <c r="B16" s="39"/>
      <c r="C16" s="39"/>
      <c r="D16" s="368"/>
      <c r="E16" s="369"/>
      <c r="F16" s="369"/>
      <c r="G16" s="3"/>
      <c r="H16" s="3"/>
    </row>
    <row r="17" customFormat="false" ht="15" hidden="false" customHeight="true" outlineLevel="0" collapsed="false">
      <c r="A17" s="76" t="s">
        <v>834</v>
      </c>
      <c r="B17" s="370" t="s">
        <v>837</v>
      </c>
      <c r="C17" s="370" t="s">
        <v>924</v>
      </c>
      <c r="D17" s="370" t="s">
        <v>925</v>
      </c>
      <c r="E17" s="370" t="s">
        <v>243</v>
      </c>
      <c r="F17" s="371" t="s">
        <v>926</v>
      </c>
      <c r="G17" s="3"/>
      <c r="H17" s="3"/>
    </row>
    <row r="18" customFormat="false" ht="15" hidden="false" customHeight="true" outlineLevel="0" collapsed="false">
      <c r="A18" s="156" t="s">
        <v>839</v>
      </c>
      <c r="B18" s="372" t="n">
        <f aca="false">'6a. Cooling Model - Global'!B34</f>
        <v>0.231</v>
      </c>
      <c r="C18" s="351" t="n">
        <f aca="false">'6a. Cooling Model - Global'!G34</f>
        <v>12.473434777124</v>
      </c>
      <c r="D18" s="228" t="n">
        <f aca="false">'6a. Cooling Model - Global'!I34</f>
        <v>41578115.9237468</v>
      </c>
      <c r="E18" s="373" t="n">
        <f aca="false">D18*$B$6</f>
        <v>901164295653.124</v>
      </c>
      <c r="F18" s="374" t="n">
        <f aca="false">D18*'3b. Outputs - Ship Piggyback'!$B$44*'2. Cost Inputs'!$B$63</f>
        <v>153655736330.482</v>
      </c>
      <c r="G18" s="3"/>
      <c r="H18" s="3"/>
    </row>
    <row r="19" customFormat="false" ht="15" hidden="false" customHeight="true" outlineLevel="0" collapsed="false">
      <c r="A19" s="156" t="s">
        <v>847</v>
      </c>
      <c r="B19" s="372" t="n">
        <f aca="false">'6a. Cooling Model - Global'!B35</f>
        <v>0.294480916030534</v>
      </c>
      <c r="C19" s="351" t="n">
        <f aca="false">'6a. Cooling Model - Global'!G35</f>
        <v>9.78455063355238</v>
      </c>
      <c r="D19" s="228" t="n">
        <f aca="false">'6a. Cooling Model - Global'!I35</f>
        <v>32615168.7785079</v>
      </c>
      <c r="E19" s="373" t="n">
        <f aca="false">D19*$B$6</f>
        <v>706901333715.924</v>
      </c>
      <c r="F19" s="374" t="n">
        <f aca="false">D19*'3b. Outputs - Ship Piggyback'!$B$44*'2. Cost Inputs'!$B$63</f>
        <v>120532344067.624</v>
      </c>
      <c r="G19" s="3"/>
      <c r="H19" s="3"/>
    </row>
    <row r="20" customFormat="false" ht="15" hidden="false" customHeight="true" outlineLevel="0" collapsed="false">
      <c r="A20" s="156" t="s">
        <v>841</v>
      </c>
      <c r="B20" s="372" t="n">
        <f aca="false">'6a. Cooling Model - Global'!B36</f>
        <v>0.0372</v>
      </c>
      <c r="C20" s="351" t="n">
        <f aca="false">'6a. Cooling Model - Global'!G36</f>
        <v>64.6288969574944</v>
      </c>
      <c r="D20" s="228" t="n">
        <f aca="false">'6a. Cooling Model - Global'!I36</f>
        <v>215429656.524981</v>
      </c>
      <c r="E20" s="373" t="n">
        <f aca="false">D20*$B$6</f>
        <v>4669223469412.92</v>
      </c>
      <c r="F20" s="374" t="n">
        <f aca="false">D20*'3b. Outputs - Ship Piggyback'!$B$44*'2. Cost Inputs'!$B$63</f>
        <v>796140031007.589</v>
      </c>
      <c r="G20" s="3"/>
      <c r="H20" s="3"/>
    </row>
    <row r="21" customFormat="false" ht="15" hidden="false" customHeight="true" outlineLevel="0" collapsed="false">
      <c r="A21" s="156" t="s">
        <v>843</v>
      </c>
      <c r="B21" s="372" t="n">
        <f aca="false">'6a. Cooling Model - Global'!B37</f>
        <v>0.00754</v>
      </c>
      <c r="C21" s="351" t="n">
        <f aca="false">'6a. Cooling Model - Global'!G37</f>
        <v>323.002699788734</v>
      </c>
      <c r="D21" s="228" t="n">
        <f aca="false">'6a. Cooling Model - Global'!I37</f>
        <v>1076675665.96245</v>
      </c>
      <c r="E21" s="373" t="n">
        <f aca="false">D21*$B$6</f>
        <v>23335873851122.6</v>
      </c>
      <c r="F21" s="374" t="n">
        <f aca="false">D21*'3b. Outputs - Ship Piggyback'!$B$44*'2. Cost Inputs'!$B$63</f>
        <v>3978953556865.83</v>
      </c>
      <c r="G21" s="3"/>
      <c r="H21" s="3"/>
    </row>
    <row r="22" customFormat="false" ht="15" hidden="false" customHeight="true" outlineLevel="0" collapsed="false">
      <c r="A22" s="3"/>
      <c r="B22" s="3"/>
      <c r="C22" s="3"/>
      <c r="D22" s="3"/>
      <c r="E22" s="3"/>
      <c r="F22" s="3"/>
      <c r="G22" s="3"/>
      <c r="H22" s="3"/>
    </row>
    <row r="23" customFormat="false" ht="15" hidden="false" customHeight="true" outlineLevel="0" collapsed="false">
      <c r="A23" s="362" t="s">
        <v>927</v>
      </c>
      <c r="B23" s="362"/>
      <c r="C23" s="362"/>
      <c r="D23" s="362"/>
      <c r="E23" s="362"/>
      <c r="F23" s="362"/>
      <c r="G23" s="362"/>
      <c r="H23" s="3"/>
    </row>
    <row r="24" customFormat="false" ht="28.5" hidden="false" customHeight="true" outlineLevel="0" collapsed="false">
      <c r="A24" s="164" t="s">
        <v>928</v>
      </c>
      <c r="B24" s="164"/>
      <c r="C24" s="164"/>
      <c r="D24" s="164"/>
      <c r="E24" s="164"/>
      <c r="F24" s="164"/>
      <c r="G24" s="164"/>
      <c r="H24" s="3"/>
    </row>
    <row r="25" customFormat="false" ht="41.25" hidden="false" customHeight="true" outlineLevel="0" collapsed="false">
      <c r="A25" s="156" t="s">
        <v>897</v>
      </c>
      <c r="B25" s="228" t="n">
        <f aca="false">'6a. Cooling Model - Global'!$B$42</f>
        <v>110</v>
      </c>
      <c r="C25" s="155" t="s">
        <v>898</v>
      </c>
      <c r="D25" s="368"/>
      <c r="E25" s="369" t="s">
        <v>929</v>
      </c>
      <c r="G25" s="40"/>
      <c r="H25" s="3"/>
    </row>
    <row r="26" customFormat="false" ht="15" hidden="false" customHeight="true" outlineLevel="0" collapsed="false">
      <c r="A26" s="156" t="s">
        <v>930</v>
      </c>
      <c r="B26" s="346" t="n">
        <f aca="false">B5</f>
        <v>1</v>
      </c>
      <c r="C26" s="155" t="s">
        <v>876</v>
      </c>
      <c r="D26" s="368"/>
      <c r="E26" s="369"/>
      <c r="F26" s="369"/>
      <c r="G26" s="3"/>
      <c r="H26" s="3"/>
    </row>
    <row r="27" customFormat="false" ht="15" hidden="false" customHeight="true" outlineLevel="0" collapsed="false">
      <c r="A27" s="3"/>
      <c r="B27" s="3"/>
      <c r="C27" s="3"/>
      <c r="D27" s="3"/>
      <c r="E27" s="3"/>
      <c r="F27" s="3"/>
      <c r="G27" s="3"/>
      <c r="H27" s="3"/>
    </row>
    <row r="28" customFormat="false" ht="15" hidden="false" customHeight="true" outlineLevel="0" collapsed="false">
      <c r="A28" s="76" t="s">
        <v>931</v>
      </c>
      <c r="B28" s="76" t="s">
        <v>901</v>
      </c>
      <c r="C28" s="76" t="s">
        <v>932</v>
      </c>
      <c r="D28" s="76" t="s">
        <v>933</v>
      </c>
      <c r="E28" s="76" t="s">
        <v>571</v>
      </c>
      <c r="G28" s="3"/>
      <c r="H28" s="3"/>
    </row>
    <row r="29" customFormat="false" ht="28.5" hidden="false" customHeight="true" outlineLevel="0" collapsed="false">
      <c r="A29" s="156" t="s">
        <v>934</v>
      </c>
      <c r="B29" s="353" t="n">
        <f aca="false">'6a. Cooling Model - Global'!$B$43</f>
        <v>0.6</v>
      </c>
      <c r="C29" s="354" t="n">
        <f aca="false">B25*1000*B29/100</f>
        <v>660</v>
      </c>
      <c r="D29" s="354" t="n">
        <f aca="false">C29*B26*'6a. Cooling Model - Global'!$B$46</f>
        <v>660</v>
      </c>
      <c r="E29" s="375" t="s">
        <v>935</v>
      </c>
      <c r="F29" s="375"/>
      <c r="G29" s="375"/>
      <c r="H29" s="375"/>
    </row>
    <row r="30" customFormat="false" ht="54" hidden="false" customHeight="true" outlineLevel="0" collapsed="false">
      <c r="A30" s="156" t="s">
        <v>936</v>
      </c>
      <c r="B30" s="353" t="n">
        <f aca="false">'6a. Cooling Model - Global'!$B$44</f>
        <v>3.3</v>
      </c>
      <c r="C30" s="354" t="n">
        <f aca="false">B25*1000*B30/100</f>
        <v>3630</v>
      </c>
      <c r="D30" s="354" t="n">
        <f aca="false">C30*B26*'6a. Cooling Model - Global'!$B$46</f>
        <v>3630</v>
      </c>
      <c r="E30" s="375" t="s">
        <v>937</v>
      </c>
      <c r="F30" s="375"/>
      <c r="G30" s="375"/>
      <c r="H30" s="375"/>
    </row>
    <row r="31" customFormat="false" ht="28.5" hidden="false" customHeight="true" outlineLevel="0" collapsed="false">
      <c r="A31" s="156" t="s">
        <v>938</v>
      </c>
      <c r="B31" s="353" t="n">
        <f aca="false">'6a. Cooling Model - Global'!$B$45</f>
        <v>14</v>
      </c>
      <c r="C31" s="354" t="n">
        <f aca="false">B25*1000*B31/100</f>
        <v>15400</v>
      </c>
      <c r="D31" s="354" t="n">
        <f aca="false">C31*B26*'6a. Cooling Model - Global'!$B$46</f>
        <v>15400</v>
      </c>
      <c r="E31" s="375" t="s">
        <v>939</v>
      </c>
      <c r="F31" s="375"/>
      <c r="G31" s="375"/>
      <c r="H31" s="375"/>
    </row>
    <row r="32" customFormat="false" ht="39.75" hidden="false" customHeight="true" outlineLevel="0" collapsed="false">
      <c r="A32" s="164" t="s">
        <v>940</v>
      </c>
      <c r="B32" s="164"/>
      <c r="C32" s="164"/>
      <c r="D32" s="164"/>
      <c r="E32" s="164"/>
      <c r="F32" s="164"/>
      <c r="G32" s="164"/>
      <c r="H32" s="3"/>
    </row>
    <row r="33" customFormat="false" ht="15" hidden="false" customHeight="true" outlineLevel="0" collapsed="false">
      <c r="A33" s="3"/>
      <c r="B33" s="3"/>
      <c r="C33" s="3"/>
      <c r="D33" s="3"/>
      <c r="E33" s="3"/>
      <c r="F33" s="3"/>
      <c r="G33" s="3"/>
      <c r="H33" s="3"/>
    </row>
    <row r="34" customFormat="false" ht="15" hidden="false" customHeight="true" outlineLevel="0" collapsed="false">
      <c r="A34" s="362" t="s">
        <v>941</v>
      </c>
      <c r="B34" s="362"/>
      <c r="C34" s="362"/>
      <c r="D34" s="362"/>
      <c r="E34" s="362"/>
      <c r="F34" s="362"/>
      <c r="G34" s="362"/>
      <c r="H34" s="3"/>
    </row>
    <row r="35" customFormat="false" ht="15" hidden="false" customHeight="true" outlineLevel="0" collapsed="false">
      <c r="A35" s="164" t="s">
        <v>942</v>
      </c>
      <c r="B35" s="164"/>
      <c r="C35" s="164"/>
      <c r="D35" s="164"/>
      <c r="E35" s="164"/>
      <c r="F35" s="164"/>
      <c r="G35" s="164"/>
      <c r="H35" s="3"/>
    </row>
    <row r="36" customFormat="false" ht="15" hidden="false" customHeight="true" outlineLevel="0" collapsed="false">
      <c r="A36" s="3"/>
      <c r="B36" s="3"/>
      <c r="C36" s="3"/>
      <c r="D36" s="3"/>
      <c r="E36" s="3"/>
      <c r="F36" s="3"/>
      <c r="G36" s="3"/>
      <c r="H36" s="3"/>
    </row>
    <row r="37" customFormat="false" ht="15" hidden="false" customHeight="true" outlineLevel="0" collapsed="false">
      <c r="A37" s="76" t="s">
        <v>943</v>
      </c>
      <c r="B37" s="76" t="s">
        <v>944</v>
      </c>
      <c r="C37" s="76" t="s">
        <v>945</v>
      </c>
      <c r="D37" s="76" t="s">
        <v>946</v>
      </c>
      <c r="E37" s="349" t="s">
        <v>947</v>
      </c>
      <c r="F37" s="349" t="s">
        <v>948</v>
      </c>
      <c r="G37" s="3"/>
      <c r="H37" s="3"/>
    </row>
    <row r="38" customFormat="false" ht="15" hidden="false" customHeight="true" outlineLevel="0" collapsed="false">
      <c r="A38" s="156" t="s">
        <v>949</v>
      </c>
      <c r="B38" s="376" t="n">
        <f aca="false">E18+F18</f>
        <v>1054820031983.61</v>
      </c>
      <c r="C38" s="376" t="n">
        <f aca="false">$D$30*10^9</f>
        <v>3630000000000</v>
      </c>
      <c r="D38" s="330" t="n">
        <f aca="false">C38/B38</f>
        <v>3.441345338478</v>
      </c>
      <c r="E38" s="377" t="n">
        <f aca="false">C38/E18</f>
        <v>4.02812230523307</v>
      </c>
      <c r="F38" s="377" t="n">
        <f aca="false">D38*'6a. Cooling Model - Global'!K34</f>
        <v>3.0972108046302</v>
      </c>
      <c r="G38" s="3"/>
      <c r="H38" s="3"/>
    </row>
    <row r="39" customFormat="false" ht="15" hidden="false" customHeight="true" outlineLevel="0" collapsed="false">
      <c r="A39" s="156" t="s">
        <v>950</v>
      </c>
      <c r="B39" s="376" t="n">
        <f aca="false">E19+F19</f>
        <v>827433677783.547</v>
      </c>
      <c r="C39" s="376" t="n">
        <f aca="false">$D$30*10^9</f>
        <v>3630000000000</v>
      </c>
      <c r="D39" s="330" t="n">
        <f aca="false">C39/B39</f>
        <v>4.38705856126585</v>
      </c>
      <c r="E39" s="377" t="n">
        <f aca="false">C39/E19</f>
        <v>5.1350872135414</v>
      </c>
      <c r="F39" s="377" t="n">
        <f aca="false">D39*'6a. Cooling Model - Global'!K35</f>
        <v>3.94835270513927</v>
      </c>
      <c r="G39" s="3"/>
      <c r="H39" s="3"/>
    </row>
    <row r="40" customFormat="false" ht="15" hidden="false" customHeight="true" outlineLevel="0" collapsed="false">
      <c r="A40" s="156" t="s">
        <v>951</v>
      </c>
      <c r="B40" s="376" t="n">
        <f aca="false">E20+F20</f>
        <v>5465363500420.5</v>
      </c>
      <c r="C40" s="376" t="n">
        <f aca="false">$D$30*10^9</f>
        <v>3630000000000</v>
      </c>
      <c r="D40" s="330" t="n">
        <f aca="false">C40/B40</f>
        <v>0.664182720823731</v>
      </c>
      <c r="E40" s="377" t="n">
        <f aca="false">C40/E20</f>
        <v>0.777431198951893</v>
      </c>
      <c r="F40" s="377" t="n">
        <f aca="false">D40*'6a. Cooling Model - Global'!K36</f>
        <v>0.498137040617798</v>
      </c>
      <c r="G40" s="368"/>
      <c r="H40" s="3"/>
    </row>
    <row r="41" customFormat="false" ht="15" hidden="false" customHeight="true" outlineLevel="0" collapsed="false">
      <c r="A41" s="156" t="s">
        <v>952</v>
      </c>
      <c r="B41" s="376" t="n">
        <f aca="false">E21+F21</f>
        <v>27314827407988.4</v>
      </c>
      <c r="C41" s="376" t="n">
        <f aca="false">$D$30*10^9</f>
        <v>3630000000000</v>
      </c>
      <c r="D41" s="378" t="n">
        <f aca="false">C41/B41</f>
        <v>0.13289485398463</v>
      </c>
      <c r="E41" s="379" t="n">
        <f aca="false">C41/E21</f>
        <v>0.155554491901977</v>
      </c>
      <c r="F41" s="379" t="n">
        <f aca="false">D41*'6a. Cooling Model - Global'!K37</f>
        <v>0.0854324061329767</v>
      </c>
      <c r="G41" s="152"/>
    </row>
    <row r="42" customFormat="false" ht="27.75" hidden="false" customHeight="true" outlineLevel="0" collapsed="false">
      <c r="A42" s="164" t="str">
        <f aca="false">"Benefit-cost at the piggyback cost from tab 3b ("&amp;TEXT($B$6,"$#,##0")&amp;"/t) plus the ships' genset diesel CO2 at the tab 2 carbon price (column E leaves it out). Column F rescales cooling to the IPCC AR6 TCR. Dedicated-vessel case is 6b; fleet numbers in section D."</f>
        <v>Benefit-cost at the piggyback cost from tab 3b ($21,674/t) plus the ships' genset diesel CO2 at the tab 2 carbon price (column E leaves it out). Column F rescales cooling to the IPCC AR6 TCR. Dedicated-vessel case is 6b; fleet numbers in section D.</v>
      </c>
      <c r="B42" s="164"/>
      <c r="C42" s="164"/>
      <c r="D42" s="164"/>
      <c r="E42" s="164"/>
      <c r="F42" s="164"/>
      <c r="G42" s="164"/>
    </row>
    <row r="44" customFormat="false" ht="15" hidden="false" customHeight="true" outlineLevel="0" collapsed="false">
      <c r="A44" s="362" t="s">
        <v>968</v>
      </c>
      <c r="B44" s="362"/>
      <c r="C44" s="362"/>
      <c r="D44" s="362"/>
      <c r="E44" s="362"/>
      <c r="F44" s="362"/>
      <c r="G44" s="362"/>
    </row>
    <row r="45" customFormat="false" ht="24" hidden="false" customHeight="true" outlineLevel="0" collapsed="false">
      <c r="A45" s="164" t="s">
        <v>969</v>
      </c>
      <c r="B45" s="164"/>
      <c r="C45" s="164"/>
      <c r="D45" s="164"/>
      <c r="E45" s="164"/>
      <c r="F45" s="164"/>
      <c r="G45" s="164"/>
    </row>
    <row r="47" customFormat="false" ht="15" hidden="false" customHeight="true" outlineLevel="0" collapsed="false">
      <c r="A47" s="156" t="s">
        <v>970</v>
      </c>
      <c r="B47" s="228" t="n">
        <f aca="false">'3b. Outputs - Ship Piggyback'!B43</f>
        <v>427.236298542038</v>
      </c>
      <c r="C47" s="156" t="s">
        <v>971</v>
      </c>
      <c r="D47" s="52" t="s">
        <v>972</v>
      </c>
    </row>
    <row r="48" customFormat="false" ht="15" hidden="false" customHeight="true" outlineLevel="0" collapsed="false">
      <c r="A48" s="156" t="s">
        <v>973</v>
      </c>
      <c r="B48" s="228" t="n">
        <f aca="false">'3b. Outputs - Ship Piggyback'!B41*24*'3b. Outputs - Ship Piggyback'!B16*B50/1000</f>
        <v>2592</v>
      </c>
      <c r="C48" s="156" t="s">
        <v>971</v>
      </c>
    </row>
    <row r="49" customFormat="false" ht="24" hidden="false" customHeight="true" outlineLevel="0" collapsed="false">
      <c r="A49" s="164" t="s">
        <v>974</v>
      </c>
      <c r="B49" s="164"/>
      <c r="C49" s="164"/>
      <c r="D49" s="164"/>
      <c r="E49" s="164"/>
      <c r="F49" s="164"/>
      <c r="G49" s="164"/>
    </row>
    <row r="50" customFormat="false" ht="13.5" hidden="false" customHeight="false" outlineLevel="0" collapsed="false">
      <c r="A50" s="156" t="s">
        <v>975</v>
      </c>
      <c r="B50" s="380" t="n">
        <v>0.2</v>
      </c>
      <c r="C50" s="156" t="s">
        <v>976</v>
      </c>
      <c r="D50" s="52" t="s">
        <v>977</v>
      </c>
    </row>
    <row r="51" customFormat="false" ht="15" hidden="false" customHeight="true" outlineLevel="0" collapsed="false">
      <c r="A51" s="362" t="s">
        <v>978</v>
      </c>
      <c r="B51" s="362"/>
      <c r="C51" s="362"/>
      <c r="D51" s="362"/>
      <c r="E51" s="362"/>
      <c r="F51" s="362"/>
      <c r="G51" s="362"/>
    </row>
    <row r="52" customFormat="false" ht="41.25" hidden="false" customHeight="true" outlineLevel="0" collapsed="false">
      <c r="A52" s="156" t="s">
        <v>979</v>
      </c>
      <c r="B52" s="380" t="n">
        <v>6706</v>
      </c>
      <c r="C52" s="156" t="s">
        <v>980</v>
      </c>
    </row>
    <row r="53" customFormat="false" ht="36" hidden="false" customHeight="true" outlineLevel="0" collapsed="false">
      <c r="A53" s="164" t="s">
        <v>981</v>
      </c>
      <c r="B53" s="164"/>
      <c r="C53" s="164"/>
      <c r="D53" s="164"/>
      <c r="E53" s="164"/>
      <c r="F53" s="164"/>
      <c r="G53" s="164"/>
    </row>
    <row r="54" customFormat="false" ht="74.6" hidden="false" customHeight="false" outlineLevel="0" collapsed="false">
      <c r="A54" s="156" t="s">
        <v>982</v>
      </c>
      <c r="B54" s="380" t="n">
        <f aca="false">ROUND(B52*D54,0)</f>
        <v>5700</v>
      </c>
      <c r="C54" s="156" t="s">
        <v>980</v>
      </c>
      <c r="D54" s="380" t="n">
        <v>0.85</v>
      </c>
      <c r="E54" s="52" t="s">
        <v>983</v>
      </c>
    </row>
    <row r="55" customFormat="false" ht="15" hidden="false" customHeight="true" outlineLevel="0" collapsed="false">
      <c r="A55" s="76" t="s">
        <v>984</v>
      </c>
      <c r="B55" s="76" t="s">
        <v>985</v>
      </c>
      <c r="C55" s="76" t="s">
        <v>729</v>
      </c>
      <c r="D55" s="76" t="s">
        <v>986</v>
      </c>
      <c r="E55" s="76" t="str">
        <f aca="false">"Cost at tab-1 power, "&amp;TEXT($B$6,"$#,##0")&amp;"/t ($B/yr)"</f>
        <v>Cost at tab-1 power, $21,674/t ($B/yr)</v>
      </c>
      <c r="F55" s="349" t="s">
        <v>987</v>
      </c>
      <c r="G55" s="349" t="s">
        <v>988</v>
      </c>
      <c r="H55" s="349" t="s">
        <v>959</v>
      </c>
      <c r="I55" s="349" t="s">
        <v>989</v>
      </c>
      <c r="J55" s="349" t="s">
        <v>961</v>
      </c>
    </row>
    <row r="56" customFormat="false" ht="15" hidden="false" customHeight="true" outlineLevel="0" collapsed="false">
      <c r="A56" s="156" t="s">
        <v>949</v>
      </c>
      <c r="B56" s="155" t="n">
        <f aca="false">'6a. Cooling Model - Global'!I34</f>
        <v>41578115.9237468</v>
      </c>
      <c r="C56" s="155" t="n">
        <f aca="false">B56/$B$47</f>
        <v>97318.7813526937</v>
      </c>
      <c r="D56" s="381" t="n">
        <f aca="false">C56/$B$54</f>
        <v>17.0734704127533</v>
      </c>
      <c r="E56" s="382" t="n">
        <f aca="false">B56*$B$6/10^9</f>
        <v>901.164295653124</v>
      </c>
      <c r="F56" s="383" t="n">
        <f aca="false">C56*$B$48/10^6</f>
        <v>252.250281266182</v>
      </c>
      <c r="G56" s="384" t="n">
        <f aca="false">B56*'3b. Outputs - Ship Piggyback'!$B$44/10^9</f>
        <v>0.80871440173938</v>
      </c>
      <c r="H56" s="383" t="n">
        <f aca="false">B56*'2. Cost Inputs'!$B$24/10^9</f>
        <v>1261.25140633091</v>
      </c>
      <c r="I56" s="385" t="n">
        <f aca="false">$B$5*$B$54*$B$47/B56</f>
        <v>0.0585704005000082</v>
      </c>
      <c r="J56" s="386" t="n">
        <f aca="false">(B38/10^9/$B$5)/'6a. Cooling Model - Global'!$B$47</f>
        <v>58.6011128879781</v>
      </c>
    </row>
    <row r="57" customFormat="false" ht="15" hidden="false" customHeight="true" outlineLevel="0" collapsed="false">
      <c r="A57" s="156" t="s">
        <v>847</v>
      </c>
      <c r="B57" s="155" t="n">
        <f aca="false">'6a. Cooling Model - Global'!I35</f>
        <v>32615168.7785079</v>
      </c>
      <c r="C57" s="155" t="n">
        <f aca="false">B57/$B$47</f>
        <v>76339.8823784604</v>
      </c>
      <c r="D57" s="381" t="n">
        <f aca="false">C57/$B$54</f>
        <v>13.3929618207825</v>
      </c>
      <c r="E57" s="382" t="n">
        <f aca="false">B57*$B$6/10^9</f>
        <v>706.901333715923</v>
      </c>
      <c r="F57" s="383" t="n">
        <f aca="false">C57*$B$48/10^6</f>
        <v>197.872975124969</v>
      </c>
      <c r="G57" s="384" t="n">
        <f aca="false">B57*'3b. Outputs - Ship Piggyback'!$B$44/10^9</f>
        <v>0.634380758250651</v>
      </c>
      <c r="H57" s="383" t="n">
        <f aca="false">B57*'2. Cost Inputs'!$B$24/10^9</f>
        <v>989.364875624846</v>
      </c>
      <c r="I57" s="385" t="n">
        <f aca="false">$B$5*$B$54*$B$47/B57</f>
        <v>0.0746660830801631</v>
      </c>
      <c r="J57" s="386" t="n">
        <f aca="false">(B39/10^9/$B$5)/'6a. Cooling Model - Global'!$B$47</f>
        <v>45.9685376546415</v>
      </c>
    </row>
    <row r="58" customFormat="false" ht="15" hidden="false" customHeight="true" outlineLevel="0" collapsed="false">
      <c r="A58" s="156" t="s">
        <v>951</v>
      </c>
      <c r="B58" s="155" t="n">
        <f aca="false">'6a. Cooling Model - Global'!I36</f>
        <v>215429656.524981</v>
      </c>
      <c r="C58" s="155" t="n">
        <f aca="false">B58/$B$47</f>
        <v>504240.059330502</v>
      </c>
      <c r="D58" s="381" t="n">
        <f aca="false">C58/$B$54</f>
        <v>88.4631683035969</v>
      </c>
      <c r="E58" s="382" t="n">
        <f aca="false">B58*$B$6/10^9</f>
        <v>4669.22346941292</v>
      </c>
      <c r="F58" s="383" t="n">
        <f aca="false">C58*$B$48/10^6</f>
        <v>1306.99023378466</v>
      </c>
      <c r="G58" s="384" t="n">
        <f aca="false">B58*'3b. Outputs - Ship Piggyback'!$B$44/10^9</f>
        <v>4.19021068951363</v>
      </c>
      <c r="H58" s="383" t="n">
        <f aca="false">B58*'2. Cost Inputs'!$B$24/10^9</f>
        <v>6534.95116892331</v>
      </c>
      <c r="I58" s="385" t="n">
        <f aca="false">$B$5*$B$54*$B$47/B58</f>
        <v>0.0113041395552113</v>
      </c>
      <c r="J58" s="386" t="n">
        <f aca="false">(B40/10^9/$B$5)/'6a. Cooling Model - Global'!$B$47</f>
        <v>303.631305578917</v>
      </c>
    </row>
    <row r="59" customFormat="false" ht="15" hidden="false" customHeight="true" outlineLevel="0" collapsed="false">
      <c r="A59" s="156" t="s">
        <v>990</v>
      </c>
      <c r="B59" s="155" t="n">
        <f aca="false">'6a. Cooling Model - Global'!I37</f>
        <v>1076675665.96245</v>
      </c>
      <c r="C59" s="155" t="n">
        <f aca="false">B59/$B$47</f>
        <v>2520094.0782341</v>
      </c>
      <c r="D59" s="381" t="n">
        <f aca="false">C59/$B$54</f>
        <v>442.121768111246</v>
      </c>
      <c r="E59" s="382" t="n">
        <f aca="false">B59*$B$6/10^9</f>
        <v>23335.8738511226</v>
      </c>
      <c r="F59" s="383" t="n">
        <f aca="false">C59*$B$48/10^6</f>
        <v>6532.08385078279</v>
      </c>
      <c r="G59" s="384" t="n">
        <f aca="false">B59*'3b. Outputs - Ship Piggyback'!$B$44/10^9</f>
        <v>20.9418608256096</v>
      </c>
      <c r="H59" s="383" t="n">
        <f aca="false">B59*'2. Cost Inputs'!$B$24/10^9</f>
        <v>32660.4192539139</v>
      </c>
      <c r="I59" s="385" t="n">
        <f aca="false">$B$5*$B$54*$B$47/B59</f>
        <v>0.00226182032219771</v>
      </c>
      <c r="J59" s="386" t="n">
        <f aca="false">(B41/10^9/$B$5)/'6a. Cooling Model - Global'!$B$47</f>
        <v>1517.49041155491</v>
      </c>
    </row>
    <row r="60" customFormat="false" ht="43.25" hidden="false" customHeight="false" outlineLevel="0" collapsed="false">
      <c r="A60" s="87" t="s">
        <v>991</v>
      </c>
    </row>
    <row r="61" customFormat="false" ht="15" hidden="false" customHeight="true" outlineLevel="0" collapsed="false">
      <c r="A61" s="362" t="s">
        <v>992</v>
      </c>
      <c r="B61" s="362"/>
      <c r="C61" s="362"/>
      <c r="D61" s="362"/>
      <c r="E61" s="362"/>
      <c r="F61" s="362"/>
      <c r="G61" s="362"/>
    </row>
    <row r="62" customFormat="false" ht="36" hidden="false" customHeight="true" outlineLevel="0" collapsed="false">
      <c r="A62" s="164" t="s">
        <v>993</v>
      </c>
      <c r="B62" s="164"/>
      <c r="C62" s="164"/>
      <c r="D62" s="164"/>
      <c r="E62" s="164"/>
      <c r="F62" s="164"/>
      <c r="G62" s="164"/>
    </row>
    <row r="63" customFormat="false" ht="15" hidden="false" customHeight="true" outlineLevel="0" collapsed="false">
      <c r="A63" s="76"/>
      <c r="B63" s="76"/>
      <c r="C63" s="76"/>
      <c r="D63" s="76"/>
      <c r="E63" s="76"/>
      <c r="F63" s="76"/>
      <c r="G63" s="76"/>
    </row>
    <row r="64" customFormat="false" ht="15" hidden="false" customHeight="true" outlineLevel="0" collapsed="false">
      <c r="A64" s="156"/>
      <c r="B64" s="155"/>
      <c r="C64" s="153"/>
      <c r="D64" s="153"/>
      <c r="E64" s="155"/>
      <c r="F64" s="155"/>
      <c r="G64" s="152"/>
    </row>
    <row r="65" customFormat="false" ht="15" hidden="false" customHeight="true" outlineLevel="0" collapsed="false">
      <c r="A65" s="156"/>
      <c r="B65" s="155"/>
      <c r="C65" s="153"/>
      <c r="D65" s="153"/>
      <c r="E65" s="155"/>
      <c r="F65" s="155"/>
      <c r="G65" s="152"/>
    </row>
    <row r="66" customFormat="false" ht="15" hidden="false" customHeight="true" outlineLevel="0" collapsed="false">
      <c r="A66" s="156"/>
      <c r="B66" s="155"/>
      <c r="C66" s="153"/>
      <c r="D66" s="153"/>
      <c r="E66" s="155"/>
      <c r="F66" s="155"/>
      <c r="G66" s="152"/>
    </row>
    <row r="67" customFormat="false" ht="36" hidden="false" customHeight="true" outlineLevel="0" collapsed="false">
      <c r="A67" s="164"/>
      <c r="B67" s="164"/>
      <c r="C67" s="164"/>
      <c r="D67" s="164"/>
      <c r="E67" s="164"/>
      <c r="F67" s="164"/>
      <c r="G67" s="164"/>
    </row>
  </sheetData>
  <mergeCells count="29">
    <mergeCell ref="A1:G1"/>
    <mergeCell ref="A2:G2"/>
    <mergeCell ref="A4:G4"/>
    <mergeCell ref="D6:F6"/>
    <mergeCell ref="D7:F7"/>
    <mergeCell ref="D8:F8"/>
    <mergeCell ref="D9:F9"/>
    <mergeCell ref="D10:F10"/>
    <mergeCell ref="D11:F11"/>
    <mergeCell ref="D12:F12"/>
    <mergeCell ref="D14:F14"/>
    <mergeCell ref="D15:F15"/>
    <mergeCell ref="A23:G23"/>
    <mergeCell ref="A24:G24"/>
    <mergeCell ref="E29:H29"/>
    <mergeCell ref="E30:H30"/>
    <mergeCell ref="E31:H31"/>
    <mergeCell ref="A32:G32"/>
    <mergeCell ref="A34:G34"/>
    <mergeCell ref="A35:G35"/>
    <mergeCell ref="A42:G42"/>
    <mergeCell ref="A44:G44"/>
    <mergeCell ref="A45:G45"/>
    <mergeCell ref="A49:G49"/>
    <mergeCell ref="A51:G51"/>
    <mergeCell ref="A53:G53"/>
    <mergeCell ref="A61:G61"/>
    <mergeCell ref="A62:G62"/>
    <mergeCell ref="A67:G6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13" activeCellId="0" sqref="B13"/>
    </sheetView>
  </sheetViews>
  <sheetFormatPr defaultColWidth="8.66796875" defaultRowHeight="15" customHeight="false" zeroHeight="false" outlineLevelRow="0" outlineLevelCol="0"/>
  <cols>
    <col collapsed="false" customWidth="true" hidden="false" outlineLevel="0" max="1" min="1" style="0" width="24"/>
    <col collapsed="false" customWidth="true" hidden="false" outlineLevel="0" max="2" min="2" style="0" width="72"/>
    <col collapsed="false" customWidth="true" hidden="false" outlineLevel="0" max="3" min="3" style="0" width="36"/>
    <col collapsed="false" customWidth="true" hidden="false" outlineLevel="0" max="4" min="4" style="0" width="44"/>
  </cols>
  <sheetData>
    <row r="1" customFormat="false" ht="44.25" hidden="false" customHeight="true" outlineLevel="0" collapsed="false">
      <c r="A1" s="387" t="s">
        <v>994</v>
      </c>
      <c r="B1" s="387"/>
      <c r="C1" s="387"/>
      <c r="D1" s="387"/>
    </row>
    <row r="2" customFormat="false" ht="30.75" hidden="false" customHeight="true" outlineLevel="0" collapsed="false">
      <c r="A2" s="220" t="s">
        <v>995</v>
      </c>
      <c r="B2" s="220" t="s">
        <v>996</v>
      </c>
      <c r="C2" s="220" t="s">
        <v>997</v>
      </c>
      <c r="D2" s="220" t="s">
        <v>998</v>
      </c>
    </row>
    <row r="3" customFormat="false" ht="44.25" hidden="false" customHeight="true" outlineLevel="0" collapsed="false">
      <c r="A3" s="388" t="s">
        <v>999</v>
      </c>
      <c r="B3" s="388" t="s">
        <v>1000</v>
      </c>
      <c r="C3" s="388" t="s">
        <v>1001</v>
      </c>
      <c r="D3" s="388" t="s">
        <v>1002</v>
      </c>
    </row>
    <row r="4" customFormat="false" ht="57.75" hidden="false" customHeight="true" outlineLevel="0" collapsed="false">
      <c r="A4" s="388" t="s">
        <v>1003</v>
      </c>
      <c r="B4" s="388" t="s">
        <v>1004</v>
      </c>
      <c r="C4" s="388" t="s">
        <v>1005</v>
      </c>
      <c r="D4" s="388" t="s">
        <v>1006</v>
      </c>
    </row>
    <row r="5" customFormat="false" ht="57.75" hidden="false" customHeight="true" outlineLevel="0" collapsed="false">
      <c r="A5" s="388" t="s">
        <v>1007</v>
      </c>
      <c r="B5" s="388" t="s">
        <v>1008</v>
      </c>
      <c r="C5" s="388" t="s">
        <v>1009</v>
      </c>
      <c r="D5" s="388" t="s">
        <v>1010</v>
      </c>
    </row>
    <row r="6" customFormat="false" ht="72" hidden="false" customHeight="true" outlineLevel="0" collapsed="false">
      <c r="A6" s="388" t="s">
        <v>1011</v>
      </c>
      <c r="B6" s="388" t="s">
        <v>1012</v>
      </c>
      <c r="C6" s="388" t="s">
        <v>1013</v>
      </c>
      <c r="D6" s="388" t="s">
        <v>1014</v>
      </c>
    </row>
    <row r="7" customFormat="false" ht="44.25" hidden="false" customHeight="true" outlineLevel="0" collapsed="false">
      <c r="A7" s="388" t="s">
        <v>1015</v>
      </c>
      <c r="B7" s="388" t="s">
        <v>1016</v>
      </c>
      <c r="C7" s="388" t="s">
        <v>1017</v>
      </c>
      <c r="D7" s="388" t="s">
        <v>1018</v>
      </c>
    </row>
    <row r="8" customFormat="false" ht="72" hidden="false" customHeight="true" outlineLevel="0" collapsed="false">
      <c r="A8" s="388" t="s">
        <v>1019</v>
      </c>
      <c r="B8" s="388" t="s">
        <v>1020</v>
      </c>
      <c r="C8" s="388" t="s">
        <v>1021</v>
      </c>
      <c r="D8" s="388" t="s">
        <v>1022</v>
      </c>
    </row>
    <row r="9" customFormat="false" ht="72" hidden="false" customHeight="true" outlineLevel="0" collapsed="false">
      <c r="A9" s="388" t="s">
        <v>1023</v>
      </c>
      <c r="B9" s="388" t="s">
        <v>1024</v>
      </c>
      <c r="C9" s="388" t="s">
        <v>1025</v>
      </c>
      <c r="D9" s="388" t="s">
        <v>1026</v>
      </c>
    </row>
    <row r="10" customFormat="false" ht="57.75" hidden="false" customHeight="true" outlineLevel="0" collapsed="false">
      <c r="A10" s="388" t="s">
        <v>1027</v>
      </c>
      <c r="B10" s="388" t="s">
        <v>1028</v>
      </c>
      <c r="C10" s="388" t="s">
        <v>1029</v>
      </c>
      <c r="D10" s="388" t="s">
        <v>1030</v>
      </c>
    </row>
    <row r="11" customFormat="false" ht="57.75" hidden="false" customHeight="true" outlineLevel="0" collapsed="false">
      <c r="A11" s="388" t="s">
        <v>1031</v>
      </c>
      <c r="B11" s="388" t="s">
        <v>1032</v>
      </c>
      <c r="C11" s="388" t="s">
        <v>1033</v>
      </c>
      <c r="D11" s="388" t="s">
        <v>1034</v>
      </c>
    </row>
    <row r="12" customFormat="false" ht="44.25" hidden="false" customHeight="true" outlineLevel="0" collapsed="false">
      <c r="A12" s="388" t="s">
        <v>1035</v>
      </c>
      <c r="B12" s="388" t="s">
        <v>1036</v>
      </c>
      <c r="C12" s="388" t="s">
        <v>1037</v>
      </c>
      <c r="D12" s="388" t="s">
        <v>1038</v>
      </c>
    </row>
    <row r="13" customFormat="false" ht="30" hidden="false" customHeight="true" outlineLevel="0" collapsed="false">
      <c r="A13" s="388" t="s">
        <v>1039</v>
      </c>
      <c r="B13" s="388" t="s">
        <v>1040</v>
      </c>
      <c r="C13" s="388" t="s">
        <v>1041</v>
      </c>
      <c r="D13" s="388" t="s">
        <v>1042</v>
      </c>
    </row>
    <row r="14" customFormat="false" ht="30" hidden="false" customHeight="true" outlineLevel="0" collapsed="false">
      <c r="A14" s="388" t="s">
        <v>1043</v>
      </c>
      <c r="B14" s="388" t="s">
        <v>1044</v>
      </c>
      <c r="C14" s="388" t="s">
        <v>1045</v>
      </c>
      <c r="D14" s="388" t="s">
        <v>1046</v>
      </c>
    </row>
    <row r="15" customFormat="false" ht="30" hidden="false" customHeight="true" outlineLevel="0" collapsed="false">
      <c r="A15" s="220" t="s">
        <v>1047</v>
      </c>
      <c r="B15" s="220"/>
      <c r="C15" s="220"/>
      <c r="D15" s="220"/>
    </row>
    <row r="16" customFormat="false" ht="57.75" hidden="false" customHeight="true" outlineLevel="0" collapsed="false">
      <c r="A16" s="388" t="s">
        <v>1048</v>
      </c>
      <c r="B16" s="388" t="s">
        <v>1049</v>
      </c>
      <c r="C16" s="388" t="s">
        <v>1050</v>
      </c>
      <c r="D16" s="388" t="s">
        <v>1051</v>
      </c>
    </row>
    <row r="17" customFormat="false" ht="44.25" hidden="false" customHeight="true" outlineLevel="0" collapsed="false">
      <c r="A17" s="388" t="s">
        <v>1052</v>
      </c>
      <c r="B17" s="388" t="s">
        <v>1053</v>
      </c>
      <c r="C17" s="388" t="s">
        <v>1054</v>
      </c>
      <c r="D17" s="388" t="s">
        <v>1055</v>
      </c>
    </row>
    <row r="18" customFormat="false" ht="44.25" hidden="false" customHeight="true" outlineLevel="0" collapsed="false">
      <c r="A18" s="220" t="s">
        <v>1056</v>
      </c>
      <c r="B18" s="220"/>
      <c r="C18" s="220"/>
      <c r="D18" s="220"/>
    </row>
    <row r="19" customFormat="false" ht="28.5" hidden="false" customHeight="true" outlineLevel="0" collapsed="false">
      <c r="A19" s="388" t="s">
        <v>1057</v>
      </c>
      <c r="B19" s="388" t="s">
        <v>1058</v>
      </c>
      <c r="C19" s="388" t="s">
        <v>1059</v>
      </c>
      <c r="D19" s="388" t="s">
        <v>1060</v>
      </c>
    </row>
    <row r="20" customFormat="false" ht="54" hidden="false" customHeight="true" outlineLevel="0" collapsed="false">
      <c r="A20" s="388" t="s">
        <v>1061</v>
      </c>
      <c r="B20" s="388" t="s">
        <v>1062</v>
      </c>
      <c r="C20" s="388" t="s">
        <v>1063</v>
      </c>
      <c r="D20" s="388" t="s">
        <v>1064</v>
      </c>
    </row>
    <row r="21" customFormat="false" ht="30" hidden="false" customHeight="true" outlineLevel="0" collapsed="false">
      <c r="A21" s="388" t="s">
        <v>1065</v>
      </c>
      <c r="B21" s="388" t="s">
        <v>1066</v>
      </c>
      <c r="C21" s="388" t="s">
        <v>1037</v>
      </c>
      <c r="D21" s="388" t="s">
        <v>1067</v>
      </c>
    </row>
    <row r="23" customFormat="false" ht="15" hidden="false" customHeight="false" outlineLevel="0" collapsed="false">
      <c r="A23" s="389" t="s">
        <v>1068</v>
      </c>
    </row>
    <row r="24" customFormat="false" ht="39.55" hidden="false" customHeight="false" outlineLevel="0" collapsed="false">
      <c r="A24" s="390" t="s">
        <v>1069</v>
      </c>
      <c r="B24" s="390" t="s">
        <v>1070</v>
      </c>
      <c r="C24" s="390" t="s">
        <v>1071</v>
      </c>
      <c r="D24" s="390" t="s">
        <v>1072</v>
      </c>
    </row>
    <row r="25" customFormat="false" ht="52.2" hidden="false" customHeight="false" outlineLevel="0" collapsed="false">
      <c r="A25" s="390" t="s">
        <v>1073</v>
      </c>
      <c r="B25" s="390" t="s">
        <v>1074</v>
      </c>
      <c r="C25" s="390" t="s">
        <v>1075</v>
      </c>
      <c r="D25" s="390" t="s">
        <v>1076</v>
      </c>
    </row>
    <row r="26" customFormat="false" ht="52.2" hidden="false" customHeight="false" outlineLevel="0" collapsed="false">
      <c r="A26" s="390" t="s">
        <v>1077</v>
      </c>
      <c r="B26" s="390" t="s">
        <v>1078</v>
      </c>
      <c r="C26" s="390" t="s">
        <v>1079</v>
      </c>
      <c r="D26" s="390" t="s">
        <v>1080</v>
      </c>
    </row>
    <row r="27" customFormat="false" ht="26.85" hidden="false" customHeight="false" outlineLevel="0" collapsed="false">
      <c r="A27" s="390" t="s">
        <v>1081</v>
      </c>
      <c r="B27" s="390" t="s">
        <v>1082</v>
      </c>
      <c r="C27" s="390" t="s">
        <v>1083</v>
      </c>
      <c r="D27" s="390" t="s">
        <v>1084</v>
      </c>
    </row>
    <row r="28" customFormat="false" ht="39.55" hidden="false" customHeight="false" outlineLevel="0" collapsed="false">
      <c r="A28" s="390" t="s">
        <v>1085</v>
      </c>
      <c r="B28" s="390" t="s">
        <v>1086</v>
      </c>
      <c r="C28" s="390" t="s">
        <v>1087</v>
      </c>
      <c r="D28" s="390" t="s">
        <v>1088</v>
      </c>
    </row>
    <row r="29" customFormat="false" ht="39.55" hidden="false" customHeight="false" outlineLevel="0" collapsed="false">
      <c r="A29" s="390" t="s">
        <v>1089</v>
      </c>
      <c r="B29" s="390" t="s">
        <v>1090</v>
      </c>
      <c r="C29" s="390" t="s">
        <v>1091</v>
      </c>
      <c r="D29" s="390" t="s">
        <v>1092</v>
      </c>
    </row>
    <row r="30" customFormat="false" ht="39.55" hidden="false" customHeight="false" outlineLevel="0" collapsed="false">
      <c r="A30" s="390" t="s">
        <v>1093</v>
      </c>
      <c r="B30" s="390" t="s">
        <v>1094</v>
      </c>
      <c r="C30" s="390" t="s">
        <v>1095</v>
      </c>
      <c r="D30" s="390" t="s">
        <v>1096</v>
      </c>
    </row>
    <row r="31" customFormat="false" ht="52.2" hidden="false" customHeight="false" outlineLevel="0" collapsed="false">
      <c r="A31" s="390" t="s">
        <v>1097</v>
      </c>
      <c r="B31" s="390" t="s">
        <v>1098</v>
      </c>
      <c r="C31" s="390" t="s">
        <v>1099</v>
      </c>
      <c r="D31" s="390" t="s">
        <v>1100</v>
      </c>
    </row>
    <row r="32" customFormat="false" ht="26.85" hidden="false" customHeight="false" outlineLevel="0" collapsed="false">
      <c r="A32" s="390" t="s">
        <v>1101</v>
      </c>
      <c r="B32" s="390" t="s">
        <v>1102</v>
      </c>
      <c r="C32" s="390" t="s">
        <v>1103</v>
      </c>
      <c r="D32" s="390" t="s">
        <v>1104</v>
      </c>
    </row>
    <row r="33" customFormat="false" ht="39.55" hidden="false" customHeight="false" outlineLevel="0" collapsed="false">
      <c r="A33" s="390" t="s">
        <v>1105</v>
      </c>
      <c r="B33" s="390" t="s">
        <v>1106</v>
      </c>
      <c r="C33" s="390" t="s">
        <v>1107</v>
      </c>
      <c r="D33" s="390" t="s">
        <v>1108</v>
      </c>
    </row>
    <row r="34" customFormat="false" ht="39.55" hidden="false" customHeight="false" outlineLevel="0" collapsed="false">
      <c r="A34" s="390" t="s">
        <v>1109</v>
      </c>
      <c r="B34" s="390" t="s">
        <v>1110</v>
      </c>
      <c r="C34" s="390" t="s">
        <v>1111</v>
      </c>
      <c r="D34" s="390" t="s">
        <v>1112</v>
      </c>
    </row>
    <row r="35" customFormat="false" ht="39.55" hidden="false" customHeight="false" outlineLevel="0" collapsed="false">
      <c r="A35" s="390" t="s">
        <v>1113</v>
      </c>
      <c r="B35" s="390" t="s">
        <v>1114</v>
      </c>
      <c r="C35" s="390" t="s">
        <v>1115</v>
      </c>
      <c r="D35" s="390" t="s">
        <v>1116</v>
      </c>
    </row>
    <row r="36" customFormat="false" ht="26.85" hidden="false" customHeight="false" outlineLevel="0" collapsed="false">
      <c r="A36" s="390" t="s">
        <v>1117</v>
      </c>
      <c r="B36" s="390" t="s">
        <v>1118</v>
      </c>
      <c r="C36" s="390" t="s">
        <v>1119</v>
      </c>
      <c r="D36" s="390" t="s">
        <v>1120</v>
      </c>
    </row>
    <row r="37" customFormat="false" ht="64.9" hidden="false" customHeight="false" outlineLevel="0" collapsed="false">
      <c r="A37" s="390" t="s">
        <v>1121</v>
      </c>
      <c r="B37" s="390" t="s">
        <v>1122</v>
      </c>
      <c r="C37" s="390" t="s">
        <v>1123</v>
      </c>
      <c r="D37" s="390" t="s">
        <v>1124</v>
      </c>
    </row>
    <row r="38" customFormat="false" ht="52.2" hidden="false" customHeight="false" outlineLevel="0" collapsed="false">
      <c r="A38" s="390" t="s">
        <v>1125</v>
      </c>
      <c r="B38" s="390" t="s">
        <v>1126</v>
      </c>
      <c r="C38" s="390" t="s">
        <v>1127</v>
      </c>
      <c r="D38" s="390" t="s">
        <v>1128</v>
      </c>
    </row>
    <row r="39" customFormat="false" ht="39.55" hidden="false" customHeight="false" outlineLevel="0" collapsed="false">
      <c r="A39" s="390" t="s">
        <v>1129</v>
      </c>
      <c r="B39" s="390" t="s">
        <v>1130</v>
      </c>
      <c r="C39" s="390" t="s">
        <v>1131</v>
      </c>
      <c r="D39" s="390" t="s">
        <v>1132</v>
      </c>
    </row>
    <row r="40" customFormat="false" ht="39.55" hidden="false" customHeight="false" outlineLevel="0" collapsed="false">
      <c r="A40" s="390" t="s">
        <v>1133</v>
      </c>
      <c r="B40" s="390" t="s">
        <v>1134</v>
      </c>
      <c r="C40" s="390" t="s">
        <v>1135</v>
      </c>
      <c r="D40" s="390" t="s">
        <v>1136</v>
      </c>
    </row>
    <row r="41" customFormat="false" ht="26.85" hidden="false" customHeight="false" outlineLevel="0" collapsed="false">
      <c r="A41" s="390" t="s">
        <v>1137</v>
      </c>
      <c r="B41" s="390" t="s">
        <v>1138</v>
      </c>
      <c r="C41" s="390" t="s">
        <v>1139</v>
      </c>
      <c r="D41" s="390" t="s">
        <v>1140</v>
      </c>
    </row>
    <row r="42" customFormat="false" ht="26.85" hidden="false" customHeight="false" outlineLevel="0" collapsed="false">
      <c r="A42" s="390" t="s">
        <v>1141</v>
      </c>
      <c r="B42" s="390" t="s">
        <v>1142</v>
      </c>
      <c r="C42" s="390" t="s">
        <v>1143</v>
      </c>
      <c r="D42" s="390" t="s">
        <v>1144</v>
      </c>
    </row>
    <row r="43" customFormat="false" ht="39.55" hidden="false" customHeight="false" outlineLevel="0" collapsed="false">
      <c r="A43" s="390" t="s">
        <v>1145</v>
      </c>
      <c r="B43" s="390" t="s">
        <v>1146</v>
      </c>
      <c r="C43" s="390" t="s">
        <v>1147</v>
      </c>
      <c r="D43" s="390" t="s">
        <v>1148</v>
      </c>
    </row>
    <row r="44" customFormat="false" ht="39.55" hidden="false" customHeight="false" outlineLevel="0" collapsed="false">
      <c r="A44" s="390" t="s">
        <v>1149</v>
      </c>
      <c r="B44" s="390" t="s">
        <v>1150</v>
      </c>
      <c r="C44" s="390" t="s">
        <v>1151</v>
      </c>
      <c r="D44" s="390" t="s">
        <v>1152</v>
      </c>
    </row>
    <row r="45" customFormat="false" ht="52.2" hidden="false" customHeight="false" outlineLevel="0" collapsed="false">
      <c r="A45" s="390" t="s">
        <v>1153</v>
      </c>
      <c r="B45" s="390" t="s">
        <v>1154</v>
      </c>
      <c r="C45" s="390" t="s">
        <v>1155</v>
      </c>
      <c r="D45" s="390" t="s">
        <v>1156</v>
      </c>
    </row>
    <row r="46" customFormat="false" ht="39.55" hidden="false" customHeight="false" outlineLevel="0" collapsed="false">
      <c r="A46" s="390" t="s">
        <v>1157</v>
      </c>
      <c r="B46" s="390" t="s">
        <v>1158</v>
      </c>
      <c r="C46" s="390" t="s">
        <v>1159</v>
      </c>
      <c r="D46" s="390" t="s">
        <v>1160</v>
      </c>
    </row>
    <row r="47" customFormat="false" ht="26.85" hidden="false" customHeight="false" outlineLevel="0" collapsed="false">
      <c r="A47" s="390" t="s">
        <v>1161</v>
      </c>
      <c r="B47" s="390" t="s">
        <v>1162</v>
      </c>
      <c r="C47" s="390" t="s">
        <v>1163</v>
      </c>
      <c r="D47" s="390" t="s">
        <v>1164</v>
      </c>
    </row>
    <row r="48" customFormat="false" ht="39.55" hidden="false" customHeight="false" outlineLevel="0" collapsed="false">
      <c r="A48" s="390" t="s">
        <v>1165</v>
      </c>
      <c r="B48" s="390" t="s">
        <v>1166</v>
      </c>
      <c r="C48" s="390" t="s">
        <v>1167</v>
      </c>
      <c r="D48" s="390" t="s">
        <v>1168</v>
      </c>
    </row>
    <row r="49" customFormat="false" ht="52.2" hidden="false" customHeight="false" outlineLevel="0" collapsed="false">
      <c r="A49" s="390" t="s">
        <v>1169</v>
      </c>
      <c r="B49" s="390" t="s">
        <v>1170</v>
      </c>
      <c r="C49" s="390" t="s">
        <v>1171</v>
      </c>
      <c r="D49" s="390" t="s">
        <v>1172</v>
      </c>
    </row>
    <row r="50" customFormat="false" ht="52.2" hidden="false" customHeight="false" outlineLevel="0" collapsed="false">
      <c r="A50" s="390" t="s">
        <v>1173</v>
      </c>
      <c r="B50" s="390" t="s">
        <v>1174</v>
      </c>
      <c r="C50" s="390" t="s">
        <v>1175</v>
      </c>
      <c r="D50" s="390" t="s">
        <v>1176</v>
      </c>
    </row>
  </sheetData>
  <mergeCells count="1">
    <mergeCell ref="A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26.56"/>
    <col collapsed="false" customWidth="true" hidden="false" outlineLevel="0" max="3" min="2" style="0" width="9.19"/>
    <col collapsed="false" customWidth="true" hidden="false" outlineLevel="0" max="4" min="4" style="0" width="45.96"/>
    <col collapsed="false" customWidth="true" hidden="false" outlineLevel="0" max="5" min="5" style="0" width="15.32"/>
    <col collapsed="false" customWidth="true" hidden="false" outlineLevel="0" max="6" min="6" style="0" width="45.96"/>
    <col collapsed="false" customWidth="true" hidden="false" outlineLevel="0" max="7" min="7" style="0" width="15.32"/>
    <col collapsed="false" customWidth="true" hidden="false" outlineLevel="0" max="8" min="8" style="0" width="45.96"/>
    <col collapsed="false" customWidth="true" hidden="false" outlineLevel="0" max="9" min="9" style="0" width="30.65"/>
  </cols>
  <sheetData>
    <row r="1" customFormat="false" ht="13.8" hidden="false" customHeight="false" outlineLevel="0" collapsed="false">
      <c r="A1" s="391" t="s">
        <v>1177</v>
      </c>
    </row>
    <row r="2" customFormat="false" ht="292.5" hidden="false" customHeight="false" outlineLevel="0" collapsed="false">
      <c r="A2" s="392" t="s">
        <v>1178</v>
      </c>
    </row>
    <row r="4" customFormat="false" ht="13.8" hidden="false" customHeight="false" outlineLevel="0" collapsed="false">
      <c r="A4" s="391" t="s">
        <v>1179</v>
      </c>
      <c r="B4" s="391" t="s">
        <v>1180</v>
      </c>
      <c r="C4" s="391" t="s">
        <v>1181</v>
      </c>
      <c r="D4" s="391" t="s">
        <v>1182</v>
      </c>
      <c r="E4" s="391" t="s">
        <v>1183</v>
      </c>
      <c r="F4" s="391" t="s">
        <v>1184</v>
      </c>
      <c r="G4" s="391" t="s">
        <v>1185</v>
      </c>
      <c r="H4" s="391" t="s">
        <v>1186</v>
      </c>
      <c r="I4" s="391" t="s">
        <v>571</v>
      </c>
    </row>
    <row r="5" customFormat="false" ht="57.45" hidden="false" customHeight="false" outlineLevel="0" collapsed="false">
      <c r="A5" s="0" t="s">
        <v>1187</v>
      </c>
      <c r="B5" s="0" t="s">
        <v>1188</v>
      </c>
      <c r="C5" s="0" t="s">
        <v>1189</v>
      </c>
      <c r="D5" s="0" t="s">
        <v>1190</v>
      </c>
      <c r="F5" s="0" t="s">
        <v>541</v>
      </c>
      <c r="H5" s="392" t="s">
        <v>1191</v>
      </c>
    </row>
    <row r="6" customFormat="false" ht="158.2" hidden="false" customHeight="false" outlineLevel="0" collapsed="false">
      <c r="A6" s="0" t="s">
        <v>1187</v>
      </c>
      <c r="B6" s="0" t="s">
        <v>1192</v>
      </c>
      <c r="C6" s="0" t="s">
        <v>1189</v>
      </c>
      <c r="D6" s="393" t="s">
        <v>1193</v>
      </c>
      <c r="E6" s="0" t="n">
        <v>475</v>
      </c>
      <c r="F6" s="393" t="s">
        <v>1194</v>
      </c>
      <c r="G6" s="394" t="n">
        <f aca="false">'5a. Cooling Model - Local'!B16</f>
        <v>380</v>
      </c>
      <c r="H6" s="392" t="s">
        <v>1195</v>
      </c>
      <c r="I6" s="392" t="s">
        <v>1196</v>
      </c>
    </row>
    <row r="7" customFormat="false" ht="46.25" hidden="false" customHeight="false" outlineLevel="0" collapsed="false">
      <c r="A7" s="0" t="s">
        <v>1187</v>
      </c>
      <c r="B7" s="0" t="s">
        <v>1197</v>
      </c>
      <c r="C7" s="0" t="s">
        <v>1189</v>
      </c>
      <c r="D7" s="0" t="s">
        <v>1198</v>
      </c>
      <c r="F7" s="0" t="s">
        <v>543</v>
      </c>
      <c r="H7" s="392" t="s">
        <v>1199</v>
      </c>
    </row>
    <row r="8" customFormat="false" ht="23.85" hidden="false" customHeight="false" outlineLevel="0" collapsed="false">
      <c r="A8" s="0" t="s">
        <v>1187</v>
      </c>
      <c r="B8" s="0" t="s">
        <v>1200</v>
      </c>
      <c r="C8" s="0" t="s">
        <v>1189</v>
      </c>
      <c r="D8" s="0" t="s">
        <v>1201</v>
      </c>
      <c r="F8" s="0" t="s">
        <v>544</v>
      </c>
      <c r="H8" s="392" t="s">
        <v>1202</v>
      </c>
    </row>
    <row r="9" customFormat="false" ht="13.8" hidden="false" customHeight="false" outlineLevel="0" collapsed="false">
      <c r="A9" s="0" t="s">
        <v>1187</v>
      </c>
      <c r="B9" s="0" t="s">
        <v>1203</v>
      </c>
      <c r="C9" s="0" t="s">
        <v>1189</v>
      </c>
      <c r="D9" s="0" t="s">
        <v>1204</v>
      </c>
      <c r="F9" s="0" t="s">
        <v>554</v>
      </c>
      <c r="H9" s="392" t="s">
        <v>1205</v>
      </c>
    </row>
    <row r="10" customFormat="false" ht="91" hidden="false" customHeight="false" outlineLevel="0" collapsed="false">
      <c r="A10" s="0" t="s">
        <v>1187</v>
      </c>
      <c r="B10" s="0" t="s">
        <v>1206</v>
      </c>
      <c r="C10" s="0" t="s">
        <v>1189</v>
      </c>
      <c r="D10" s="393" t="s">
        <v>1207</v>
      </c>
      <c r="E10" s="0" t="n">
        <v>0.4</v>
      </c>
      <c r="F10" s="393" t="s">
        <v>1208</v>
      </c>
      <c r="G10" s="395" t="n">
        <f aca="false">'5a. Cooling Model - Local'!B20</f>
        <v>1</v>
      </c>
      <c r="H10" s="392" t="s">
        <v>1209</v>
      </c>
      <c r="I10" s="392" t="s">
        <v>1210</v>
      </c>
    </row>
    <row r="11" customFormat="false" ht="23.85" hidden="false" customHeight="false" outlineLevel="0" collapsed="false">
      <c r="A11" s="0" t="s">
        <v>1187</v>
      </c>
      <c r="B11" s="0" t="s">
        <v>1211</v>
      </c>
      <c r="C11" s="0" t="s">
        <v>1189</v>
      </c>
      <c r="D11" s="0" t="s">
        <v>1212</v>
      </c>
      <c r="F11" s="0" t="s">
        <v>555</v>
      </c>
      <c r="H11" s="392" t="s">
        <v>1213</v>
      </c>
    </row>
    <row r="12" customFormat="false" ht="13.8" hidden="false" customHeight="false" outlineLevel="0" collapsed="false">
      <c r="A12" s="0" t="s">
        <v>1187</v>
      </c>
      <c r="B12" s="0" t="s">
        <v>1214</v>
      </c>
      <c r="C12" s="0" t="s">
        <v>1189</v>
      </c>
      <c r="D12" s="0" t="s">
        <v>1215</v>
      </c>
      <c r="F12" s="0" t="s">
        <v>556</v>
      </c>
      <c r="H12" s="392" t="s">
        <v>1216</v>
      </c>
    </row>
    <row r="13" customFormat="false" ht="23.85" hidden="false" customHeight="false" outlineLevel="0" collapsed="false">
      <c r="A13" s="0" t="s">
        <v>1187</v>
      </c>
      <c r="B13" s="0" t="s">
        <v>1217</v>
      </c>
      <c r="C13" s="0" t="s">
        <v>1189</v>
      </c>
      <c r="D13" s="0" t="s">
        <v>1218</v>
      </c>
      <c r="F13" s="0" t="s">
        <v>561</v>
      </c>
      <c r="H13" s="392" t="s">
        <v>1219</v>
      </c>
    </row>
    <row r="14" customFormat="false" ht="57.45" hidden="false" customHeight="false" outlineLevel="0" collapsed="false">
      <c r="A14" s="0" t="s">
        <v>1187</v>
      </c>
      <c r="B14" s="0" t="s">
        <v>1220</v>
      </c>
      <c r="C14" s="0" t="s">
        <v>1221</v>
      </c>
      <c r="D14" s="0" t="s">
        <v>1222</v>
      </c>
      <c r="F14" s="0" t="s">
        <v>532</v>
      </c>
      <c r="H14" s="392" t="s">
        <v>1223</v>
      </c>
    </row>
    <row r="15" customFormat="false" ht="124.6" hidden="false" customHeight="false" outlineLevel="0" collapsed="false">
      <c r="A15" s="0" t="s">
        <v>1187</v>
      </c>
      <c r="B15" s="0" t="s">
        <v>1224</v>
      </c>
      <c r="C15" s="0" t="s">
        <v>1221</v>
      </c>
      <c r="D15" s="0" t="s">
        <v>1225</v>
      </c>
      <c r="F15" s="0" t="s">
        <v>547</v>
      </c>
      <c r="H15" s="392" t="s">
        <v>1226</v>
      </c>
      <c r="I15" s="392" t="s">
        <v>1227</v>
      </c>
    </row>
    <row r="16" customFormat="false" ht="79.85" hidden="false" customHeight="false" outlineLevel="0" collapsed="false">
      <c r="A16" s="0" t="s">
        <v>1187</v>
      </c>
      <c r="B16" s="0" t="s">
        <v>1228</v>
      </c>
      <c r="C16" s="0" t="s">
        <v>1229</v>
      </c>
      <c r="D16" s="0" t="s">
        <v>1230</v>
      </c>
      <c r="F16" s="0" t="s">
        <v>551</v>
      </c>
      <c r="H16" s="392" t="s">
        <v>1231</v>
      </c>
      <c r="I16" s="392" t="s">
        <v>1232</v>
      </c>
    </row>
    <row r="17" customFormat="false" ht="79.85" hidden="false" customHeight="false" outlineLevel="0" collapsed="false">
      <c r="A17" s="0" t="s">
        <v>1233</v>
      </c>
      <c r="B17" s="0" t="s">
        <v>1234</v>
      </c>
      <c r="C17" s="0" t="s">
        <v>1189</v>
      </c>
      <c r="D17" s="393" t="s">
        <v>1235</v>
      </c>
      <c r="E17" s="0" t="n">
        <v>400</v>
      </c>
      <c r="F17" s="393" t="s">
        <v>1236</v>
      </c>
      <c r="G17" s="394" t="n">
        <f aca="false">'5b. Cooling-Value Sensitivity'!B12</f>
        <v>340</v>
      </c>
      <c r="H17" s="392" t="s">
        <v>1237</v>
      </c>
    </row>
    <row r="18" customFormat="false" ht="57.45" hidden="false" customHeight="false" outlineLevel="0" collapsed="false">
      <c r="A18" s="0" t="s">
        <v>1233</v>
      </c>
      <c r="B18" s="0" t="s">
        <v>1238</v>
      </c>
      <c r="C18" s="0" t="s">
        <v>1189</v>
      </c>
      <c r="D18" s="393" t="s">
        <v>1239</v>
      </c>
      <c r="E18" s="0" t="n">
        <v>550</v>
      </c>
      <c r="F18" s="393" t="s">
        <v>1240</v>
      </c>
      <c r="G18" s="394" t="n">
        <f aca="false">'5b. Cooling-Value Sensitivity'!D12</f>
        <v>420</v>
      </c>
      <c r="H18" s="392" t="s">
        <v>1241</v>
      </c>
    </row>
    <row r="19" customFormat="false" ht="13.8" hidden="false" customHeight="false" outlineLevel="0" collapsed="false">
      <c r="A19" s="0" t="s">
        <v>1233</v>
      </c>
      <c r="B19" s="0" t="s">
        <v>1242</v>
      </c>
      <c r="C19" s="0" t="s">
        <v>1189</v>
      </c>
      <c r="D19" s="0" t="s">
        <v>1243</v>
      </c>
      <c r="F19" s="0" t="s">
        <v>599</v>
      </c>
      <c r="H19" s="392" t="s">
        <v>1244</v>
      </c>
    </row>
    <row r="20" customFormat="false" ht="79.85" hidden="false" customHeight="false" outlineLevel="0" collapsed="false">
      <c r="A20" s="0" t="s">
        <v>1233</v>
      </c>
      <c r="B20" s="0" t="s">
        <v>1245</v>
      </c>
      <c r="C20" s="0" t="s">
        <v>1246</v>
      </c>
      <c r="D20" s="393" t="s">
        <v>1247</v>
      </c>
      <c r="E20" s="0" t="n">
        <v>2</v>
      </c>
      <c r="F20" s="393" t="s">
        <v>1248</v>
      </c>
      <c r="G20" s="394" t="n">
        <f aca="false">'5b. Cooling-Value Sensitivity'!B13</f>
        <v>1.14</v>
      </c>
      <c r="H20" s="392" t="s">
        <v>1249</v>
      </c>
      <c r="I20" s="392" t="s">
        <v>1232</v>
      </c>
    </row>
    <row r="21" customFormat="false" ht="79.85" hidden="false" customHeight="false" outlineLevel="0" collapsed="false">
      <c r="A21" s="0" t="s">
        <v>1233</v>
      </c>
      <c r="B21" s="0" t="s">
        <v>1250</v>
      </c>
      <c r="C21" s="0" t="s">
        <v>1246</v>
      </c>
      <c r="D21" s="393" t="s">
        <v>1251</v>
      </c>
      <c r="E21" s="0" t="n">
        <v>4</v>
      </c>
      <c r="F21" s="393" t="s">
        <v>1252</v>
      </c>
      <c r="G21" s="394" t="n">
        <f aca="false">'5b. Cooling-Value Sensitivity'!D13</f>
        <v>1.73</v>
      </c>
      <c r="H21" s="392" t="s">
        <v>1253</v>
      </c>
      <c r="I21" s="392" t="s">
        <v>1232</v>
      </c>
    </row>
    <row r="22" customFormat="false" ht="102.2" hidden="false" customHeight="false" outlineLevel="0" collapsed="false">
      <c r="A22" s="0" t="s">
        <v>1233</v>
      </c>
      <c r="B22" s="0" t="s">
        <v>1254</v>
      </c>
      <c r="C22" s="0" t="s">
        <v>1246</v>
      </c>
      <c r="D22" s="393" t="s">
        <v>1255</v>
      </c>
      <c r="E22" s="0" t="n">
        <v>1.30540508095505</v>
      </c>
      <c r="F22" s="393" t="s">
        <v>1256</v>
      </c>
      <c r="G22" s="209" t="n">
        <f aca="false">'5b. Cooling-Value Sensitivity'!E13</f>
        <v>1.61132284062067</v>
      </c>
      <c r="H22" s="392" t="s">
        <v>1257</v>
      </c>
    </row>
    <row r="23" customFormat="false" ht="46.25" hidden="false" customHeight="false" outlineLevel="0" collapsed="false">
      <c r="A23" s="0" t="s">
        <v>1233</v>
      </c>
      <c r="B23" s="0" t="s">
        <v>1258</v>
      </c>
      <c r="C23" s="0" t="s">
        <v>1246</v>
      </c>
      <c r="D23" s="393" t="s">
        <v>1259</v>
      </c>
      <c r="E23" s="0" t="n">
        <v>0.652702540477523</v>
      </c>
      <c r="F23" s="393" t="s">
        <v>1260</v>
      </c>
      <c r="G23" s="209" t="n">
        <f aca="false">'5b. Cooling-Value Sensitivity'!G13</f>
        <v>2.0084711806318</v>
      </c>
      <c r="H23" s="392" t="s">
        <v>1261</v>
      </c>
    </row>
    <row r="24" customFormat="false" ht="13.8" hidden="false" customHeight="false" outlineLevel="0" collapsed="false">
      <c r="A24" s="0" t="s">
        <v>1233</v>
      </c>
      <c r="B24" s="0" t="s">
        <v>1262</v>
      </c>
      <c r="C24" s="0" t="s">
        <v>1246</v>
      </c>
      <c r="D24" s="0" t="s">
        <v>1263</v>
      </c>
      <c r="F24" s="0" t="s">
        <v>601</v>
      </c>
      <c r="H24" s="392" t="s">
        <v>1244</v>
      </c>
    </row>
    <row r="25" customFormat="false" ht="214.15" hidden="false" customHeight="false" outlineLevel="0" collapsed="false">
      <c r="A25" s="0" t="s">
        <v>1264</v>
      </c>
      <c r="B25" s="0" t="s">
        <v>1245</v>
      </c>
      <c r="C25" s="0" t="s">
        <v>1265</v>
      </c>
      <c r="D25" s="393" t="s">
        <v>1266</v>
      </c>
      <c r="E25" s="0" t="n">
        <v>163.721314161829</v>
      </c>
      <c r="F25" s="393" t="s">
        <v>1267</v>
      </c>
      <c r="G25" s="103" t="n">
        <f aca="false">'5c. Benefit - Local - Reef'!B13</f>
        <v>425.777742642106</v>
      </c>
      <c r="H25" s="392" t="s">
        <v>1268</v>
      </c>
    </row>
    <row r="26" customFormat="false" ht="13.8" hidden="false" customHeight="false" outlineLevel="0" collapsed="false">
      <c r="A26" s="0" t="s">
        <v>1264</v>
      </c>
      <c r="B26" s="0" t="s">
        <v>1250</v>
      </c>
      <c r="C26" s="0" t="s">
        <v>1265</v>
      </c>
      <c r="D26" s="0" t="s">
        <v>1269</v>
      </c>
      <c r="F26" s="0" t="s">
        <v>634</v>
      </c>
      <c r="H26" s="392" t="s">
        <v>1244</v>
      </c>
    </row>
    <row r="27" customFormat="false" ht="124.6" hidden="false" customHeight="false" outlineLevel="0" collapsed="false">
      <c r="A27" s="0" t="s">
        <v>1264</v>
      </c>
      <c r="B27" s="0" t="s">
        <v>1270</v>
      </c>
      <c r="C27" s="0" t="s">
        <v>1271</v>
      </c>
      <c r="D27" s="0" t="s">
        <v>1272</v>
      </c>
      <c r="F27" s="0" t="s">
        <v>661</v>
      </c>
      <c r="H27" s="392" t="s">
        <v>1273</v>
      </c>
      <c r="I27" s="392" t="s">
        <v>1274</v>
      </c>
    </row>
    <row r="28" customFormat="false" ht="113.4" hidden="false" customHeight="false" outlineLevel="0" collapsed="false">
      <c r="A28" s="0" t="s">
        <v>1264</v>
      </c>
      <c r="B28" s="0" t="s">
        <v>1275</v>
      </c>
      <c r="C28" s="0" t="s">
        <v>1276</v>
      </c>
      <c r="D28" s="0" t="s">
        <v>1277</v>
      </c>
      <c r="F28" s="0" t="s">
        <v>676</v>
      </c>
      <c r="H28" s="392" t="s">
        <v>1278</v>
      </c>
      <c r="I28" s="392" t="s">
        <v>1279</v>
      </c>
    </row>
    <row r="29" customFormat="false" ht="13.8" hidden="false" customHeight="false" outlineLevel="0" collapsed="false">
      <c r="A29" s="0" t="s">
        <v>1280</v>
      </c>
      <c r="B29" s="0" t="s">
        <v>1281</v>
      </c>
      <c r="C29" s="0" t="s">
        <v>1282</v>
      </c>
      <c r="D29" s="0" t="s">
        <v>1283</v>
      </c>
      <c r="F29" s="0" t="s">
        <v>765</v>
      </c>
      <c r="H29" s="392" t="s">
        <v>1205</v>
      </c>
    </row>
    <row r="30" customFormat="false" ht="124.6" hidden="false" customHeight="false" outlineLevel="0" collapsed="false">
      <c r="A30" s="0" t="s">
        <v>1280</v>
      </c>
      <c r="B30" s="0" t="s">
        <v>1284</v>
      </c>
      <c r="C30" s="0" t="s">
        <v>1282</v>
      </c>
      <c r="D30" s="393" t="s">
        <v>1285</v>
      </c>
      <c r="E30" s="0" t="n">
        <v>0.8</v>
      </c>
      <c r="F30" s="393" t="s">
        <v>1286</v>
      </c>
      <c r="G30" s="394" t="n">
        <f aca="false">'5d. Benefit - Local - City'!B8</f>
        <v>0.179457156895764</v>
      </c>
      <c r="H30" s="392" t="s">
        <v>1287</v>
      </c>
      <c r="I30" s="392" t="s">
        <v>1288</v>
      </c>
    </row>
    <row r="31" customFormat="false" ht="13.8" hidden="false" customHeight="false" outlineLevel="0" collapsed="false">
      <c r="A31" s="0" t="s">
        <v>1280</v>
      </c>
      <c r="B31" s="0" t="s">
        <v>1289</v>
      </c>
      <c r="C31" s="0" t="s">
        <v>1282</v>
      </c>
      <c r="D31" s="0" t="s">
        <v>1290</v>
      </c>
      <c r="F31" s="0" t="s">
        <v>767</v>
      </c>
      <c r="H31" s="392" t="s">
        <v>1244</v>
      </c>
    </row>
    <row r="32" customFormat="false" ht="13.8" hidden="false" customHeight="false" outlineLevel="0" collapsed="false">
      <c r="A32" s="0" t="s">
        <v>1280</v>
      </c>
      <c r="B32" s="0" t="s">
        <v>1291</v>
      </c>
      <c r="C32" s="0" t="s">
        <v>1282</v>
      </c>
      <c r="D32" s="0" t="s">
        <v>1292</v>
      </c>
      <c r="F32" s="0" t="s">
        <v>768</v>
      </c>
      <c r="H32" s="392" t="s">
        <v>1216</v>
      </c>
    </row>
    <row r="33" customFormat="false" ht="68.65" hidden="false" customHeight="false" outlineLevel="0" collapsed="false">
      <c r="A33" s="0" t="s">
        <v>1280</v>
      </c>
      <c r="B33" s="0" t="s">
        <v>1293</v>
      </c>
      <c r="C33" s="0" t="s">
        <v>1294</v>
      </c>
      <c r="D33" s="0" t="s">
        <v>1295</v>
      </c>
      <c r="F33" s="0" t="s">
        <v>771</v>
      </c>
      <c r="H33" s="392" t="s">
        <v>1296</v>
      </c>
      <c r="I33" s="392" t="s">
        <v>1297</v>
      </c>
    </row>
    <row r="34" customFormat="false" ht="57.45" hidden="false" customHeight="false" outlineLevel="0" collapsed="false">
      <c r="A34" s="0" t="s">
        <v>1280</v>
      </c>
      <c r="B34" s="0" t="s">
        <v>1234</v>
      </c>
      <c r="C34" s="0" t="s">
        <v>1265</v>
      </c>
      <c r="D34" s="393" t="s">
        <v>1298</v>
      </c>
      <c r="E34" s="0" t="n">
        <v>15.1794595911629</v>
      </c>
      <c r="F34" s="393" t="s">
        <v>1299</v>
      </c>
      <c r="G34" s="161" t="n">
        <f aca="false">'5d. Benefit - Local - City'!B12</f>
        <v>39.4760820992681</v>
      </c>
      <c r="H34" s="392" t="s">
        <v>1300</v>
      </c>
    </row>
    <row r="35" customFormat="false" ht="13.8" hidden="false" customHeight="false" outlineLevel="0" collapsed="false">
      <c r="A35" s="0" t="s">
        <v>1280</v>
      </c>
      <c r="B35" s="0" t="s">
        <v>1238</v>
      </c>
      <c r="C35" s="0" t="s">
        <v>1265</v>
      </c>
      <c r="D35" s="0" t="s">
        <v>1301</v>
      </c>
      <c r="F35" s="0" t="s">
        <v>775</v>
      </c>
      <c r="H35" s="392" t="s">
        <v>1244</v>
      </c>
    </row>
    <row r="36" customFormat="false" ht="68.65" hidden="false" customHeight="false" outlineLevel="0" collapsed="false">
      <c r="A36" s="0" t="s">
        <v>1280</v>
      </c>
      <c r="B36" s="0" t="s">
        <v>1245</v>
      </c>
      <c r="C36" s="0" t="s">
        <v>1282</v>
      </c>
      <c r="D36" s="393" t="s">
        <v>1302</v>
      </c>
      <c r="E36" s="0" t="n">
        <v>0.105613425925926</v>
      </c>
      <c r="F36" s="393" t="s">
        <v>1303</v>
      </c>
      <c r="G36" s="396" t="n">
        <f aca="false">'5d. Benefit - Local - City'!B13</f>
        <v>1</v>
      </c>
      <c r="H36" s="392" t="s">
        <v>1304</v>
      </c>
    </row>
    <row r="37" customFormat="false" ht="13.8" hidden="false" customHeight="false" outlineLevel="0" collapsed="false">
      <c r="A37" s="0" t="s">
        <v>1280</v>
      </c>
      <c r="B37" s="0" t="s">
        <v>1250</v>
      </c>
      <c r="C37" s="0" t="s">
        <v>1282</v>
      </c>
      <c r="D37" s="0" t="s">
        <v>1305</v>
      </c>
      <c r="F37" s="0" t="s">
        <v>777</v>
      </c>
      <c r="H37" s="392" t="s">
        <v>1244</v>
      </c>
    </row>
    <row r="38" customFormat="false" ht="35.05" hidden="false" customHeight="false" outlineLevel="0" collapsed="false">
      <c r="A38" s="0" t="s">
        <v>1280</v>
      </c>
      <c r="B38" s="0" t="s">
        <v>1306</v>
      </c>
      <c r="C38" s="0" t="s">
        <v>1282</v>
      </c>
      <c r="D38" s="0" t="s">
        <v>798</v>
      </c>
      <c r="F38" s="0" t="s">
        <v>798</v>
      </c>
      <c r="H38" s="392" t="s">
        <v>1307</v>
      </c>
    </row>
    <row r="39" customFormat="false" ht="113.4" hidden="false" customHeight="false" outlineLevel="0" collapsed="false">
      <c r="A39" s="0" t="s">
        <v>1280</v>
      </c>
      <c r="B39" s="0" t="s">
        <v>1308</v>
      </c>
      <c r="C39" s="0" t="s">
        <v>1282</v>
      </c>
      <c r="D39" s="393" t="s">
        <v>1309</v>
      </c>
      <c r="E39" s="0" t="n">
        <v>0.352</v>
      </c>
      <c r="F39" s="393" t="s">
        <v>1310</v>
      </c>
      <c r="G39" s="397" t="n">
        <f aca="false">'5d. Benefit - Local - City'!B25</f>
        <v>0.0358914313791528</v>
      </c>
      <c r="H39" s="392" t="s">
        <v>1311</v>
      </c>
    </row>
    <row r="40" customFormat="false" ht="13.8" hidden="false" customHeight="false" outlineLevel="0" collapsed="false">
      <c r="A40" s="0" t="s">
        <v>1280</v>
      </c>
      <c r="B40" s="0" t="s">
        <v>1312</v>
      </c>
      <c r="C40" s="0" t="s">
        <v>1282</v>
      </c>
      <c r="D40" s="0" t="s">
        <v>1313</v>
      </c>
      <c r="F40" s="0" t="s">
        <v>799</v>
      </c>
      <c r="H40" s="392" t="s">
        <v>1244</v>
      </c>
    </row>
    <row r="41" customFormat="false" ht="13.8" hidden="false" customHeight="false" outlineLevel="0" collapsed="false">
      <c r="A41" s="0" t="s">
        <v>1280</v>
      </c>
      <c r="B41" s="0" t="s">
        <v>1314</v>
      </c>
      <c r="C41" s="0" t="s">
        <v>1315</v>
      </c>
      <c r="D41" s="0" t="s">
        <v>800</v>
      </c>
      <c r="F41" s="0" t="s">
        <v>800</v>
      </c>
      <c r="H41" s="392" t="s">
        <v>1205</v>
      </c>
    </row>
    <row r="42" customFormat="false" ht="91" hidden="false" customHeight="false" outlineLevel="0" collapsed="false">
      <c r="A42" s="0" t="s">
        <v>1280</v>
      </c>
      <c r="B42" s="0" t="s">
        <v>1316</v>
      </c>
      <c r="C42" s="0" t="s">
        <v>1315</v>
      </c>
      <c r="D42" s="393" t="s">
        <v>1317</v>
      </c>
      <c r="E42" s="0" t="n">
        <v>3.86477403671968</v>
      </c>
      <c r="F42" s="393" t="s">
        <v>1318</v>
      </c>
      <c r="G42" s="161" t="n">
        <f aca="false">'5d. Benefit - Local - City'!B26</f>
        <v>1.54873563283706</v>
      </c>
      <c r="H42" s="392" t="s">
        <v>1319</v>
      </c>
      <c r="I42" s="392" t="s">
        <v>1297</v>
      </c>
    </row>
    <row r="43" customFormat="false" ht="23.85" hidden="false" customHeight="false" outlineLevel="0" collapsed="false">
      <c r="A43" s="0" t="s">
        <v>1280</v>
      </c>
      <c r="B43" s="0" t="s">
        <v>1270</v>
      </c>
      <c r="C43" s="0" t="s">
        <v>1320</v>
      </c>
      <c r="D43" s="0" t="s">
        <v>1321</v>
      </c>
      <c r="F43" s="0" t="s">
        <v>801</v>
      </c>
      <c r="H43" s="392" t="s">
        <v>1322</v>
      </c>
    </row>
    <row r="44" customFormat="false" ht="113.4" hidden="false" customHeight="false" outlineLevel="0" collapsed="false">
      <c r="A44" s="0" t="s">
        <v>1280</v>
      </c>
      <c r="B44" s="0" t="s">
        <v>1323</v>
      </c>
      <c r="C44" s="0" t="s">
        <v>1315</v>
      </c>
      <c r="D44" s="0" t="s">
        <v>1324</v>
      </c>
      <c r="F44" s="0" t="s">
        <v>793</v>
      </c>
      <c r="H44" s="392" t="s">
        <v>1325</v>
      </c>
      <c r="I44" s="392" t="s">
        <v>1326</v>
      </c>
    </row>
    <row r="45" customFormat="false" ht="68.65" hidden="false" customHeight="false" outlineLevel="0" collapsed="false">
      <c r="A45" s="0" t="s">
        <v>1280</v>
      </c>
      <c r="B45" s="0" t="s">
        <v>1327</v>
      </c>
      <c r="C45" s="0" t="s">
        <v>1294</v>
      </c>
      <c r="D45" s="0" t="s">
        <v>1328</v>
      </c>
      <c r="F45" s="0" t="s">
        <v>797</v>
      </c>
      <c r="H45" s="392" t="s">
        <v>1329</v>
      </c>
      <c r="I45" s="392" t="s">
        <v>1297</v>
      </c>
    </row>
    <row r="46" customFormat="false" ht="113.4" hidden="false" customHeight="false" outlineLevel="0" collapsed="false">
      <c r="A46" s="0" t="s">
        <v>1280</v>
      </c>
      <c r="B46" s="0" t="s">
        <v>1330</v>
      </c>
      <c r="C46" s="0" t="s">
        <v>1315</v>
      </c>
      <c r="D46" s="0" t="s">
        <v>1331</v>
      </c>
      <c r="F46" s="0" t="s">
        <v>805</v>
      </c>
      <c r="H46" s="392" t="s">
        <v>1332</v>
      </c>
      <c r="I46" s="392" t="s">
        <v>1333</v>
      </c>
    </row>
    <row r="47" customFormat="false" ht="35.05" hidden="false" customHeight="false" outlineLevel="0" collapsed="false">
      <c r="A47" s="0" t="s">
        <v>1280</v>
      </c>
      <c r="B47" s="0" t="s">
        <v>1334</v>
      </c>
      <c r="C47" s="0" t="s">
        <v>1282</v>
      </c>
      <c r="D47" s="0" t="s">
        <v>1335</v>
      </c>
      <c r="F47" s="0" t="s">
        <v>809</v>
      </c>
      <c r="H47" s="392" t="s">
        <v>1336</v>
      </c>
    </row>
    <row r="48" customFormat="false" ht="57.45" hidden="false" customHeight="false" outlineLevel="0" collapsed="false">
      <c r="A48" s="0" t="s">
        <v>1280</v>
      </c>
      <c r="B48" s="0" t="s">
        <v>1337</v>
      </c>
      <c r="C48" s="0" t="s">
        <v>1294</v>
      </c>
      <c r="D48" s="0" t="s">
        <v>1338</v>
      </c>
      <c r="F48" s="0" t="s">
        <v>819</v>
      </c>
      <c r="H48" s="392" t="s">
        <v>1339</v>
      </c>
      <c r="I48" s="392" t="s">
        <v>1340</v>
      </c>
    </row>
    <row r="49" customFormat="false" ht="68.65" hidden="false" customHeight="false" outlineLevel="0" collapsed="false">
      <c r="A49" s="0" t="s">
        <v>1280</v>
      </c>
      <c r="B49" s="0" t="s">
        <v>1341</v>
      </c>
      <c r="C49" s="0" t="s">
        <v>1320</v>
      </c>
      <c r="D49" s="393" t="s">
        <v>1342</v>
      </c>
      <c r="E49" s="0" t="s">
        <v>1343</v>
      </c>
      <c r="F49" s="393" t="s">
        <v>1344</v>
      </c>
      <c r="G49" s="0" t="str">
        <f aca="false">'5d. Benefit - Local - City'!A37</f>
        <v>This profile (26.4x on the daily-mean realized dose, whole-vessel charter) compares with 1.5-15.2x for urban passive cooling (Estrada et al. 2017). The 13x geoengineering anchor is benefit vs risk, not benefit vs cost, so it is not a like-for-like comparison.</v>
      </c>
      <c r="H49" s="392" t="s">
        <v>1345</v>
      </c>
    </row>
    <row r="50" customFormat="false" ht="35.05" hidden="false" customHeight="false" outlineLevel="0" collapsed="false">
      <c r="A50" s="0" t="s">
        <v>1280</v>
      </c>
      <c r="B50" s="0" t="s">
        <v>1346</v>
      </c>
      <c r="C50" s="0" t="s">
        <v>1315</v>
      </c>
      <c r="D50" s="0" t="s">
        <v>1263</v>
      </c>
      <c r="F50" s="0" t="s">
        <v>822</v>
      </c>
      <c r="H50" s="392" t="s">
        <v>1347</v>
      </c>
    </row>
    <row r="51" customFormat="false" ht="46.25" hidden="false" customHeight="false" outlineLevel="0" collapsed="false">
      <c r="A51" s="0" t="s">
        <v>1280</v>
      </c>
      <c r="B51" s="0" t="s">
        <v>1348</v>
      </c>
      <c r="C51" s="0" t="s">
        <v>1315</v>
      </c>
      <c r="D51" s="0" t="s">
        <v>1263</v>
      </c>
      <c r="F51" s="393" t="s">
        <v>1349</v>
      </c>
      <c r="G51" s="394" t="n">
        <f aca="false">'5d. Benefit - Local - City'!B39</f>
        <v>7.55</v>
      </c>
      <c r="H51" s="392" t="s">
        <v>1350</v>
      </c>
      <c r="I51" s="392" t="s">
        <v>1351</v>
      </c>
    </row>
    <row r="52" customFormat="false" ht="13.8" hidden="false" customHeight="false" outlineLevel="0" collapsed="false">
      <c r="A52" s="0" t="s">
        <v>1280</v>
      </c>
      <c r="B52" s="0" t="s">
        <v>1352</v>
      </c>
      <c r="C52" s="0" t="s">
        <v>1315</v>
      </c>
      <c r="D52" s="0" t="s">
        <v>1263</v>
      </c>
      <c r="F52" s="0" t="s">
        <v>823</v>
      </c>
      <c r="H52" s="392" t="s">
        <v>1353</v>
      </c>
    </row>
    <row r="53" customFormat="false" ht="13.8" hidden="false" customHeight="false" outlineLevel="0" collapsed="false">
      <c r="A53" s="0" t="s">
        <v>1280</v>
      </c>
      <c r="B53" s="0" t="s">
        <v>1354</v>
      </c>
      <c r="C53" s="0" t="s">
        <v>1315</v>
      </c>
      <c r="D53" s="0" t="s">
        <v>1263</v>
      </c>
      <c r="F53" s="0" t="s">
        <v>824</v>
      </c>
      <c r="H53" s="392" t="s">
        <v>1244</v>
      </c>
    </row>
    <row r="54" customFormat="false" ht="13.8" hidden="false" customHeight="false" outlineLevel="0" collapsed="false">
      <c r="A54" s="0" t="s">
        <v>1280</v>
      </c>
      <c r="B54" s="0" t="s">
        <v>1355</v>
      </c>
      <c r="C54" s="0" t="s">
        <v>1315</v>
      </c>
      <c r="D54" s="0" t="s">
        <v>1263</v>
      </c>
      <c r="F54" s="0" t="s">
        <v>825</v>
      </c>
      <c r="H54" s="392" t="s">
        <v>1216</v>
      </c>
    </row>
    <row r="55" customFormat="false" ht="13.8" hidden="false" customHeight="false" outlineLevel="0" collapsed="false">
      <c r="A55" s="0" t="s">
        <v>1280</v>
      </c>
      <c r="B55" s="0" t="s">
        <v>1356</v>
      </c>
      <c r="C55" s="0" t="s">
        <v>1315</v>
      </c>
      <c r="D55" s="0" t="s">
        <v>1263</v>
      </c>
      <c r="F55" s="0" t="s">
        <v>826</v>
      </c>
      <c r="H55" s="392" t="s">
        <v>1357</v>
      </c>
    </row>
    <row r="56" customFormat="false" ht="91" hidden="false" customHeight="false" outlineLevel="0" collapsed="false">
      <c r="A56" s="0" t="s">
        <v>1280</v>
      </c>
      <c r="B56" s="0" t="s">
        <v>1358</v>
      </c>
      <c r="C56" s="0" t="s">
        <v>1315</v>
      </c>
      <c r="D56" s="0" t="s">
        <v>1263</v>
      </c>
      <c r="F56" s="393" t="s">
        <v>1359</v>
      </c>
      <c r="G56" s="103" t="n">
        <f aca="false">'5d. Benefit - Local - City'!B40</f>
        <v>779.178082191781</v>
      </c>
      <c r="H56" s="392" t="s">
        <v>1360</v>
      </c>
    </row>
    <row r="57" customFormat="false" ht="13.8" hidden="false" customHeight="false" outlineLevel="0" collapsed="false">
      <c r="A57" s="0" t="s">
        <v>1280</v>
      </c>
      <c r="B57" s="0" t="s">
        <v>1361</v>
      </c>
      <c r="C57" s="0" t="s">
        <v>1315</v>
      </c>
      <c r="D57" s="0" t="s">
        <v>1263</v>
      </c>
      <c r="F57" s="0" t="s">
        <v>791</v>
      </c>
      <c r="H57" s="392" t="s">
        <v>1353</v>
      </c>
    </row>
    <row r="58" customFormat="false" ht="13.8" hidden="false" customHeight="false" outlineLevel="0" collapsed="false">
      <c r="A58" s="0" t="s">
        <v>1280</v>
      </c>
      <c r="B58" s="0" t="s">
        <v>1362</v>
      </c>
      <c r="C58" s="0" t="s">
        <v>1315</v>
      </c>
      <c r="D58" s="0" t="s">
        <v>1263</v>
      </c>
      <c r="F58" s="0" t="s">
        <v>827</v>
      </c>
      <c r="H58" s="392" t="s">
        <v>1244</v>
      </c>
    </row>
    <row r="59" customFormat="false" ht="102.2" hidden="false" customHeight="false" outlineLevel="0" collapsed="false">
      <c r="A59" s="0" t="s">
        <v>1363</v>
      </c>
      <c r="B59" s="0" t="s">
        <v>1192</v>
      </c>
      <c r="C59" s="0" t="s">
        <v>1364</v>
      </c>
      <c r="D59" s="393" t="s">
        <v>1365</v>
      </c>
      <c r="E59" s="0" t="n">
        <v>90</v>
      </c>
      <c r="F59" s="393" t="s">
        <v>1366</v>
      </c>
      <c r="G59" s="396" t="n">
        <f aca="false">'6a. Cooling Model - Global'!B16</f>
        <v>94.2</v>
      </c>
      <c r="H59" s="392" t="s">
        <v>1367</v>
      </c>
      <c r="I59" s="392" t="s">
        <v>1368</v>
      </c>
    </row>
    <row r="60" customFormat="false" ht="102.2" hidden="false" customHeight="false" outlineLevel="0" collapsed="false">
      <c r="A60" s="0" t="s">
        <v>1363</v>
      </c>
      <c r="B60" s="0" t="s">
        <v>1369</v>
      </c>
      <c r="C60" s="0" t="s">
        <v>1364</v>
      </c>
      <c r="D60" s="393" t="s">
        <v>1365</v>
      </c>
      <c r="E60" s="0" t="n">
        <v>90</v>
      </c>
      <c r="F60" s="393" t="s">
        <v>1366</v>
      </c>
      <c r="G60" s="396" t="n">
        <f aca="false">'6a. Cooling Model - Global'!B17</f>
        <v>94.2</v>
      </c>
      <c r="H60" s="392" t="s">
        <v>1367</v>
      </c>
      <c r="I60" s="392" t="s">
        <v>1368</v>
      </c>
    </row>
    <row r="61" customFormat="false" ht="102.2" hidden="false" customHeight="false" outlineLevel="0" collapsed="false">
      <c r="A61" s="0" t="s">
        <v>1363</v>
      </c>
      <c r="B61" s="0" t="s">
        <v>1370</v>
      </c>
      <c r="C61" s="0" t="s">
        <v>1364</v>
      </c>
      <c r="D61" s="393" t="s">
        <v>1365</v>
      </c>
      <c r="E61" s="0" t="n">
        <v>90</v>
      </c>
      <c r="F61" s="393" t="s">
        <v>1366</v>
      </c>
      <c r="G61" s="396" t="n">
        <f aca="false">'6a. Cooling Model - Global'!B18</f>
        <v>94.2</v>
      </c>
      <c r="H61" s="392" t="s">
        <v>1367</v>
      </c>
      <c r="I61" s="392" t="s">
        <v>1368</v>
      </c>
    </row>
    <row r="62" customFormat="false" ht="91" hidden="false" customHeight="false" outlineLevel="0" collapsed="false">
      <c r="A62" s="0" t="s">
        <v>1363</v>
      </c>
      <c r="B62" s="0" t="s">
        <v>1371</v>
      </c>
      <c r="C62" s="0" t="s">
        <v>1364</v>
      </c>
      <c r="D62" s="393" t="s">
        <v>1372</v>
      </c>
      <c r="E62" s="0" t="n">
        <v>172</v>
      </c>
      <c r="F62" s="393" t="s">
        <v>1373</v>
      </c>
      <c r="G62" s="396" t="n">
        <f aca="false">'6a. Cooling Model - Global'!B19</f>
        <v>171.8</v>
      </c>
      <c r="H62" s="392" t="s">
        <v>1374</v>
      </c>
      <c r="I62" s="392" t="s">
        <v>1368</v>
      </c>
    </row>
    <row r="63" customFormat="false" ht="13.8" hidden="false" customHeight="false" outlineLevel="0" collapsed="false">
      <c r="A63" s="0" t="s">
        <v>1363</v>
      </c>
      <c r="B63" s="0" t="s">
        <v>1375</v>
      </c>
      <c r="C63" s="0" t="s">
        <v>1364</v>
      </c>
      <c r="D63" s="0" t="s">
        <v>1376</v>
      </c>
      <c r="F63" s="0" t="s">
        <v>853</v>
      </c>
      <c r="H63" s="392" t="s">
        <v>1244</v>
      </c>
    </row>
    <row r="64" customFormat="false" ht="13.8" hidden="false" customHeight="false" outlineLevel="0" collapsed="false">
      <c r="A64" s="0" t="s">
        <v>1363</v>
      </c>
      <c r="B64" s="0" t="s">
        <v>1377</v>
      </c>
      <c r="C64" s="0" t="s">
        <v>1364</v>
      </c>
      <c r="D64" s="0" t="s">
        <v>1376</v>
      </c>
      <c r="F64" s="0" t="s">
        <v>853</v>
      </c>
      <c r="H64" s="392" t="s">
        <v>1244</v>
      </c>
    </row>
    <row r="65" customFormat="false" ht="13.8" hidden="false" customHeight="false" outlineLevel="0" collapsed="false">
      <c r="A65" s="0" t="s">
        <v>1363</v>
      </c>
      <c r="B65" s="0" t="s">
        <v>1378</v>
      </c>
      <c r="C65" s="0" t="s">
        <v>1364</v>
      </c>
      <c r="D65" s="0" t="s">
        <v>1376</v>
      </c>
      <c r="F65" s="0" t="s">
        <v>853</v>
      </c>
      <c r="H65" s="392" t="s">
        <v>1244</v>
      </c>
    </row>
    <row r="66" customFormat="false" ht="13.8" hidden="false" customHeight="false" outlineLevel="0" collapsed="false">
      <c r="A66" s="0" t="s">
        <v>1363</v>
      </c>
      <c r="B66" s="0" t="s">
        <v>1379</v>
      </c>
      <c r="C66" s="0" t="s">
        <v>1364</v>
      </c>
      <c r="D66" s="0" t="s">
        <v>1376</v>
      </c>
      <c r="F66" s="0" t="s">
        <v>857</v>
      </c>
      <c r="H66" s="392" t="s">
        <v>1244</v>
      </c>
    </row>
    <row r="67" customFormat="false" ht="281.3" hidden="false" customHeight="false" outlineLevel="0" collapsed="false">
      <c r="A67" s="0" t="s">
        <v>1363</v>
      </c>
      <c r="B67" s="0" t="s">
        <v>1211</v>
      </c>
      <c r="C67" s="0" t="s">
        <v>1380</v>
      </c>
      <c r="D67" s="393" t="s">
        <v>1381</v>
      </c>
      <c r="E67" s="0" t="n">
        <v>0.71</v>
      </c>
      <c r="F67" s="393" t="s">
        <v>1382</v>
      </c>
      <c r="G67" s="398" t="n">
        <f aca="false">'6a. Cooling Model - Global'!D20</f>
        <v>0.22</v>
      </c>
      <c r="H67" s="392" t="s">
        <v>1383</v>
      </c>
      <c r="I67" s="392" t="s">
        <v>1368</v>
      </c>
    </row>
    <row r="68" customFormat="false" ht="13.8" hidden="false" customHeight="false" outlineLevel="0" collapsed="false">
      <c r="A68" s="0" t="s">
        <v>1363</v>
      </c>
      <c r="B68" s="0" t="s">
        <v>1384</v>
      </c>
      <c r="C68" s="0" t="s">
        <v>1380</v>
      </c>
      <c r="D68" s="0" t="s">
        <v>1263</v>
      </c>
      <c r="F68" s="0" t="s">
        <v>859</v>
      </c>
      <c r="H68" s="392" t="s">
        <v>1205</v>
      </c>
    </row>
    <row r="69" customFormat="false" ht="35.05" hidden="false" customHeight="false" outlineLevel="0" collapsed="false">
      <c r="A69" s="0" t="s">
        <v>1363</v>
      </c>
      <c r="B69" s="0" t="s">
        <v>1385</v>
      </c>
      <c r="C69" s="0" t="s">
        <v>1380</v>
      </c>
      <c r="D69" s="0" t="s">
        <v>1263</v>
      </c>
      <c r="F69" s="0" t="s">
        <v>860</v>
      </c>
      <c r="H69" s="392" t="s">
        <v>1386</v>
      </c>
    </row>
    <row r="70" customFormat="false" ht="68.65" hidden="false" customHeight="false" outlineLevel="0" collapsed="false">
      <c r="A70" s="0" t="s">
        <v>1363</v>
      </c>
      <c r="B70" s="0" t="s">
        <v>1387</v>
      </c>
      <c r="C70" s="0" t="s">
        <v>1388</v>
      </c>
      <c r="D70" s="0" t="s">
        <v>1389</v>
      </c>
      <c r="F70" s="0" t="s">
        <v>830</v>
      </c>
      <c r="H70" s="392" t="s">
        <v>1390</v>
      </c>
    </row>
    <row r="71" customFormat="false" ht="35.05" hidden="false" customHeight="false" outlineLevel="0" collapsed="false">
      <c r="A71" s="0" t="s">
        <v>1363</v>
      </c>
      <c r="B71" s="0" t="s">
        <v>1312</v>
      </c>
      <c r="C71" s="0" t="s">
        <v>1391</v>
      </c>
      <c r="D71" s="0" t="s">
        <v>1392</v>
      </c>
      <c r="F71" s="0" t="s">
        <v>867</v>
      </c>
      <c r="H71" s="392" t="s">
        <v>1393</v>
      </c>
    </row>
    <row r="72" customFormat="false" ht="135.8" hidden="false" customHeight="false" outlineLevel="0" collapsed="false">
      <c r="A72" s="0" t="s">
        <v>1363</v>
      </c>
      <c r="B72" s="0" t="s">
        <v>1394</v>
      </c>
      <c r="C72" s="0" t="s">
        <v>1395</v>
      </c>
      <c r="D72" s="393" t="s">
        <v>1396</v>
      </c>
      <c r="E72" s="0" t="n">
        <v>0.012</v>
      </c>
      <c r="F72" s="393" t="s">
        <v>1397</v>
      </c>
      <c r="G72" s="105" t="n">
        <f aca="false">'6a. Cooling Model - Global'!B27</f>
        <v>0.019</v>
      </c>
      <c r="H72" s="392" t="s">
        <v>1398</v>
      </c>
      <c r="I72" s="392" t="s">
        <v>1399</v>
      </c>
    </row>
    <row r="73" customFormat="false" ht="13.8" hidden="false" customHeight="false" outlineLevel="0" collapsed="false">
      <c r="A73" s="0" t="s">
        <v>1363</v>
      </c>
      <c r="B73" s="0" t="s">
        <v>1400</v>
      </c>
      <c r="C73" s="0" t="s">
        <v>1395</v>
      </c>
      <c r="D73" s="0" t="s">
        <v>1263</v>
      </c>
      <c r="F73" s="0" t="s">
        <v>870</v>
      </c>
      <c r="H73" s="392" t="s">
        <v>1244</v>
      </c>
    </row>
    <row r="74" customFormat="false" ht="68.65" hidden="false" customHeight="false" outlineLevel="0" collapsed="false">
      <c r="A74" s="0" t="s">
        <v>1363</v>
      </c>
      <c r="B74" s="0" t="s">
        <v>1401</v>
      </c>
      <c r="C74" s="0" t="s">
        <v>1402</v>
      </c>
      <c r="D74" s="393" t="s">
        <v>1403</v>
      </c>
      <c r="E74" s="0" t="n">
        <v>-0.236</v>
      </c>
      <c r="F74" s="393" t="s">
        <v>1404</v>
      </c>
      <c r="G74" s="397" t="n">
        <f aca="false">'6a. Cooling Model - Global'!E10</f>
        <v>-0.231</v>
      </c>
      <c r="H74" s="392" t="s">
        <v>1405</v>
      </c>
      <c r="I74" s="392" t="s">
        <v>1406</v>
      </c>
    </row>
    <row r="75" customFormat="false" ht="13.8" hidden="false" customHeight="false" outlineLevel="0" collapsed="false">
      <c r="A75" s="0" t="s">
        <v>1363</v>
      </c>
      <c r="B75" s="0" t="s">
        <v>1407</v>
      </c>
      <c r="C75" s="0" t="s">
        <v>1402</v>
      </c>
      <c r="D75" s="0" t="s">
        <v>1408</v>
      </c>
      <c r="F75" s="0" t="s">
        <v>846</v>
      </c>
      <c r="H75" s="392" t="s">
        <v>1244</v>
      </c>
    </row>
    <row r="76" customFormat="false" ht="46.25" hidden="false" customHeight="false" outlineLevel="0" collapsed="false">
      <c r="A76" s="0" t="s">
        <v>1363</v>
      </c>
      <c r="B76" s="0" t="s">
        <v>1409</v>
      </c>
      <c r="C76" s="0" t="s">
        <v>1402</v>
      </c>
      <c r="D76" s="393" t="s">
        <v>1410</v>
      </c>
      <c r="E76" s="0" t="n">
        <v>0.236</v>
      </c>
      <c r="F76" s="393" t="s">
        <v>1411</v>
      </c>
      <c r="G76" s="397" t="n">
        <f aca="false">'6a. Cooling Model - Global'!B34</f>
        <v>0.231</v>
      </c>
      <c r="H76" s="392" t="s">
        <v>1412</v>
      </c>
    </row>
    <row r="77" customFormat="false" ht="46.25" hidden="false" customHeight="false" outlineLevel="0" collapsed="false">
      <c r="A77" s="0" t="s">
        <v>1363</v>
      </c>
      <c r="B77" s="0" t="s">
        <v>1413</v>
      </c>
      <c r="C77" s="0" t="s">
        <v>1402</v>
      </c>
      <c r="D77" s="393" t="s">
        <v>1414</v>
      </c>
      <c r="E77" s="0" t="n">
        <v>0.0372</v>
      </c>
      <c r="F77" s="393" t="s">
        <v>1415</v>
      </c>
      <c r="G77" s="397" t="n">
        <f aca="false">'6a. Cooling Model - Global'!B36</f>
        <v>0.0372</v>
      </c>
      <c r="H77" s="392" t="s">
        <v>1416</v>
      </c>
    </row>
    <row r="78" customFormat="false" ht="46.25" hidden="false" customHeight="false" outlineLevel="0" collapsed="false">
      <c r="A78" s="0" t="s">
        <v>1363</v>
      </c>
      <c r="B78" s="0" t="s">
        <v>1417</v>
      </c>
      <c r="C78" s="0" t="s">
        <v>1402</v>
      </c>
      <c r="D78" s="393" t="s">
        <v>1418</v>
      </c>
      <c r="E78" s="0" t="n">
        <v>0.00754</v>
      </c>
      <c r="F78" s="393" t="s">
        <v>1419</v>
      </c>
      <c r="G78" s="397" t="n">
        <f aca="false">'6a. Cooling Model - Global'!B37</f>
        <v>0.00754</v>
      </c>
      <c r="H78" s="392" t="s">
        <v>1416</v>
      </c>
    </row>
    <row r="79" customFormat="false" ht="147" hidden="false" customHeight="false" outlineLevel="0" collapsed="false">
      <c r="A79" s="0" t="s">
        <v>1363</v>
      </c>
      <c r="B79" s="0" t="s">
        <v>1250</v>
      </c>
      <c r="C79" s="0" t="s">
        <v>1420</v>
      </c>
      <c r="D79" s="393" t="s">
        <v>1421</v>
      </c>
      <c r="E79" s="0" t="n">
        <v>-5.27450762829404</v>
      </c>
      <c r="F79" s="393" t="s">
        <v>1422</v>
      </c>
      <c r="G79" s="0" t="n">
        <f aca="false">'6a. Cooling Model - Global'!D13</f>
        <v>-3.68101145038168</v>
      </c>
      <c r="H79" s="392" t="s">
        <v>1423</v>
      </c>
      <c r="I79" s="392" t="s">
        <v>1424</v>
      </c>
    </row>
    <row r="80" customFormat="false" ht="13.8" hidden="false" customHeight="false" outlineLevel="0" collapsed="false">
      <c r="A80" s="0" t="s">
        <v>1363</v>
      </c>
      <c r="B80" s="0" t="s">
        <v>1258</v>
      </c>
      <c r="C80" s="0" t="s">
        <v>1425</v>
      </c>
      <c r="D80" s="0" t="s">
        <v>1426</v>
      </c>
      <c r="F80" s="0" t="s">
        <v>848</v>
      </c>
      <c r="H80" s="392" t="s">
        <v>1244</v>
      </c>
    </row>
    <row r="81" customFormat="false" ht="57.45" hidden="false" customHeight="false" outlineLevel="0" collapsed="false">
      <c r="A81" s="0" t="s">
        <v>1363</v>
      </c>
      <c r="B81" s="0" t="s">
        <v>1275</v>
      </c>
      <c r="C81" s="0" t="s">
        <v>1427</v>
      </c>
      <c r="D81" s="0" t="s">
        <v>1428</v>
      </c>
      <c r="F81" s="0" t="s">
        <v>879</v>
      </c>
      <c r="H81" s="392" t="s">
        <v>1429</v>
      </c>
    </row>
    <row r="82" customFormat="false" ht="68.65" hidden="false" customHeight="false" outlineLevel="0" collapsed="false">
      <c r="A82" s="0" t="s">
        <v>1363</v>
      </c>
      <c r="B82" s="0" t="s">
        <v>1430</v>
      </c>
      <c r="C82" s="0" t="s">
        <v>1431</v>
      </c>
      <c r="D82" s="0" t="s">
        <v>1432</v>
      </c>
      <c r="F82" s="0" t="s">
        <v>904</v>
      </c>
      <c r="H82" s="392" t="s">
        <v>1244</v>
      </c>
      <c r="I82" s="392" t="s">
        <v>1433</v>
      </c>
    </row>
    <row r="83" customFormat="false" ht="13.8" hidden="false" customHeight="false" outlineLevel="0" collapsed="false">
      <c r="A83" s="0" t="s">
        <v>1363</v>
      </c>
      <c r="B83" s="0" t="s">
        <v>1434</v>
      </c>
      <c r="C83" s="0" t="s">
        <v>1431</v>
      </c>
      <c r="D83" s="0" t="s">
        <v>1435</v>
      </c>
      <c r="F83" s="0" t="s">
        <v>905</v>
      </c>
      <c r="H83" s="392" t="s">
        <v>1205</v>
      </c>
    </row>
    <row r="84" customFormat="false" ht="158.2" hidden="false" customHeight="false" outlineLevel="0" collapsed="false">
      <c r="A84" s="0" t="s">
        <v>1363</v>
      </c>
      <c r="B84" s="0" t="s">
        <v>1436</v>
      </c>
      <c r="C84" s="0" t="s">
        <v>1431</v>
      </c>
      <c r="D84" s="393" t="s">
        <v>1437</v>
      </c>
      <c r="E84" s="0" t="n">
        <v>12</v>
      </c>
      <c r="F84" s="393" t="s">
        <v>1438</v>
      </c>
      <c r="G84" s="399" t="n">
        <f aca="false">'6a. Cooling Model - Global'!B45</f>
        <v>14</v>
      </c>
      <c r="H84" s="392" t="s">
        <v>1439</v>
      </c>
      <c r="I84" s="392" t="s">
        <v>1440</v>
      </c>
    </row>
    <row r="85" customFormat="false" ht="68.65" hidden="false" customHeight="false" outlineLevel="0" collapsed="false">
      <c r="A85" s="0" t="s">
        <v>1363</v>
      </c>
      <c r="B85" s="0" t="s">
        <v>1441</v>
      </c>
      <c r="C85" s="0" t="s">
        <v>1431</v>
      </c>
      <c r="D85" s="0" t="s">
        <v>1442</v>
      </c>
      <c r="F85" s="0" t="s">
        <v>906</v>
      </c>
      <c r="H85" s="392" t="s">
        <v>1244</v>
      </c>
      <c r="I85" s="392" t="s">
        <v>1440</v>
      </c>
    </row>
    <row r="86" customFormat="false" ht="35.05" hidden="false" customHeight="false" outlineLevel="0" collapsed="false">
      <c r="A86" s="0" t="s">
        <v>1363</v>
      </c>
      <c r="B86" s="0" t="s">
        <v>1443</v>
      </c>
      <c r="C86" s="0" t="s">
        <v>1444</v>
      </c>
      <c r="D86" s="0" t="s">
        <v>1263</v>
      </c>
      <c r="F86" s="0" t="s">
        <v>907</v>
      </c>
      <c r="H86" s="392" t="s">
        <v>1445</v>
      </c>
    </row>
    <row r="87" customFormat="false" ht="135.8" hidden="false" customHeight="false" outlineLevel="0" collapsed="false">
      <c r="A87" s="0" t="s">
        <v>1363</v>
      </c>
      <c r="B87" s="0" t="s">
        <v>1446</v>
      </c>
      <c r="C87" s="0" t="s">
        <v>1444</v>
      </c>
      <c r="D87" s="0" t="s">
        <v>1263</v>
      </c>
      <c r="F87" s="393" t="s">
        <v>1208</v>
      </c>
      <c r="G87" s="394" t="n">
        <f aca="false">'6a. Cooling Model - Global'!B46</f>
        <v>1</v>
      </c>
      <c r="H87" s="392" t="s">
        <v>1447</v>
      </c>
      <c r="I87" s="392" t="s">
        <v>1448</v>
      </c>
    </row>
    <row r="88" customFormat="false" ht="13.8" hidden="false" customHeight="false" outlineLevel="0" collapsed="false">
      <c r="A88" s="0" t="s">
        <v>1363</v>
      </c>
      <c r="B88" s="0" t="s">
        <v>1449</v>
      </c>
      <c r="C88" s="0" t="s">
        <v>1444</v>
      </c>
      <c r="D88" s="0" t="s">
        <v>1263</v>
      </c>
      <c r="F88" s="0" t="s">
        <v>103</v>
      </c>
      <c r="H88" s="392" t="s">
        <v>1353</v>
      </c>
    </row>
    <row r="89" customFormat="false" ht="13.8" hidden="false" customHeight="false" outlineLevel="0" collapsed="false">
      <c r="A89" s="0" t="s">
        <v>1363</v>
      </c>
      <c r="B89" s="0" t="s">
        <v>1450</v>
      </c>
      <c r="C89" s="0" t="s">
        <v>1444</v>
      </c>
      <c r="D89" s="0" t="s">
        <v>1263</v>
      </c>
      <c r="F89" s="0" t="s">
        <v>908</v>
      </c>
      <c r="H89" s="392" t="s">
        <v>1244</v>
      </c>
    </row>
    <row r="90" customFormat="false" ht="35.05" hidden="false" customHeight="false" outlineLevel="0" collapsed="false">
      <c r="A90" s="0" t="s">
        <v>1363</v>
      </c>
      <c r="B90" s="0" t="s">
        <v>1451</v>
      </c>
      <c r="C90" s="0" t="s">
        <v>1452</v>
      </c>
      <c r="D90" s="0" t="s">
        <v>1263</v>
      </c>
      <c r="F90" s="0" t="s">
        <v>909</v>
      </c>
      <c r="H90" s="392" t="s">
        <v>1453</v>
      </c>
    </row>
    <row r="91" customFormat="false" ht="68.65" hidden="false" customHeight="false" outlineLevel="0" collapsed="false">
      <c r="A91" s="0" t="s">
        <v>1363</v>
      </c>
      <c r="B91" s="0" t="s">
        <v>1454</v>
      </c>
      <c r="C91" s="0" t="s">
        <v>1452</v>
      </c>
      <c r="D91" s="0" t="s">
        <v>1263</v>
      </c>
      <c r="F91" s="393" t="s">
        <v>1455</v>
      </c>
      <c r="G91" s="396" t="n">
        <f aca="false">'6a. Cooling Model - Global'!B47</f>
        <v>18</v>
      </c>
      <c r="H91" s="392" t="s">
        <v>1456</v>
      </c>
      <c r="I91" s="392" t="s">
        <v>1457</v>
      </c>
    </row>
    <row r="92" customFormat="false" ht="13.8" hidden="false" customHeight="false" outlineLevel="0" collapsed="false">
      <c r="A92" s="0" t="s">
        <v>1363</v>
      </c>
      <c r="B92" s="0" t="s">
        <v>1458</v>
      </c>
      <c r="C92" s="0" t="s">
        <v>1452</v>
      </c>
      <c r="D92" s="0" t="s">
        <v>1263</v>
      </c>
      <c r="F92" s="0" t="s">
        <v>910</v>
      </c>
      <c r="H92" s="392" t="s">
        <v>1353</v>
      </c>
    </row>
    <row r="93" customFormat="false" ht="13.8" hidden="false" customHeight="false" outlineLevel="0" collapsed="false">
      <c r="A93" s="0" t="s">
        <v>1363</v>
      </c>
      <c r="B93" s="0" t="s">
        <v>1459</v>
      </c>
      <c r="C93" s="0" t="s">
        <v>1452</v>
      </c>
      <c r="D93" s="0" t="s">
        <v>1263</v>
      </c>
      <c r="F93" s="0" t="s">
        <v>911</v>
      </c>
      <c r="H93" s="392" t="s">
        <v>1216</v>
      </c>
    </row>
    <row r="94" customFormat="false" ht="35.05" hidden="false" customHeight="false" outlineLevel="0" collapsed="false">
      <c r="A94" s="0" t="s">
        <v>1363</v>
      </c>
      <c r="B94" s="0" t="s">
        <v>1460</v>
      </c>
      <c r="C94" s="0" t="s">
        <v>1461</v>
      </c>
      <c r="D94" s="0" t="s">
        <v>1263</v>
      </c>
      <c r="F94" s="0" t="s">
        <v>912</v>
      </c>
      <c r="H94" s="392" t="s">
        <v>1453</v>
      </c>
    </row>
    <row r="95" customFormat="false" ht="57.45" hidden="false" customHeight="false" outlineLevel="0" collapsed="false">
      <c r="A95" s="0" t="s">
        <v>1363</v>
      </c>
      <c r="B95" s="0" t="s">
        <v>1462</v>
      </c>
      <c r="C95" s="0" t="s">
        <v>1461</v>
      </c>
      <c r="D95" s="0" t="s">
        <v>1263</v>
      </c>
      <c r="F95" s="393" t="s">
        <v>1463</v>
      </c>
      <c r="G95" s="103" t="n">
        <f aca="false">'6a. Cooling Model - Global'!B48</f>
        <v>109000</v>
      </c>
      <c r="H95" s="392" t="s">
        <v>1464</v>
      </c>
      <c r="I95" s="392" t="s">
        <v>1465</v>
      </c>
    </row>
    <row r="96" customFormat="false" ht="13.8" hidden="false" customHeight="false" outlineLevel="0" collapsed="false">
      <c r="A96" s="0" t="s">
        <v>1363</v>
      </c>
      <c r="B96" s="0" t="s">
        <v>1466</v>
      </c>
      <c r="C96" s="0" t="s">
        <v>1461</v>
      </c>
      <c r="D96" s="0" t="s">
        <v>1263</v>
      </c>
      <c r="F96" s="0" t="s">
        <v>185</v>
      </c>
      <c r="H96" s="392" t="s">
        <v>1353</v>
      </c>
    </row>
    <row r="97" customFormat="false" ht="13.8" hidden="false" customHeight="false" outlineLevel="0" collapsed="false">
      <c r="A97" s="0" t="s">
        <v>1363</v>
      </c>
      <c r="B97" s="0" t="s">
        <v>1467</v>
      </c>
      <c r="C97" s="0" t="s">
        <v>1461</v>
      </c>
      <c r="D97" s="0" t="s">
        <v>1263</v>
      </c>
      <c r="F97" s="0" t="s">
        <v>913</v>
      </c>
      <c r="H97" s="392" t="s">
        <v>1216</v>
      </c>
    </row>
    <row r="98" customFormat="false" ht="35.05" hidden="false" customHeight="false" outlineLevel="0" collapsed="false">
      <c r="A98" s="0" t="s">
        <v>1363</v>
      </c>
      <c r="B98" s="0" t="s">
        <v>1468</v>
      </c>
      <c r="C98" s="0" t="s">
        <v>1461</v>
      </c>
      <c r="D98" s="0" t="s">
        <v>1263</v>
      </c>
      <c r="F98" s="0" t="s">
        <v>914</v>
      </c>
      <c r="H98" s="392" t="s">
        <v>1453</v>
      </c>
    </row>
    <row r="99" customFormat="false" ht="35.05" hidden="false" customHeight="false" outlineLevel="0" collapsed="false">
      <c r="A99" s="0" t="s">
        <v>1363</v>
      </c>
      <c r="B99" s="0" t="s">
        <v>1469</v>
      </c>
      <c r="C99" s="0" t="s">
        <v>1461</v>
      </c>
      <c r="D99" s="0" t="s">
        <v>1263</v>
      </c>
      <c r="F99" s="393" t="s">
        <v>1470</v>
      </c>
      <c r="G99" s="103" t="n">
        <f aca="false">'6a. Cooling Model - Global'!B49</f>
        <v>1056</v>
      </c>
      <c r="H99" s="392" t="s">
        <v>1471</v>
      </c>
      <c r="I99" s="392" t="s">
        <v>1157</v>
      </c>
    </row>
    <row r="100" customFormat="false" ht="13.8" hidden="false" customHeight="false" outlineLevel="0" collapsed="false">
      <c r="A100" s="0" t="s">
        <v>1363</v>
      </c>
      <c r="B100" s="0" t="s">
        <v>1472</v>
      </c>
      <c r="C100" s="0" t="s">
        <v>1461</v>
      </c>
      <c r="D100" s="0" t="s">
        <v>1263</v>
      </c>
      <c r="F100" s="0" t="s">
        <v>915</v>
      </c>
      <c r="H100" s="392" t="s">
        <v>1353</v>
      </c>
    </row>
    <row r="101" customFormat="false" ht="13.8" hidden="false" customHeight="false" outlineLevel="0" collapsed="false">
      <c r="A101" s="0" t="s">
        <v>1363</v>
      </c>
      <c r="B101" s="0" t="s">
        <v>1473</v>
      </c>
      <c r="C101" s="0" t="s">
        <v>1461</v>
      </c>
      <c r="D101" s="0" t="s">
        <v>1263</v>
      </c>
      <c r="F101" s="0" t="s">
        <v>916</v>
      </c>
      <c r="H101" s="392" t="s">
        <v>1216</v>
      </c>
    </row>
    <row r="102" customFormat="false" ht="35.05" hidden="false" customHeight="false" outlineLevel="0" collapsed="false">
      <c r="A102" s="0" t="s">
        <v>1363</v>
      </c>
      <c r="B102" s="0" t="s">
        <v>1474</v>
      </c>
      <c r="C102" s="0" t="s">
        <v>1475</v>
      </c>
      <c r="D102" s="0" t="s">
        <v>1263</v>
      </c>
      <c r="F102" s="0" t="s">
        <v>917</v>
      </c>
      <c r="H102" s="392" t="s">
        <v>1476</v>
      </c>
    </row>
    <row r="103" customFormat="false" ht="79.85" hidden="false" customHeight="false" outlineLevel="0" collapsed="false">
      <c r="A103" s="0" t="s">
        <v>1363</v>
      </c>
      <c r="B103" s="0" t="s">
        <v>1477</v>
      </c>
      <c r="C103" s="0" t="s">
        <v>1475</v>
      </c>
      <c r="D103" s="0" t="s">
        <v>1263</v>
      </c>
      <c r="F103" s="393" t="s">
        <v>1478</v>
      </c>
      <c r="G103" s="161" t="n">
        <f aca="false">'6a. Cooling Model - Global'!B50</f>
        <v>1.8</v>
      </c>
      <c r="H103" s="392" t="s">
        <v>1479</v>
      </c>
      <c r="I103" s="392" t="s">
        <v>1480</v>
      </c>
    </row>
    <row r="104" customFormat="false" ht="13.8" hidden="false" customHeight="false" outlineLevel="0" collapsed="false">
      <c r="A104" s="0" t="s">
        <v>1363</v>
      </c>
      <c r="B104" s="0" t="s">
        <v>1481</v>
      </c>
      <c r="C104" s="0" t="s">
        <v>1475</v>
      </c>
      <c r="D104" s="0" t="s">
        <v>1263</v>
      </c>
      <c r="F104" s="0" t="s">
        <v>876</v>
      </c>
      <c r="H104" s="392" t="s">
        <v>1353</v>
      </c>
    </row>
    <row r="105" customFormat="false" ht="13.8" hidden="false" customHeight="false" outlineLevel="0" collapsed="false">
      <c r="A105" s="0" t="s">
        <v>1363</v>
      </c>
      <c r="B105" s="0" t="s">
        <v>1482</v>
      </c>
      <c r="C105" s="0" t="s">
        <v>1475</v>
      </c>
      <c r="D105" s="0" t="s">
        <v>1263</v>
      </c>
      <c r="F105" s="0" t="s">
        <v>918</v>
      </c>
      <c r="H105" s="392" t="s">
        <v>1216</v>
      </c>
    </row>
    <row r="106" customFormat="false" ht="13.8" hidden="false" customHeight="false" outlineLevel="0" collapsed="false">
      <c r="A106" s="0" t="s">
        <v>1363</v>
      </c>
      <c r="B106" s="0" t="s">
        <v>1483</v>
      </c>
      <c r="C106" s="0" t="s">
        <v>1475</v>
      </c>
      <c r="D106" s="0" t="s">
        <v>1263</v>
      </c>
      <c r="F106" s="0" t="s">
        <v>880</v>
      </c>
      <c r="H106" s="392" t="s">
        <v>1484</v>
      </c>
    </row>
    <row r="107" customFormat="false" ht="13.8" hidden="false" customHeight="false" outlineLevel="0" collapsed="false">
      <c r="A107" s="0" t="s">
        <v>1363</v>
      </c>
      <c r="B107" s="0" t="s">
        <v>1485</v>
      </c>
      <c r="C107" s="0" t="s">
        <v>1475</v>
      </c>
      <c r="D107" s="0" t="s">
        <v>1263</v>
      </c>
      <c r="F107" s="0" t="s">
        <v>888</v>
      </c>
      <c r="H107" s="392" t="s">
        <v>1486</v>
      </c>
    </row>
    <row r="108" customFormat="false" ht="13.8" hidden="false" customHeight="false" outlineLevel="0" collapsed="false">
      <c r="A108" s="0" t="s">
        <v>1363</v>
      </c>
      <c r="B108" s="0" t="s">
        <v>1487</v>
      </c>
      <c r="C108" s="0" t="s">
        <v>1475</v>
      </c>
      <c r="D108" s="0" t="s">
        <v>1263</v>
      </c>
      <c r="F108" s="0" t="s">
        <v>889</v>
      </c>
      <c r="H108" s="392" t="s">
        <v>1486</v>
      </c>
    </row>
    <row r="109" customFormat="false" ht="13.8" hidden="false" customHeight="false" outlineLevel="0" collapsed="false">
      <c r="A109" s="0" t="s">
        <v>1363</v>
      </c>
      <c r="B109" s="0" t="s">
        <v>1488</v>
      </c>
      <c r="C109" s="0" t="s">
        <v>1475</v>
      </c>
      <c r="D109" s="0" t="s">
        <v>1263</v>
      </c>
      <c r="F109" s="0" t="s">
        <v>890</v>
      </c>
      <c r="H109" s="392" t="s">
        <v>1486</v>
      </c>
    </row>
    <row r="110" customFormat="false" ht="13.8" hidden="false" customHeight="false" outlineLevel="0" collapsed="false">
      <c r="A110" s="0" t="s">
        <v>1363</v>
      </c>
      <c r="B110" s="0" t="s">
        <v>1489</v>
      </c>
      <c r="C110" s="0" t="s">
        <v>1475</v>
      </c>
      <c r="D110" s="0" t="s">
        <v>1263</v>
      </c>
      <c r="F110" s="0" t="s">
        <v>571</v>
      </c>
      <c r="H110" s="392" t="s">
        <v>1486</v>
      </c>
    </row>
    <row r="111" customFormat="false" ht="68.65" hidden="false" customHeight="false" outlineLevel="0" collapsed="false">
      <c r="A111" s="0" t="s">
        <v>1363</v>
      </c>
      <c r="B111" s="0" t="s">
        <v>1490</v>
      </c>
      <c r="C111" s="0" t="s">
        <v>1475</v>
      </c>
      <c r="D111" s="0" t="s">
        <v>1263</v>
      </c>
      <c r="F111" s="393" t="s">
        <v>1491</v>
      </c>
      <c r="G111" s="161" t="n">
        <f aca="false">'6a. Cooling Model - Global'!J34</f>
        <v>2</v>
      </c>
      <c r="H111" s="392" t="s">
        <v>1492</v>
      </c>
      <c r="I111" s="392" t="s">
        <v>1493</v>
      </c>
    </row>
    <row r="112" customFormat="false" ht="23.85" hidden="false" customHeight="false" outlineLevel="0" collapsed="false">
      <c r="A112" s="0" t="s">
        <v>1363</v>
      </c>
      <c r="B112" s="0" t="s">
        <v>1494</v>
      </c>
      <c r="C112" s="0" t="s">
        <v>1475</v>
      </c>
      <c r="D112" s="0" t="s">
        <v>1263</v>
      </c>
      <c r="F112" s="393" t="s">
        <v>1495</v>
      </c>
      <c r="G112" s="394" t="n">
        <f aca="false">'6a. Cooling Model - Global'!K34</f>
        <v>0.9</v>
      </c>
      <c r="H112" s="392" t="s">
        <v>1496</v>
      </c>
    </row>
    <row r="113" customFormat="false" ht="68.65" hidden="false" customHeight="false" outlineLevel="0" collapsed="false">
      <c r="A113" s="0" t="s">
        <v>1363</v>
      </c>
      <c r="B113" s="0" t="s">
        <v>1497</v>
      </c>
      <c r="C113" s="0" t="s">
        <v>1475</v>
      </c>
      <c r="D113" s="0" t="s">
        <v>1263</v>
      </c>
      <c r="F113" s="393" t="s">
        <v>1498</v>
      </c>
      <c r="G113" s="103" t="n">
        <f aca="false">'6a. Cooling Model - Global'!L34</f>
        <v>46197906.5819408</v>
      </c>
      <c r="H113" s="392" t="s">
        <v>1499</v>
      </c>
    </row>
    <row r="114" customFormat="false" ht="13.8" hidden="false" customHeight="false" outlineLevel="0" collapsed="false">
      <c r="A114" s="0" t="s">
        <v>1363</v>
      </c>
      <c r="B114" s="0" t="s">
        <v>1500</v>
      </c>
      <c r="C114" s="0" t="s">
        <v>1475</v>
      </c>
      <c r="D114" s="0" t="s">
        <v>1263</v>
      </c>
      <c r="F114" s="0" t="s">
        <v>891</v>
      </c>
      <c r="H114" s="392" t="s">
        <v>1216</v>
      </c>
    </row>
    <row r="115" customFormat="false" ht="23.85" hidden="false" customHeight="false" outlineLevel="0" collapsed="false">
      <c r="A115" s="0" t="s">
        <v>1363</v>
      </c>
      <c r="B115" s="0" t="s">
        <v>1501</v>
      </c>
      <c r="C115" s="0" t="s">
        <v>1475</v>
      </c>
      <c r="D115" s="0" t="s">
        <v>1263</v>
      </c>
      <c r="F115" s="393" t="s">
        <v>1502</v>
      </c>
      <c r="G115" s="161" t="n">
        <f aca="false">'6a. Cooling Model - Global'!J35</f>
        <v>2</v>
      </c>
      <c r="H115" s="392" t="s">
        <v>1503</v>
      </c>
    </row>
    <row r="116" customFormat="false" ht="23.85" hidden="false" customHeight="false" outlineLevel="0" collapsed="false">
      <c r="A116" s="0" t="s">
        <v>1363</v>
      </c>
      <c r="B116" s="0" t="s">
        <v>1504</v>
      </c>
      <c r="C116" s="0" t="s">
        <v>1475</v>
      </c>
      <c r="D116" s="0" t="s">
        <v>1263</v>
      </c>
      <c r="F116" s="393" t="s">
        <v>1505</v>
      </c>
      <c r="G116" s="394" t="n">
        <f aca="false">'6a. Cooling Model - Global'!K35</f>
        <v>0.9</v>
      </c>
      <c r="H116" s="392" t="s">
        <v>1496</v>
      </c>
    </row>
    <row r="117" customFormat="false" ht="68.65" hidden="false" customHeight="false" outlineLevel="0" collapsed="false">
      <c r="A117" s="0" t="s">
        <v>1363</v>
      </c>
      <c r="B117" s="0" t="s">
        <v>1506</v>
      </c>
      <c r="C117" s="0" t="s">
        <v>1475</v>
      </c>
      <c r="D117" s="0" t="s">
        <v>1263</v>
      </c>
      <c r="F117" s="393" t="s">
        <v>1507</v>
      </c>
      <c r="G117" s="103" t="n">
        <f aca="false">'6a. Cooling Model - Global'!L35</f>
        <v>36239076.4205644</v>
      </c>
      <c r="H117" s="392" t="s">
        <v>1499</v>
      </c>
    </row>
    <row r="118" customFormat="false" ht="13.8" hidden="false" customHeight="false" outlineLevel="0" collapsed="false">
      <c r="A118" s="0" t="s">
        <v>1363</v>
      </c>
      <c r="B118" s="0" t="s">
        <v>1508</v>
      </c>
      <c r="C118" s="0" t="s">
        <v>1475</v>
      </c>
      <c r="D118" s="0" t="s">
        <v>1263</v>
      </c>
      <c r="F118" s="0" t="s">
        <v>892</v>
      </c>
      <c r="H118" s="392" t="s">
        <v>1216</v>
      </c>
    </row>
    <row r="119" customFormat="false" ht="57.45" hidden="false" customHeight="false" outlineLevel="0" collapsed="false">
      <c r="A119" s="0" t="s">
        <v>1363</v>
      </c>
      <c r="B119" s="0" t="s">
        <v>1509</v>
      </c>
      <c r="C119" s="0" t="s">
        <v>1475</v>
      </c>
      <c r="D119" s="0" t="s">
        <v>1263</v>
      </c>
      <c r="F119" s="393" t="s">
        <v>1510</v>
      </c>
      <c r="G119" s="161" t="n">
        <f aca="false">'6a. Cooling Model - Global'!J36</f>
        <v>2.4</v>
      </c>
      <c r="H119" s="392" t="s">
        <v>1492</v>
      </c>
      <c r="I119" s="392" t="s">
        <v>1511</v>
      </c>
    </row>
    <row r="120" customFormat="false" ht="23.85" hidden="false" customHeight="false" outlineLevel="0" collapsed="false">
      <c r="A120" s="0" t="s">
        <v>1363</v>
      </c>
      <c r="B120" s="0" t="s">
        <v>1512</v>
      </c>
      <c r="C120" s="0" t="s">
        <v>1475</v>
      </c>
      <c r="D120" s="0" t="s">
        <v>1263</v>
      </c>
      <c r="F120" s="393" t="s">
        <v>1513</v>
      </c>
      <c r="G120" s="394" t="n">
        <f aca="false">'6a. Cooling Model - Global'!K36</f>
        <v>0.75</v>
      </c>
      <c r="H120" s="392" t="s">
        <v>1496</v>
      </c>
    </row>
    <row r="121" customFormat="false" ht="68.65" hidden="false" customHeight="false" outlineLevel="0" collapsed="false">
      <c r="A121" s="0" t="s">
        <v>1363</v>
      </c>
      <c r="B121" s="0" t="s">
        <v>1514</v>
      </c>
      <c r="C121" s="0" t="s">
        <v>1475</v>
      </c>
      <c r="D121" s="0" t="s">
        <v>1263</v>
      </c>
      <c r="F121" s="393" t="s">
        <v>1515</v>
      </c>
      <c r="G121" s="103" t="n">
        <f aca="false">'6a. Cooling Model - Global'!L36</f>
        <v>287239542.033308</v>
      </c>
      <c r="H121" s="392" t="s">
        <v>1499</v>
      </c>
    </row>
    <row r="122" customFormat="false" ht="13.8" hidden="false" customHeight="false" outlineLevel="0" collapsed="false">
      <c r="A122" s="0" t="s">
        <v>1363</v>
      </c>
      <c r="B122" s="0" t="s">
        <v>1516</v>
      </c>
      <c r="C122" s="0" t="s">
        <v>1475</v>
      </c>
      <c r="D122" s="0" t="s">
        <v>1263</v>
      </c>
      <c r="F122" s="0" t="s">
        <v>893</v>
      </c>
      <c r="H122" s="392" t="s">
        <v>1216</v>
      </c>
    </row>
    <row r="123" customFormat="false" ht="68.65" hidden="false" customHeight="false" outlineLevel="0" collapsed="false">
      <c r="A123" s="0" t="s">
        <v>1363</v>
      </c>
      <c r="B123" s="0" t="s">
        <v>1517</v>
      </c>
      <c r="C123" s="0" t="s">
        <v>1475</v>
      </c>
      <c r="D123" s="0" t="s">
        <v>1263</v>
      </c>
      <c r="F123" s="393" t="s">
        <v>1518</v>
      </c>
      <c r="G123" s="161" t="n">
        <f aca="false">'6a. Cooling Model - Global'!J37</f>
        <v>2.8</v>
      </c>
      <c r="H123" s="392" t="s">
        <v>1492</v>
      </c>
      <c r="I123" s="392" t="s">
        <v>1493</v>
      </c>
    </row>
    <row r="124" customFormat="false" ht="23.85" hidden="false" customHeight="false" outlineLevel="0" collapsed="false">
      <c r="A124" s="0" t="s">
        <v>1363</v>
      </c>
      <c r="B124" s="0" t="s">
        <v>1519</v>
      </c>
      <c r="C124" s="0" t="s">
        <v>1475</v>
      </c>
      <c r="D124" s="0" t="s">
        <v>1263</v>
      </c>
      <c r="F124" s="393" t="s">
        <v>1520</v>
      </c>
      <c r="G124" s="394" t="n">
        <f aca="false">'6a. Cooling Model - Global'!K37</f>
        <v>0.642857142857143</v>
      </c>
      <c r="H124" s="392" t="s">
        <v>1496</v>
      </c>
    </row>
    <row r="125" customFormat="false" ht="68.65" hidden="false" customHeight="false" outlineLevel="0" collapsed="false">
      <c r="A125" s="0" t="s">
        <v>1363</v>
      </c>
      <c r="B125" s="0" t="s">
        <v>1521</v>
      </c>
      <c r="C125" s="0" t="s">
        <v>1475</v>
      </c>
      <c r="D125" s="0" t="s">
        <v>1263</v>
      </c>
      <c r="F125" s="393" t="s">
        <v>1522</v>
      </c>
      <c r="G125" s="103" t="n">
        <f aca="false">'6a. Cooling Model - Global'!L37</f>
        <v>1674828813.71936</v>
      </c>
      <c r="H125" s="392" t="s">
        <v>1499</v>
      </c>
    </row>
    <row r="126" customFormat="false" ht="13.8" hidden="false" customHeight="false" outlineLevel="0" collapsed="false">
      <c r="A126" s="0" t="s">
        <v>1363</v>
      </c>
      <c r="B126" s="0" t="s">
        <v>1523</v>
      </c>
      <c r="C126" s="0" t="s">
        <v>1475</v>
      </c>
      <c r="D126" s="0" t="s">
        <v>1263</v>
      </c>
      <c r="F126" s="0" t="s">
        <v>894</v>
      </c>
      <c r="H126" s="392" t="s">
        <v>1216</v>
      </c>
    </row>
    <row r="127" customFormat="false" ht="35.05" hidden="false" customHeight="false" outlineLevel="0" collapsed="false">
      <c r="A127" s="0" t="s">
        <v>1524</v>
      </c>
      <c r="B127" s="0" t="s">
        <v>1525</v>
      </c>
      <c r="C127" s="0" t="s">
        <v>1431</v>
      </c>
      <c r="D127" s="0" t="s">
        <v>1526</v>
      </c>
      <c r="F127" s="0" t="s">
        <v>938</v>
      </c>
      <c r="H127" s="392" t="s">
        <v>1527</v>
      </c>
    </row>
    <row r="128" customFormat="false" ht="35.05" hidden="false" customHeight="false" outlineLevel="0" collapsed="false">
      <c r="A128" s="0" t="s">
        <v>1528</v>
      </c>
      <c r="B128" s="0" t="s">
        <v>1529</v>
      </c>
      <c r="C128" s="0" t="s">
        <v>1431</v>
      </c>
      <c r="D128" s="0" t="s">
        <v>1526</v>
      </c>
      <c r="F128" s="0" t="s">
        <v>938</v>
      </c>
      <c r="H128" s="392" t="s">
        <v>1527</v>
      </c>
    </row>
    <row r="129" customFormat="false" ht="35.05" hidden="false" customHeight="false" outlineLevel="0" collapsed="false">
      <c r="A129" s="0" t="s">
        <v>1524</v>
      </c>
      <c r="B129" s="0" t="s">
        <v>1530</v>
      </c>
      <c r="C129" s="0" t="s">
        <v>1531</v>
      </c>
      <c r="D129" s="0" t="s">
        <v>1532</v>
      </c>
      <c r="F129" s="0" t="s">
        <v>940</v>
      </c>
      <c r="H129" s="392" t="s">
        <v>1533</v>
      </c>
    </row>
    <row r="130" customFormat="false" ht="35.05" hidden="false" customHeight="false" outlineLevel="0" collapsed="false">
      <c r="A130" s="0" t="s">
        <v>1528</v>
      </c>
      <c r="B130" s="0" t="s">
        <v>1534</v>
      </c>
      <c r="C130" s="0" t="s">
        <v>1531</v>
      </c>
      <c r="D130" s="0" t="s">
        <v>1532</v>
      </c>
      <c r="F130" s="0" t="s">
        <v>940</v>
      </c>
      <c r="H130" s="392" t="s">
        <v>1533</v>
      </c>
    </row>
    <row r="131" customFormat="false" ht="57.45" hidden="false" customHeight="false" outlineLevel="0" collapsed="false">
      <c r="A131" s="0" t="s">
        <v>1524</v>
      </c>
      <c r="B131" s="0" t="s">
        <v>1211</v>
      </c>
      <c r="C131" s="0" t="s">
        <v>1444</v>
      </c>
      <c r="D131" s="393" t="s">
        <v>1535</v>
      </c>
      <c r="E131" s="0" t="n">
        <v>660</v>
      </c>
      <c r="F131" s="393" t="s">
        <v>1536</v>
      </c>
      <c r="G131" s="400" t="n">
        <f aca="false">'6b. Benefit - Global - Vessel'!D20</f>
        <v>660</v>
      </c>
      <c r="H131" s="392" t="s">
        <v>1537</v>
      </c>
    </row>
    <row r="132" customFormat="false" ht="57.45" hidden="false" customHeight="false" outlineLevel="0" collapsed="false">
      <c r="A132" s="0" t="s">
        <v>1524</v>
      </c>
      <c r="B132" s="0" t="s">
        <v>1538</v>
      </c>
      <c r="C132" s="0" t="s">
        <v>1444</v>
      </c>
      <c r="D132" s="393" t="s">
        <v>1539</v>
      </c>
      <c r="E132" s="0" t="n">
        <v>3630</v>
      </c>
      <c r="F132" s="393" t="s">
        <v>1540</v>
      </c>
      <c r="G132" s="400" t="n">
        <f aca="false">'6b. Benefit - Global - Vessel'!D21</f>
        <v>3630</v>
      </c>
      <c r="H132" s="392" t="s">
        <v>1537</v>
      </c>
    </row>
    <row r="133" customFormat="false" ht="57.45" hidden="false" customHeight="false" outlineLevel="0" collapsed="false">
      <c r="A133" s="0" t="s">
        <v>1524</v>
      </c>
      <c r="B133" s="0" t="s">
        <v>1217</v>
      </c>
      <c r="C133" s="0" t="s">
        <v>1444</v>
      </c>
      <c r="D133" s="393" t="s">
        <v>1541</v>
      </c>
      <c r="E133" s="0" t="n">
        <v>13200</v>
      </c>
      <c r="F133" s="393" t="s">
        <v>1542</v>
      </c>
      <c r="G133" s="400" t="n">
        <f aca="false">'6b. Benefit - Global - Vessel'!D22</f>
        <v>15400</v>
      </c>
      <c r="H133" s="392" t="s">
        <v>1537</v>
      </c>
    </row>
    <row r="134" customFormat="false" ht="57.45" hidden="false" customHeight="false" outlineLevel="0" collapsed="false">
      <c r="A134" s="0" t="s">
        <v>1528</v>
      </c>
      <c r="B134" s="0" t="s">
        <v>1543</v>
      </c>
      <c r="C134" s="0" t="s">
        <v>1444</v>
      </c>
      <c r="D134" s="393" t="s">
        <v>1544</v>
      </c>
      <c r="E134" s="0" t="n">
        <v>660</v>
      </c>
      <c r="F134" s="393" t="s">
        <v>1545</v>
      </c>
      <c r="G134" s="400" t="n">
        <f aca="false">'6c. Benefit - Global Piggyback'!D29</f>
        <v>660</v>
      </c>
      <c r="H134" s="392" t="s">
        <v>1537</v>
      </c>
    </row>
    <row r="135" customFormat="false" ht="57.45" hidden="false" customHeight="false" outlineLevel="0" collapsed="false">
      <c r="A135" s="0" t="s">
        <v>1528</v>
      </c>
      <c r="B135" s="0" t="s">
        <v>1334</v>
      </c>
      <c r="C135" s="0" t="s">
        <v>1444</v>
      </c>
      <c r="D135" s="393" t="s">
        <v>1546</v>
      </c>
      <c r="E135" s="0" t="n">
        <v>3630</v>
      </c>
      <c r="F135" s="393" t="s">
        <v>1547</v>
      </c>
      <c r="G135" s="400" t="n">
        <f aca="false">'6c. Benefit - Global Piggyback'!D30</f>
        <v>3630</v>
      </c>
      <c r="H135" s="392" t="s">
        <v>1537</v>
      </c>
    </row>
    <row r="136" customFormat="false" ht="57.45" hidden="false" customHeight="false" outlineLevel="0" collapsed="false">
      <c r="A136" s="0" t="s">
        <v>1528</v>
      </c>
      <c r="B136" s="0" t="s">
        <v>1548</v>
      </c>
      <c r="C136" s="0" t="s">
        <v>1444</v>
      </c>
      <c r="D136" s="393" t="s">
        <v>1549</v>
      </c>
      <c r="E136" s="0" t="n">
        <v>13200</v>
      </c>
      <c r="F136" s="393" t="s">
        <v>1550</v>
      </c>
      <c r="G136" s="400" t="n">
        <f aca="false">'6c. Benefit - Global Piggyback'!D31</f>
        <v>15400</v>
      </c>
      <c r="H136" s="392" t="s">
        <v>1537</v>
      </c>
    </row>
    <row r="137" customFormat="false" ht="13.8" hidden="false" customHeight="false" outlineLevel="0" collapsed="false">
      <c r="A137" s="0" t="s">
        <v>1551</v>
      </c>
      <c r="B137" s="0" t="s">
        <v>1552</v>
      </c>
      <c r="C137" s="0" t="s">
        <v>1553</v>
      </c>
      <c r="D137" s="0" t="s">
        <v>1263</v>
      </c>
      <c r="F137" s="0" t="s">
        <v>212</v>
      </c>
      <c r="H137" s="392" t="s">
        <v>1484</v>
      </c>
    </row>
    <row r="138" customFormat="false" ht="13.8" hidden="false" customHeight="false" outlineLevel="0" collapsed="false">
      <c r="A138" s="0" t="s">
        <v>1551</v>
      </c>
      <c r="B138" s="0" t="s">
        <v>1554</v>
      </c>
      <c r="C138" s="0" t="s">
        <v>1553</v>
      </c>
      <c r="D138" s="0" t="s">
        <v>1263</v>
      </c>
      <c r="F138" s="0" t="s">
        <v>213</v>
      </c>
      <c r="H138" s="392" t="s">
        <v>1555</v>
      </c>
    </row>
    <row r="139" customFormat="false" ht="46.25" hidden="false" customHeight="false" outlineLevel="0" collapsed="false">
      <c r="A139" s="0" t="s">
        <v>1551</v>
      </c>
      <c r="B139" s="0" t="s">
        <v>1556</v>
      </c>
      <c r="C139" s="0" t="s">
        <v>1553</v>
      </c>
      <c r="D139" s="0" t="s">
        <v>1263</v>
      </c>
      <c r="F139" s="393" t="s">
        <v>1557</v>
      </c>
      <c r="G139" s="397" t="n">
        <f aca="false">'2. Cost Inputs'!B61</f>
        <v>3.206</v>
      </c>
      <c r="H139" s="392" t="s">
        <v>1558</v>
      </c>
      <c r="I139" s="392" t="s">
        <v>1157</v>
      </c>
    </row>
    <row r="140" customFormat="false" ht="13.8" hidden="false" customHeight="false" outlineLevel="0" collapsed="false">
      <c r="A140" s="0" t="s">
        <v>1551</v>
      </c>
      <c r="B140" s="0" t="s">
        <v>1559</v>
      </c>
      <c r="C140" s="0" t="s">
        <v>1553</v>
      </c>
      <c r="D140" s="0" t="s">
        <v>1263</v>
      </c>
      <c r="F140" s="0" t="s">
        <v>214</v>
      </c>
      <c r="H140" s="392" t="s">
        <v>1353</v>
      </c>
    </row>
    <row r="141" customFormat="false" ht="13.8" hidden="false" customHeight="false" outlineLevel="0" collapsed="false">
      <c r="A141" s="0" t="s">
        <v>1551</v>
      </c>
      <c r="B141" s="0" t="s">
        <v>1560</v>
      </c>
      <c r="C141" s="0" t="s">
        <v>1553</v>
      </c>
      <c r="D141" s="0" t="s">
        <v>1263</v>
      </c>
      <c r="F141" s="0" t="s">
        <v>215</v>
      </c>
      <c r="H141" s="392" t="s">
        <v>1244</v>
      </c>
    </row>
    <row r="142" customFormat="false" ht="13.8" hidden="false" customHeight="false" outlineLevel="0" collapsed="false">
      <c r="A142" s="0" t="s">
        <v>1551</v>
      </c>
      <c r="B142" s="0" t="s">
        <v>1561</v>
      </c>
      <c r="C142" s="0" t="s">
        <v>1553</v>
      </c>
      <c r="D142" s="0" t="s">
        <v>1263</v>
      </c>
      <c r="F142" s="0" t="s">
        <v>216</v>
      </c>
      <c r="H142" s="392" t="s">
        <v>1216</v>
      </c>
    </row>
    <row r="143" customFormat="false" ht="13.8" hidden="false" customHeight="false" outlineLevel="0" collapsed="false">
      <c r="A143" s="0" t="s">
        <v>1551</v>
      </c>
      <c r="B143" s="0" t="s">
        <v>1562</v>
      </c>
      <c r="C143" s="0" t="s">
        <v>1553</v>
      </c>
      <c r="D143" s="0" t="s">
        <v>1263</v>
      </c>
      <c r="F143" s="0" t="s">
        <v>217</v>
      </c>
      <c r="H143" s="392" t="s">
        <v>1555</v>
      </c>
    </row>
    <row r="144" customFormat="false" ht="46.25" hidden="false" customHeight="false" outlineLevel="0" collapsed="false">
      <c r="A144" s="0" t="s">
        <v>1551</v>
      </c>
      <c r="B144" s="0" t="s">
        <v>1563</v>
      </c>
      <c r="C144" s="0" t="s">
        <v>1553</v>
      </c>
      <c r="D144" s="0" t="s">
        <v>1263</v>
      </c>
      <c r="F144" s="393" t="s">
        <v>1564</v>
      </c>
      <c r="G144" s="397" t="n">
        <f aca="false">'2. Cost Inputs'!B62</f>
        <v>0.845</v>
      </c>
      <c r="H144" s="392" t="s">
        <v>1565</v>
      </c>
    </row>
    <row r="145" customFormat="false" ht="13.8" hidden="false" customHeight="false" outlineLevel="0" collapsed="false">
      <c r="A145" s="0" t="s">
        <v>1551</v>
      </c>
      <c r="B145" s="0" t="s">
        <v>1566</v>
      </c>
      <c r="C145" s="0" t="s">
        <v>1553</v>
      </c>
      <c r="D145" s="0" t="s">
        <v>1263</v>
      </c>
      <c r="F145" s="0" t="s">
        <v>218</v>
      </c>
      <c r="H145" s="392" t="s">
        <v>1353</v>
      </c>
    </row>
    <row r="146" customFormat="false" ht="13.8" hidden="false" customHeight="false" outlineLevel="0" collapsed="false">
      <c r="A146" s="0" t="s">
        <v>1551</v>
      </c>
      <c r="B146" s="0" t="s">
        <v>1567</v>
      </c>
      <c r="C146" s="0" t="s">
        <v>1553</v>
      </c>
      <c r="D146" s="0" t="s">
        <v>1263</v>
      </c>
      <c r="F146" s="0" t="s">
        <v>219</v>
      </c>
      <c r="H146" s="392" t="s">
        <v>1244</v>
      </c>
    </row>
    <row r="147" customFormat="false" ht="13.8" hidden="false" customHeight="false" outlineLevel="0" collapsed="false">
      <c r="A147" s="0" t="s">
        <v>1551</v>
      </c>
      <c r="B147" s="0" t="s">
        <v>1568</v>
      </c>
      <c r="C147" s="0" t="s">
        <v>1553</v>
      </c>
      <c r="D147" s="0" t="s">
        <v>1263</v>
      </c>
      <c r="F147" s="0" t="s">
        <v>220</v>
      </c>
      <c r="H147" s="392" t="s">
        <v>1216</v>
      </c>
    </row>
    <row r="148" customFormat="false" ht="13.8" hidden="false" customHeight="false" outlineLevel="0" collapsed="false">
      <c r="A148" s="0" t="s">
        <v>1551</v>
      </c>
      <c r="B148" s="0" t="s">
        <v>1569</v>
      </c>
      <c r="C148" s="0" t="s">
        <v>1553</v>
      </c>
      <c r="D148" s="0" t="s">
        <v>1263</v>
      </c>
      <c r="F148" s="0" t="s">
        <v>221</v>
      </c>
      <c r="H148" s="392" t="s">
        <v>1555</v>
      </c>
    </row>
    <row r="149" customFormat="false" ht="68.65" hidden="false" customHeight="false" outlineLevel="0" collapsed="false">
      <c r="A149" s="0" t="s">
        <v>1551</v>
      </c>
      <c r="B149" s="0" t="s">
        <v>1570</v>
      </c>
      <c r="C149" s="0" t="s">
        <v>1553</v>
      </c>
      <c r="D149" s="0" t="s">
        <v>1263</v>
      </c>
      <c r="F149" s="393" t="s">
        <v>1571</v>
      </c>
      <c r="G149" s="104" t="n">
        <f aca="false">'2. Cost Inputs'!B63</f>
        <v>190</v>
      </c>
      <c r="H149" s="392" t="s">
        <v>1572</v>
      </c>
      <c r="I149" s="392" t="s">
        <v>1573</v>
      </c>
    </row>
    <row r="150" customFormat="false" ht="13.8" hidden="false" customHeight="false" outlineLevel="0" collapsed="false">
      <c r="A150" s="0" t="s">
        <v>1551</v>
      </c>
      <c r="B150" s="0" t="s">
        <v>1574</v>
      </c>
      <c r="C150" s="0" t="s">
        <v>1553</v>
      </c>
      <c r="D150" s="0" t="s">
        <v>1263</v>
      </c>
      <c r="F150" s="0" t="s">
        <v>222</v>
      </c>
      <c r="H150" s="392" t="s">
        <v>1353</v>
      </c>
    </row>
    <row r="151" customFormat="false" ht="13.8" hidden="false" customHeight="false" outlineLevel="0" collapsed="false">
      <c r="A151" s="0" t="s">
        <v>1551</v>
      </c>
      <c r="B151" s="0" t="s">
        <v>1575</v>
      </c>
      <c r="C151" s="0" t="s">
        <v>1553</v>
      </c>
      <c r="D151" s="0" t="s">
        <v>1263</v>
      </c>
      <c r="F151" s="0" t="s">
        <v>223</v>
      </c>
      <c r="H151" s="392" t="s">
        <v>1244</v>
      </c>
    </row>
    <row r="152" customFormat="false" ht="13.8" hidden="false" customHeight="false" outlineLevel="0" collapsed="false">
      <c r="A152" s="0" t="s">
        <v>1551</v>
      </c>
      <c r="B152" s="0" t="s">
        <v>1576</v>
      </c>
      <c r="C152" s="0" t="s">
        <v>1553</v>
      </c>
      <c r="D152" s="0" t="s">
        <v>1263</v>
      </c>
      <c r="F152" s="0" t="s">
        <v>224</v>
      </c>
      <c r="H152" s="392" t="s">
        <v>1216</v>
      </c>
    </row>
    <row r="153" customFormat="false" ht="13.8" hidden="false" customHeight="false" outlineLevel="0" collapsed="false">
      <c r="A153" s="0" t="s">
        <v>1551</v>
      </c>
      <c r="B153" s="0" t="s">
        <v>1577</v>
      </c>
      <c r="C153" s="0" t="s">
        <v>1553</v>
      </c>
      <c r="D153" s="0" t="s">
        <v>1263</v>
      </c>
      <c r="F153" s="0" t="s">
        <v>225</v>
      </c>
      <c r="H153" s="392" t="s">
        <v>1578</v>
      </c>
    </row>
    <row r="154" customFormat="false" ht="57.45" hidden="false" customHeight="false" outlineLevel="0" collapsed="false">
      <c r="A154" s="0" t="s">
        <v>1551</v>
      </c>
      <c r="B154" s="0" t="s">
        <v>1579</v>
      </c>
      <c r="C154" s="0" t="s">
        <v>1553</v>
      </c>
      <c r="D154" s="0" t="s">
        <v>1263</v>
      </c>
      <c r="F154" s="393" t="s">
        <v>1580</v>
      </c>
      <c r="G154" s="397" t="n">
        <f aca="false">'2. Cost Inputs'!B64</f>
        <v>0.2</v>
      </c>
      <c r="H154" s="392" t="s">
        <v>1581</v>
      </c>
    </row>
    <row r="155" customFormat="false" ht="13.8" hidden="false" customHeight="false" outlineLevel="0" collapsed="false">
      <c r="A155" s="0" t="s">
        <v>1551</v>
      </c>
      <c r="B155" s="0" t="s">
        <v>1582</v>
      </c>
      <c r="C155" s="0" t="s">
        <v>1553</v>
      </c>
      <c r="D155" s="0" t="s">
        <v>1263</v>
      </c>
      <c r="F155" s="0" t="s">
        <v>226</v>
      </c>
      <c r="H155" s="392" t="s">
        <v>1353</v>
      </c>
    </row>
    <row r="156" customFormat="false" ht="13.8" hidden="false" customHeight="false" outlineLevel="0" collapsed="false">
      <c r="A156" s="0" t="s">
        <v>1551</v>
      </c>
      <c r="B156" s="0" t="s">
        <v>1583</v>
      </c>
      <c r="C156" s="0" t="s">
        <v>1553</v>
      </c>
      <c r="D156" s="0" t="s">
        <v>1263</v>
      </c>
      <c r="F156" s="0" t="s">
        <v>227</v>
      </c>
      <c r="H156" s="392" t="s">
        <v>1244</v>
      </c>
    </row>
    <row r="157" customFormat="false" ht="13.8" hidden="false" customHeight="false" outlineLevel="0" collapsed="false">
      <c r="A157" s="0" t="s">
        <v>1551</v>
      </c>
      <c r="B157" s="0" t="s">
        <v>1584</v>
      </c>
      <c r="C157" s="0" t="s">
        <v>1553</v>
      </c>
      <c r="D157" s="0" t="s">
        <v>1263</v>
      </c>
      <c r="F157" s="0" t="s">
        <v>228</v>
      </c>
      <c r="H157" s="392" t="s">
        <v>1216</v>
      </c>
    </row>
    <row r="158" customFormat="false" ht="13.8" hidden="false" customHeight="false" outlineLevel="0" collapsed="false">
      <c r="A158" s="0" t="s">
        <v>1585</v>
      </c>
      <c r="B158" s="0" t="s">
        <v>1444</v>
      </c>
      <c r="C158" s="0" t="s">
        <v>1553</v>
      </c>
      <c r="D158" s="0" t="s">
        <v>1263</v>
      </c>
      <c r="F158" s="0" t="s">
        <v>256</v>
      </c>
      <c r="H158" s="392" t="s">
        <v>1586</v>
      </c>
    </row>
    <row r="159" customFormat="false" ht="102.2" hidden="false" customHeight="false" outlineLevel="0" collapsed="false">
      <c r="A159" s="0" t="s">
        <v>1585</v>
      </c>
      <c r="B159" s="0" t="s">
        <v>1587</v>
      </c>
      <c r="C159" s="0" t="s">
        <v>1553</v>
      </c>
      <c r="D159" s="0" t="s">
        <v>1263</v>
      </c>
      <c r="F159" s="393" t="s">
        <v>1588</v>
      </c>
      <c r="G159" s="161" t="n">
        <f aca="false">'3a. Outputs - Dedicated Vessel'!G15</f>
        <v>36.3476775239682</v>
      </c>
      <c r="H159" s="392" t="s">
        <v>1589</v>
      </c>
      <c r="I159" s="392" t="s">
        <v>1157</v>
      </c>
    </row>
    <row r="160" customFormat="false" ht="13.8" hidden="false" customHeight="false" outlineLevel="0" collapsed="false">
      <c r="A160" s="0" t="s">
        <v>1585</v>
      </c>
      <c r="B160" s="0" t="s">
        <v>1590</v>
      </c>
      <c r="C160" s="0" t="s">
        <v>1553</v>
      </c>
      <c r="D160" s="0" t="s">
        <v>1263</v>
      </c>
      <c r="F160" s="0" t="s">
        <v>257</v>
      </c>
      <c r="H160" s="392" t="s">
        <v>1353</v>
      </c>
    </row>
    <row r="161" customFormat="false" ht="57.45" hidden="false" customHeight="false" outlineLevel="0" collapsed="false">
      <c r="A161" s="0" t="s">
        <v>1585</v>
      </c>
      <c r="B161" s="0" t="s">
        <v>1591</v>
      </c>
      <c r="C161" s="0" t="s">
        <v>1553</v>
      </c>
      <c r="D161" s="0" t="s">
        <v>1263</v>
      </c>
      <c r="F161" s="0" t="s">
        <v>253</v>
      </c>
      <c r="H161" s="392" t="s">
        <v>1592</v>
      </c>
    </row>
    <row r="162" customFormat="false" ht="79.85" hidden="false" customHeight="false" outlineLevel="0" collapsed="false">
      <c r="A162" s="0" t="s">
        <v>1585</v>
      </c>
      <c r="B162" s="0" t="s">
        <v>1593</v>
      </c>
      <c r="C162" s="0" t="s">
        <v>1553</v>
      </c>
      <c r="D162" s="0" t="s">
        <v>1263</v>
      </c>
      <c r="F162" s="393" t="s">
        <v>1594</v>
      </c>
      <c r="G162" s="104" t="n">
        <f aca="false">'3a. Outputs - Dedicated Vessel'!B14</f>
        <v>24122572.2607888</v>
      </c>
      <c r="H162" s="392" t="s">
        <v>1595</v>
      </c>
      <c r="I162" s="392" t="s">
        <v>1573</v>
      </c>
    </row>
    <row r="163" customFormat="false" ht="68.65" hidden="false" customHeight="false" outlineLevel="0" collapsed="false">
      <c r="A163" s="0" t="s">
        <v>1585</v>
      </c>
      <c r="B163" s="0" t="s">
        <v>1596</v>
      </c>
      <c r="C163" s="0" t="s">
        <v>1553</v>
      </c>
      <c r="D163" s="0" t="s">
        <v>1263</v>
      </c>
      <c r="F163" s="393" t="s">
        <v>1597</v>
      </c>
      <c r="G163" s="104" t="n">
        <f aca="false">'3a. Outputs - Dedicated Vessel'!C14</f>
        <v>60954.0373576814</v>
      </c>
      <c r="H163" s="392" t="s">
        <v>1598</v>
      </c>
      <c r="I163" s="392" t="s">
        <v>1573</v>
      </c>
    </row>
    <row r="164" customFormat="false" ht="13.8" hidden="false" customHeight="false" outlineLevel="0" collapsed="false">
      <c r="A164" s="0" t="s">
        <v>1599</v>
      </c>
      <c r="B164" s="0" t="s">
        <v>1600</v>
      </c>
      <c r="C164" s="0" t="s">
        <v>1553</v>
      </c>
      <c r="D164" s="0" t="s">
        <v>1263</v>
      </c>
      <c r="F164" s="0" t="s">
        <v>419</v>
      </c>
      <c r="H164" s="392" t="s">
        <v>1357</v>
      </c>
    </row>
    <row r="165" customFormat="false" ht="102.2" hidden="false" customHeight="false" outlineLevel="0" collapsed="false">
      <c r="A165" s="0" t="s">
        <v>1599</v>
      </c>
      <c r="B165" s="0" t="s">
        <v>1601</v>
      </c>
      <c r="C165" s="0" t="s">
        <v>1553</v>
      </c>
      <c r="D165" s="0" t="s">
        <v>1263</v>
      </c>
      <c r="F165" s="393" t="s">
        <v>1602</v>
      </c>
      <c r="G165" s="161" t="n">
        <f aca="false">'3b. Outputs - Ship Piggyback'!B44</f>
        <v>19.4504821532208</v>
      </c>
      <c r="H165" s="392" t="s">
        <v>1603</v>
      </c>
    </row>
    <row r="166" customFormat="false" ht="13.8" hidden="false" customHeight="false" outlineLevel="0" collapsed="false">
      <c r="A166" s="0" t="s">
        <v>1599</v>
      </c>
      <c r="B166" s="0" t="s">
        <v>1604</v>
      </c>
      <c r="C166" s="0" t="s">
        <v>1553</v>
      </c>
      <c r="D166" s="0" t="s">
        <v>1263</v>
      </c>
      <c r="F166" s="0" t="s">
        <v>420</v>
      </c>
      <c r="H166" s="392" t="s">
        <v>1353</v>
      </c>
    </row>
    <row r="167" customFormat="false" ht="13.8" hidden="false" customHeight="false" outlineLevel="0" collapsed="false">
      <c r="A167" s="0" t="s">
        <v>1599</v>
      </c>
      <c r="B167" s="0" t="s">
        <v>1605</v>
      </c>
      <c r="C167" s="0" t="s">
        <v>1553</v>
      </c>
      <c r="D167" s="0" t="s">
        <v>1263</v>
      </c>
      <c r="F167" s="0" t="s">
        <v>421</v>
      </c>
      <c r="H167" s="392" t="s">
        <v>1244</v>
      </c>
    </row>
    <row r="168" customFormat="false" ht="13.8" hidden="false" customHeight="false" outlineLevel="0" collapsed="false">
      <c r="A168" s="0" t="s">
        <v>1599</v>
      </c>
      <c r="B168" s="0" t="s">
        <v>1434</v>
      </c>
      <c r="C168" s="0" t="s">
        <v>1553</v>
      </c>
      <c r="D168" s="0" t="s">
        <v>1263</v>
      </c>
      <c r="F168" s="0" t="s">
        <v>422</v>
      </c>
      <c r="H168" s="392" t="s">
        <v>1357</v>
      </c>
    </row>
    <row r="169" customFormat="false" ht="68.65" hidden="false" customHeight="false" outlineLevel="0" collapsed="false">
      <c r="A169" s="0" t="s">
        <v>1599</v>
      </c>
      <c r="B169" s="0" t="s">
        <v>1436</v>
      </c>
      <c r="C169" s="0" t="s">
        <v>1553</v>
      </c>
      <c r="D169" s="0" t="s">
        <v>1263</v>
      </c>
      <c r="F169" s="393" t="s">
        <v>1606</v>
      </c>
      <c r="G169" s="104" t="n">
        <f aca="false">'3b. Outputs - Ship Piggyback'!B45</f>
        <v>25369.5966868273</v>
      </c>
      <c r="H169" s="392" t="s">
        <v>1607</v>
      </c>
    </row>
    <row r="170" customFormat="false" ht="13.8" hidden="false" customHeight="false" outlineLevel="0" collapsed="false">
      <c r="A170" s="0" t="s">
        <v>1599</v>
      </c>
      <c r="B170" s="0" t="s">
        <v>1608</v>
      </c>
      <c r="C170" s="0" t="s">
        <v>1553</v>
      </c>
      <c r="D170" s="0" t="s">
        <v>1263</v>
      </c>
      <c r="F170" s="0" t="s">
        <v>234</v>
      </c>
      <c r="H170" s="392" t="s">
        <v>1353</v>
      </c>
    </row>
    <row r="171" customFormat="false" ht="13.8" hidden="false" customHeight="false" outlineLevel="0" collapsed="false">
      <c r="A171" s="0" t="s">
        <v>1599</v>
      </c>
      <c r="B171" s="0" t="s">
        <v>1609</v>
      </c>
      <c r="C171" s="0" t="s">
        <v>1553</v>
      </c>
      <c r="D171" s="0" t="s">
        <v>1263</v>
      </c>
      <c r="F171" s="0" t="s">
        <v>423</v>
      </c>
      <c r="H171" s="392" t="s">
        <v>1244</v>
      </c>
    </row>
    <row r="172" customFormat="false" ht="46.25" hidden="false" customHeight="false" outlineLevel="0" collapsed="false">
      <c r="A172" s="0" t="s">
        <v>1610</v>
      </c>
      <c r="B172" s="0" t="s">
        <v>1611</v>
      </c>
      <c r="C172" s="0" t="s">
        <v>1612</v>
      </c>
      <c r="D172" s="0" t="s">
        <v>1613</v>
      </c>
      <c r="F172" s="0" t="s">
        <v>425</v>
      </c>
      <c r="H172" s="392" t="s">
        <v>1614</v>
      </c>
    </row>
    <row r="173" customFormat="false" ht="13.8" hidden="false" customHeight="false" outlineLevel="0" collapsed="false">
      <c r="A173" s="0" t="s">
        <v>1610</v>
      </c>
      <c r="B173" s="0" t="s">
        <v>1615</v>
      </c>
      <c r="C173" s="0" t="s">
        <v>1612</v>
      </c>
      <c r="D173" s="0" t="s">
        <v>1263</v>
      </c>
      <c r="F173" s="0" t="s">
        <v>464</v>
      </c>
      <c r="H173" s="392" t="s">
        <v>1484</v>
      </c>
    </row>
    <row r="174" customFormat="false" ht="13.8" hidden="false" customHeight="false" outlineLevel="0" collapsed="false">
      <c r="A174" s="0" t="s">
        <v>1610</v>
      </c>
      <c r="B174" s="0" t="s">
        <v>1616</v>
      </c>
      <c r="C174" s="0" t="s">
        <v>1612</v>
      </c>
      <c r="D174" s="0" t="s">
        <v>1263</v>
      </c>
      <c r="F174" s="0" t="s">
        <v>465</v>
      </c>
      <c r="H174" s="392" t="s">
        <v>1555</v>
      </c>
    </row>
    <row r="175" customFormat="false" ht="23.85" hidden="false" customHeight="false" outlineLevel="0" collapsed="false">
      <c r="A175" s="0" t="s">
        <v>1610</v>
      </c>
      <c r="B175" s="0" t="s">
        <v>1617</v>
      </c>
      <c r="C175" s="0" t="s">
        <v>1612</v>
      </c>
      <c r="D175" s="0" t="s">
        <v>1263</v>
      </c>
      <c r="F175" s="393" t="s">
        <v>1618</v>
      </c>
      <c r="G175" s="396" t="n">
        <f aca="false">'3c. Outputs - Fixed Platform'!B43</f>
        <v>5</v>
      </c>
      <c r="H175" s="392" t="s">
        <v>1619</v>
      </c>
    </row>
    <row r="176" customFormat="false" ht="13.8" hidden="false" customHeight="false" outlineLevel="0" collapsed="false">
      <c r="A176" s="0" t="s">
        <v>1610</v>
      </c>
      <c r="B176" s="0" t="s">
        <v>1620</v>
      </c>
      <c r="C176" s="0" t="s">
        <v>1612</v>
      </c>
      <c r="D176" s="0" t="s">
        <v>1263</v>
      </c>
      <c r="F176" s="0" t="s">
        <v>466</v>
      </c>
      <c r="H176" s="392" t="s">
        <v>1353</v>
      </c>
    </row>
    <row r="177" customFormat="false" ht="13.8" hidden="false" customHeight="false" outlineLevel="0" collapsed="false">
      <c r="A177" s="0" t="s">
        <v>1610</v>
      </c>
      <c r="B177" s="0" t="s">
        <v>1621</v>
      </c>
      <c r="C177" s="0" t="s">
        <v>1612</v>
      </c>
      <c r="D177" s="0" t="s">
        <v>1263</v>
      </c>
      <c r="F177" s="0" t="s">
        <v>467</v>
      </c>
      <c r="H177" s="392" t="s">
        <v>1244</v>
      </c>
    </row>
    <row r="178" customFormat="false" ht="13.8" hidden="false" customHeight="false" outlineLevel="0" collapsed="false">
      <c r="A178" s="0" t="s">
        <v>1610</v>
      </c>
      <c r="B178" s="0" t="s">
        <v>1622</v>
      </c>
      <c r="C178" s="0" t="s">
        <v>1612</v>
      </c>
      <c r="D178" s="0" t="s">
        <v>1263</v>
      </c>
      <c r="F178" s="0" t="s">
        <v>468</v>
      </c>
      <c r="H178" s="392" t="s">
        <v>1216</v>
      </c>
    </row>
    <row r="179" customFormat="false" ht="13.8" hidden="false" customHeight="false" outlineLevel="0" collapsed="false">
      <c r="A179" s="0" t="s">
        <v>1610</v>
      </c>
      <c r="B179" s="0" t="s">
        <v>1600</v>
      </c>
      <c r="C179" s="0" t="s">
        <v>1612</v>
      </c>
      <c r="D179" s="0" t="s">
        <v>1263</v>
      </c>
      <c r="F179" s="0" t="s">
        <v>469</v>
      </c>
      <c r="H179" s="392" t="s">
        <v>1555</v>
      </c>
    </row>
    <row r="180" customFormat="false" ht="57.45" hidden="false" customHeight="false" outlineLevel="0" collapsed="false">
      <c r="A180" s="0" t="s">
        <v>1610</v>
      </c>
      <c r="B180" s="0" t="s">
        <v>1601</v>
      </c>
      <c r="C180" s="0" t="s">
        <v>1612</v>
      </c>
      <c r="D180" s="0" t="s">
        <v>1263</v>
      </c>
      <c r="F180" s="393" t="s">
        <v>1623</v>
      </c>
      <c r="G180" s="104" t="n">
        <f aca="false">'3c. Outputs - Fixed Platform'!B44</f>
        <v>455000</v>
      </c>
      <c r="H180" s="392" t="s">
        <v>1624</v>
      </c>
      <c r="I180" s="392" t="s">
        <v>1625</v>
      </c>
    </row>
    <row r="181" customFormat="false" ht="13.8" hidden="false" customHeight="false" outlineLevel="0" collapsed="false">
      <c r="A181" s="0" t="s">
        <v>1610</v>
      </c>
      <c r="B181" s="0" t="s">
        <v>1604</v>
      </c>
      <c r="C181" s="0" t="s">
        <v>1612</v>
      </c>
      <c r="D181" s="0" t="s">
        <v>1263</v>
      </c>
      <c r="F181" s="0" t="s">
        <v>470</v>
      </c>
      <c r="H181" s="392" t="s">
        <v>1353</v>
      </c>
    </row>
    <row r="182" customFormat="false" ht="13.8" hidden="false" customHeight="false" outlineLevel="0" collapsed="false">
      <c r="A182" s="0" t="s">
        <v>1610</v>
      </c>
      <c r="B182" s="0" t="s">
        <v>1605</v>
      </c>
      <c r="C182" s="0" t="s">
        <v>1612</v>
      </c>
      <c r="D182" s="0" t="s">
        <v>1263</v>
      </c>
      <c r="F182" s="0" t="s">
        <v>471</v>
      </c>
      <c r="H182" s="392" t="s">
        <v>1244</v>
      </c>
    </row>
    <row r="183" customFormat="false" ht="13.8" hidden="false" customHeight="false" outlineLevel="0" collapsed="false">
      <c r="A183" s="0" t="s">
        <v>1610</v>
      </c>
      <c r="B183" s="0" t="s">
        <v>1430</v>
      </c>
      <c r="C183" s="0" t="s">
        <v>1612</v>
      </c>
      <c r="D183" s="0" t="s">
        <v>1263</v>
      </c>
      <c r="F183" s="0" t="s">
        <v>472</v>
      </c>
      <c r="H183" s="392" t="s">
        <v>1216</v>
      </c>
    </row>
    <row r="184" customFormat="false" ht="13.8" hidden="false" customHeight="false" outlineLevel="0" collapsed="false">
      <c r="A184" s="0" t="s">
        <v>1610</v>
      </c>
      <c r="B184" s="0" t="s">
        <v>1434</v>
      </c>
      <c r="C184" s="0" t="s">
        <v>1612</v>
      </c>
      <c r="D184" s="0" t="s">
        <v>1263</v>
      </c>
      <c r="F184" s="0" t="s">
        <v>473</v>
      </c>
      <c r="H184" s="392" t="s">
        <v>1555</v>
      </c>
    </row>
    <row r="185" customFormat="false" ht="35.05" hidden="false" customHeight="false" outlineLevel="0" collapsed="false">
      <c r="A185" s="0" t="s">
        <v>1610</v>
      </c>
      <c r="B185" s="0" t="s">
        <v>1436</v>
      </c>
      <c r="C185" s="0" t="s">
        <v>1612</v>
      </c>
      <c r="D185" s="0" t="s">
        <v>1263</v>
      </c>
      <c r="F185" s="393" t="s">
        <v>1626</v>
      </c>
      <c r="G185" s="398" t="n">
        <f aca="false">'3c. Outputs - Fixed Platform'!B45</f>
        <v>0.45</v>
      </c>
      <c r="H185" s="392" t="s">
        <v>1627</v>
      </c>
      <c r="I185" s="392" t="s">
        <v>1628</v>
      </c>
    </row>
    <row r="186" customFormat="false" ht="13.8" hidden="false" customHeight="false" outlineLevel="0" collapsed="false">
      <c r="A186" s="0" t="s">
        <v>1610</v>
      </c>
      <c r="B186" s="0" t="s">
        <v>1608</v>
      </c>
      <c r="C186" s="0" t="s">
        <v>1612</v>
      </c>
      <c r="D186" s="0" t="s">
        <v>1263</v>
      </c>
      <c r="F186" s="0" t="s">
        <v>103</v>
      </c>
      <c r="H186" s="392" t="s">
        <v>1353</v>
      </c>
    </row>
    <row r="187" customFormat="false" ht="13.8" hidden="false" customHeight="false" outlineLevel="0" collapsed="false">
      <c r="A187" s="0" t="s">
        <v>1610</v>
      </c>
      <c r="B187" s="0" t="s">
        <v>1609</v>
      </c>
      <c r="C187" s="0" t="s">
        <v>1612</v>
      </c>
      <c r="D187" s="0" t="s">
        <v>1263</v>
      </c>
      <c r="F187" s="0" t="s">
        <v>474</v>
      </c>
      <c r="H187" s="392" t="s">
        <v>1244</v>
      </c>
    </row>
    <row r="188" customFormat="false" ht="13.8" hidden="false" customHeight="false" outlineLevel="0" collapsed="false">
      <c r="A188" s="0" t="s">
        <v>1610</v>
      </c>
      <c r="B188" s="0" t="s">
        <v>1441</v>
      </c>
      <c r="C188" s="0" t="s">
        <v>1612</v>
      </c>
      <c r="D188" s="0" t="s">
        <v>1263</v>
      </c>
      <c r="F188" s="0" t="s">
        <v>475</v>
      </c>
      <c r="H188" s="392" t="s">
        <v>1216</v>
      </c>
    </row>
    <row r="189" customFormat="false" ht="13.8" hidden="false" customHeight="false" outlineLevel="0" collapsed="false">
      <c r="A189" s="0" t="s">
        <v>1610</v>
      </c>
      <c r="B189" s="0" t="s">
        <v>1443</v>
      </c>
      <c r="C189" s="0" t="s">
        <v>1612</v>
      </c>
      <c r="D189" s="0" t="s">
        <v>1263</v>
      </c>
      <c r="F189" s="0" t="s">
        <v>476</v>
      </c>
      <c r="H189" s="392" t="s">
        <v>1357</v>
      </c>
    </row>
    <row r="190" customFormat="false" ht="46.25" hidden="false" customHeight="false" outlineLevel="0" collapsed="false">
      <c r="A190" s="0" t="s">
        <v>1610</v>
      </c>
      <c r="B190" s="0" t="s">
        <v>1446</v>
      </c>
      <c r="C190" s="0" t="s">
        <v>1612</v>
      </c>
      <c r="D190" s="0" t="s">
        <v>1263</v>
      </c>
      <c r="F190" s="393" t="s">
        <v>1629</v>
      </c>
      <c r="G190" s="104" t="n">
        <f aca="false">'3c. Outputs - Fixed Platform'!B46</f>
        <v>3298750</v>
      </c>
      <c r="H190" s="392" t="s">
        <v>1630</v>
      </c>
    </row>
    <row r="191" customFormat="false" ht="13.8" hidden="false" customHeight="false" outlineLevel="0" collapsed="false">
      <c r="A191" s="0" t="s">
        <v>1610</v>
      </c>
      <c r="B191" s="0" t="s">
        <v>1449</v>
      </c>
      <c r="C191" s="0" t="s">
        <v>1612</v>
      </c>
      <c r="D191" s="0" t="s">
        <v>1263</v>
      </c>
      <c r="F191" s="0" t="s">
        <v>207</v>
      </c>
      <c r="H191" s="392" t="s">
        <v>1353</v>
      </c>
    </row>
    <row r="192" customFormat="false" ht="13.8" hidden="false" customHeight="false" outlineLevel="0" collapsed="false">
      <c r="A192" s="0" t="s">
        <v>1610</v>
      </c>
      <c r="B192" s="0" t="s">
        <v>1631</v>
      </c>
      <c r="C192" s="0" t="s">
        <v>1612</v>
      </c>
      <c r="D192" s="0" t="s">
        <v>1263</v>
      </c>
      <c r="F192" s="0" t="s">
        <v>477</v>
      </c>
      <c r="H192" s="392" t="s">
        <v>1244</v>
      </c>
    </row>
    <row r="193" customFormat="false" ht="46.25" hidden="false" customHeight="false" outlineLevel="0" collapsed="false">
      <c r="A193" s="0" t="s">
        <v>1610</v>
      </c>
      <c r="B193" s="0" t="s">
        <v>1632</v>
      </c>
      <c r="C193" s="0" t="s">
        <v>1612</v>
      </c>
      <c r="D193" s="393" t="s">
        <v>1633</v>
      </c>
      <c r="E193" s="0" t="n">
        <v>10341677.5217781</v>
      </c>
      <c r="F193" s="393" t="s">
        <v>1634</v>
      </c>
      <c r="G193" s="104" t="n">
        <f aca="false">'3c. Outputs - Fixed Platform'!B24</f>
        <v>13640427.5217781</v>
      </c>
      <c r="H193" s="392" t="s">
        <v>1635</v>
      </c>
    </row>
    <row r="194" customFormat="false" ht="91" hidden="false" customHeight="false" outlineLevel="0" collapsed="false">
      <c r="A194" s="0" t="s">
        <v>1585</v>
      </c>
      <c r="B194" s="0" t="s">
        <v>1636</v>
      </c>
      <c r="C194" s="0" t="s">
        <v>1637</v>
      </c>
      <c r="D194" s="393" t="s">
        <v>1638</v>
      </c>
      <c r="E194" s="0" t="n">
        <v>2112000</v>
      </c>
      <c r="F194" s="393" t="s">
        <v>1639</v>
      </c>
      <c r="G194" s="103" t="n">
        <f aca="false">'3a. Outputs - Dedicated Vessel'!C51</f>
        <v>2468400</v>
      </c>
      <c r="H194" s="392" t="s">
        <v>1640</v>
      </c>
    </row>
    <row r="195" customFormat="false" ht="91" hidden="false" customHeight="false" outlineLevel="0" collapsed="false">
      <c r="A195" s="0" t="s">
        <v>1585</v>
      </c>
      <c r="B195" s="0" t="s">
        <v>1641</v>
      </c>
      <c r="C195" s="0" t="s">
        <v>1637</v>
      </c>
      <c r="D195" s="393" t="s">
        <v>1642</v>
      </c>
      <c r="E195" s="0" t="n">
        <v>237.450117890334</v>
      </c>
      <c r="F195" s="393" t="s">
        <v>1643</v>
      </c>
      <c r="G195" s="103" t="n">
        <f aca="false">'3a. Outputs - Dedicated Vessel'!B31</f>
        <v>134.555066804523</v>
      </c>
      <c r="H195" s="392" t="s">
        <v>1644</v>
      </c>
    </row>
    <row r="196" customFormat="false" ht="57.45" hidden="false" customHeight="false" outlineLevel="0" collapsed="false">
      <c r="A196" s="0" t="s">
        <v>1585</v>
      </c>
      <c r="B196" s="0" t="s">
        <v>1645</v>
      </c>
      <c r="C196" s="0" t="s">
        <v>1637</v>
      </c>
      <c r="D196" s="393" t="s">
        <v>1646</v>
      </c>
      <c r="E196" s="0" t="n">
        <v>45501.7517620573</v>
      </c>
      <c r="F196" s="393" t="s">
        <v>1647</v>
      </c>
      <c r="G196" s="103" t="n">
        <f aca="false">'3a. Outputs - Dedicated Vessel'!B32</f>
        <v>53531.4726612439</v>
      </c>
      <c r="H196" s="392" t="s">
        <v>1648</v>
      </c>
    </row>
    <row r="197" customFormat="false" ht="102.2" hidden="false" customHeight="false" outlineLevel="0" collapsed="false">
      <c r="A197" s="0" t="s">
        <v>1585</v>
      </c>
      <c r="B197" s="0" t="s">
        <v>1649</v>
      </c>
      <c r="C197" s="0" t="s">
        <v>1637</v>
      </c>
      <c r="D197" s="393" t="s">
        <v>1650</v>
      </c>
      <c r="E197" s="0" t="n">
        <v>107522204.266059</v>
      </c>
      <c r="F197" s="393" t="s">
        <v>1651</v>
      </c>
      <c r="G197" s="104" t="n">
        <f aca="false">'3a. Outputs - Dedicated Vessel'!B33</f>
        <v>116696469.510706</v>
      </c>
      <c r="H197" s="392" t="s">
        <v>1652</v>
      </c>
    </row>
    <row r="198" customFormat="false" ht="46.25" hidden="false" customHeight="false" outlineLevel="0" collapsed="false">
      <c r="A198" s="0" t="s">
        <v>1585</v>
      </c>
      <c r="B198" s="0" t="s">
        <v>1653</v>
      </c>
      <c r="C198" s="0" t="s">
        <v>1637</v>
      </c>
      <c r="D198" s="393" t="s">
        <v>1654</v>
      </c>
      <c r="E198" s="0" t="n">
        <v>1260000</v>
      </c>
      <c r="F198" s="393" t="s">
        <v>1655</v>
      </c>
      <c r="G198" s="104" t="n">
        <f aca="false">'3a. Outputs - Dedicated Vessel'!B38</f>
        <v>1260000</v>
      </c>
      <c r="H198" s="392" t="s">
        <v>1656</v>
      </c>
    </row>
    <row r="199" customFormat="false" ht="23.85" hidden="false" customHeight="false" outlineLevel="0" collapsed="false">
      <c r="A199" s="0" t="s">
        <v>1585</v>
      </c>
      <c r="B199" s="0" t="s">
        <v>1358</v>
      </c>
      <c r="C199" s="0" t="s">
        <v>1637</v>
      </c>
      <c r="D199" s="393" t="s">
        <v>1657</v>
      </c>
      <c r="E199" s="0" t="n">
        <v>2851200</v>
      </c>
      <c r="F199" s="393" t="s">
        <v>1658</v>
      </c>
      <c r="G199" s="104" t="n">
        <f aca="false">'3a. Outputs - Dedicated Vessel'!B40</f>
        <v>3332340</v>
      </c>
      <c r="H199" s="392" t="s">
        <v>1659</v>
      </c>
    </row>
    <row r="200" customFormat="false" ht="91" hidden="false" customHeight="false" outlineLevel="0" collapsed="false">
      <c r="A200" s="0" t="s">
        <v>1585</v>
      </c>
      <c r="B200" s="0" t="s">
        <v>1660</v>
      </c>
      <c r="C200" s="0" t="s">
        <v>1637</v>
      </c>
      <c r="D200" s="393" t="s">
        <v>1661</v>
      </c>
      <c r="E200" s="0" t="n">
        <v>395.750196483891</v>
      </c>
      <c r="F200" s="393" t="s">
        <v>1662</v>
      </c>
      <c r="G200" s="103" t="n">
        <f aca="false">'3a. Outputs - Dedicated Vessel'!C31</f>
        <v>395.750196483891</v>
      </c>
      <c r="H200" s="392" t="s">
        <v>1644</v>
      </c>
    </row>
    <row r="201" customFormat="false" ht="57.45" hidden="false" customHeight="false" outlineLevel="0" collapsed="false">
      <c r="A201" s="0" t="s">
        <v>1585</v>
      </c>
      <c r="B201" s="0" t="s">
        <v>1663</v>
      </c>
      <c r="C201" s="0" t="s">
        <v>1637</v>
      </c>
      <c r="D201" s="393" t="s">
        <v>1664</v>
      </c>
      <c r="E201" s="0" t="n">
        <v>30334.5011747049</v>
      </c>
      <c r="F201" s="393" t="s">
        <v>1665</v>
      </c>
      <c r="G201" s="103" t="n">
        <f aca="false">'3a. Outputs - Dedicated Vessel'!C32</f>
        <v>30334.5011747049</v>
      </c>
      <c r="H201" s="392" t="s">
        <v>1648</v>
      </c>
    </row>
    <row r="202" customFormat="false" ht="102.2" hidden="false" customHeight="false" outlineLevel="0" collapsed="false">
      <c r="A202" s="0" t="s">
        <v>1585</v>
      </c>
      <c r="B202" s="0" t="s">
        <v>1666</v>
      </c>
      <c r="C202" s="0" t="s">
        <v>1637</v>
      </c>
      <c r="D202" s="393" t="s">
        <v>1667</v>
      </c>
      <c r="E202" s="0" t="n">
        <v>80265019.5392005</v>
      </c>
      <c r="F202" s="393" t="s">
        <v>1668</v>
      </c>
      <c r="G202" s="104" t="n">
        <f aca="false">'3a. Outputs - Dedicated Vessel'!C33</f>
        <v>72765019.5392005</v>
      </c>
      <c r="H202" s="392" t="s">
        <v>1652</v>
      </c>
    </row>
    <row r="203" customFormat="false" ht="46.25" hidden="false" customHeight="false" outlineLevel="0" collapsed="false">
      <c r="A203" s="0" t="s">
        <v>1585</v>
      </c>
      <c r="B203" s="0" t="s">
        <v>1669</v>
      </c>
      <c r="C203" s="0" t="s">
        <v>1637</v>
      </c>
      <c r="D203" s="393" t="s">
        <v>1670</v>
      </c>
      <c r="E203" s="0" t="n">
        <v>900000</v>
      </c>
      <c r="F203" s="393" t="s">
        <v>1671</v>
      </c>
      <c r="G203" s="104" t="n">
        <f aca="false">'3a. Outputs - Dedicated Vessel'!C38</f>
        <v>900000</v>
      </c>
      <c r="H203" s="392" t="s">
        <v>1656</v>
      </c>
    </row>
    <row r="204" customFormat="false" ht="23.85" hidden="false" customHeight="false" outlineLevel="0" collapsed="false">
      <c r="A204" s="0" t="s">
        <v>1585</v>
      </c>
      <c r="B204" s="0" t="s">
        <v>1361</v>
      </c>
      <c r="C204" s="0" t="s">
        <v>1637</v>
      </c>
      <c r="D204" s="393" t="s">
        <v>1672</v>
      </c>
      <c r="E204" s="0" t="n">
        <v>1900800</v>
      </c>
      <c r="F204" s="393" t="s">
        <v>1673</v>
      </c>
      <c r="G204" s="104" t="n">
        <f aca="false">'3a. Outputs - Dedicated Vessel'!C40</f>
        <v>2221560</v>
      </c>
      <c r="H204" s="392" t="s">
        <v>1659</v>
      </c>
    </row>
    <row r="205" customFormat="false" ht="91" hidden="false" customHeight="false" outlineLevel="0" collapsed="false">
      <c r="A205" s="0" t="s">
        <v>1585</v>
      </c>
      <c r="B205" s="0" t="s">
        <v>1548</v>
      </c>
      <c r="C205" s="0" t="s">
        <v>1637</v>
      </c>
      <c r="D205" s="393" t="s">
        <v>1674</v>
      </c>
      <c r="E205" s="0" t="n">
        <v>514.475255429058</v>
      </c>
      <c r="F205" s="393" t="s">
        <v>1675</v>
      </c>
      <c r="G205" s="103" t="n">
        <f aca="false">'3a. Outputs - Dedicated Vessel'!D31</f>
        <v>5916.46543743416</v>
      </c>
      <c r="H205" s="392" t="s">
        <v>1644</v>
      </c>
    </row>
    <row r="206" customFormat="false" ht="57.45" hidden="false" customHeight="false" outlineLevel="0" collapsed="false">
      <c r="A206" s="0" t="s">
        <v>1585</v>
      </c>
      <c r="B206" s="0" t="s">
        <v>1275</v>
      </c>
      <c r="C206" s="0" t="s">
        <v>1637</v>
      </c>
      <c r="D206" s="393" t="s">
        <v>1676</v>
      </c>
      <c r="E206" s="0" t="n">
        <v>3033.45011747049</v>
      </c>
      <c r="F206" s="393" t="s">
        <v>1677</v>
      </c>
      <c r="G206" s="103" t="n">
        <f aca="false">'3a. Outputs - Dedicated Vessel'!D32</f>
        <v>2637.7827108439</v>
      </c>
      <c r="H206" s="392" t="s">
        <v>1648</v>
      </c>
    </row>
    <row r="207" customFormat="false" ht="102.2" hidden="false" customHeight="false" outlineLevel="0" collapsed="false">
      <c r="A207" s="0" t="s">
        <v>1585</v>
      </c>
      <c r="B207" s="0" t="s">
        <v>1678</v>
      </c>
      <c r="C207" s="0" t="s">
        <v>1637</v>
      </c>
      <c r="D207" s="393" t="s">
        <v>1679</v>
      </c>
      <c r="E207" s="0" t="n">
        <v>68366818.7739152</v>
      </c>
      <c r="F207" s="393" t="s">
        <v>1680</v>
      </c>
      <c r="G207" s="104" t="n">
        <f aca="false">'3a. Outputs - Dedicated Vessel'!D33</f>
        <v>44263187.7391517</v>
      </c>
      <c r="H207" s="392" t="s">
        <v>1652</v>
      </c>
    </row>
    <row r="208" customFormat="false" ht="46.25" hidden="false" customHeight="false" outlineLevel="0" collapsed="false">
      <c r="A208" s="0" t="s">
        <v>1585</v>
      </c>
      <c r="B208" s="0" t="s">
        <v>1681</v>
      </c>
      <c r="C208" s="0" t="s">
        <v>1637</v>
      </c>
      <c r="D208" s="393" t="s">
        <v>1682</v>
      </c>
      <c r="E208" s="0" t="n">
        <v>630000</v>
      </c>
      <c r="F208" s="393" t="s">
        <v>1683</v>
      </c>
      <c r="G208" s="104" t="n">
        <f aca="false">'3a. Outputs - Dedicated Vessel'!D38</f>
        <v>630000</v>
      </c>
      <c r="H208" s="392" t="s">
        <v>1656</v>
      </c>
    </row>
    <row r="209" customFormat="false" ht="23.85" hidden="false" customHeight="false" outlineLevel="0" collapsed="false">
      <c r="A209" s="0" t="s">
        <v>1585</v>
      </c>
      <c r="B209" s="0" t="s">
        <v>1362</v>
      </c>
      <c r="C209" s="0" t="s">
        <v>1637</v>
      </c>
      <c r="D209" s="393" t="s">
        <v>1684</v>
      </c>
      <c r="E209" s="0" t="n">
        <v>950400</v>
      </c>
      <c r="F209" s="393" t="s">
        <v>1685</v>
      </c>
      <c r="G209" s="104" t="n">
        <f aca="false">'3a. Outputs - Dedicated Vessel'!D40</f>
        <v>1110780</v>
      </c>
      <c r="H209" s="392" t="s">
        <v>1659</v>
      </c>
    </row>
    <row r="210" customFormat="false" ht="13.8" hidden="false" customHeight="false" outlineLevel="0" collapsed="false">
      <c r="A210" s="0" t="s">
        <v>1585</v>
      </c>
      <c r="B210" s="0" t="s">
        <v>1686</v>
      </c>
      <c r="C210" s="0" t="s">
        <v>1637</v>
      </c>
      <c r="D210" s="0" t="s">
        <v>1263</v>
      </c>
      <c r="F210" s="0" t="s">
        <v>289</v>
      </c>
      <c r="H210" s="392" t="s">
        <v>1244</v>
      </c>
    </row>
    <row r="211" customFormat="false" ht="35.05" hidden="false" customHeight="false" outlineLevel="0" collapsed="false">
      <c r="A211" s="0" t="s">
        <v>1585</v>
      </c>
      <c r="B211" s="0" t="s">
        <v>1687</v>
      </c>
      <c r="C211" s="0" t="s">
        <v>1637</v>
      </c>
      <c r="D211" s="0" t="s">
        <v>1688</v>
      </c>
      <c r="F211" s="0" t="s">
        <v>308</v>
      </c>
      <c r="H211" s="392" t="s">
        <v>1689</v>
      </c>
    </row>
    <row r="212" customFormat="false" ht="46.25" hidden="false" customHeight="false" outlineLevel="0" collapsed="false">
      <c r="A212" s="0" t="s">
        <v>1585</v>
      </c>
      <c r="B212" s="0" t="s">
        <v>1690</v>
      </c>
      <c r="C212" s="0" t="s">
        <v>1637</v>
      </c>
      <c r="D212" s="0" t="s">
        <v>1263</v>
      </c>
      <c r="F212" s="0" t="s">
        <v>318</v>
      </c>
      <c r="H212" s="392" t="s">
        <v>1691</v>
      </c>
    </row>
    <row r="213" customFormat="false" ht="124.6" hidden="false" customHeight="false" outlineLevel="0" collapsed="false">
      <c r="A213" s="0" t="s">
        <v>1585</v>
      </c>
      <c r="B213" s="0" t="s">
        <v>1692</v>
      </c>
      <c r="C213" s="0" t="s">
        <v>1637</v>
      </c>
      <c r="D213" s="393" t="s">
        <v>1693</v>
      </c>
      <c r="E213" s="0" t="n">
        <v>8142</v>
      </c>
      <c r="F213" s="393" t="s">
        <v>1694</v>
      </c>
      <c r="G213" s="0" t="n">
        <f aca="false">'3a. Outputs - Dedicated Vessel'!W50</f>
        <v>8141.33355043556</v>
      </c>
      <c r="H213" s="392" t="s">
        <v>1695</v>
      </c>
    </row>
    <row r="214" customFormat="false" ht="23.85" hidden="false" customHeight="false" outlineLevel="0" collapsed="false">
      <c r="A214" s="0" t="s">
        <v>1585</v>
      </c>
      <c r="B214" s="0" t="s">
        <v>1696</v>
      </c>
      <c r="C214" s="0" t="s">
        <v>1637</v>
      </c>
      <c r="D214" s="393" t="s">
        <v>1697</v>
      </c>
      <c r="E214" s="0" t="n">
        <v>4168.704</v>
      </c>
      <c r="F214" s="393" t="s">
        <v>1698</v>
      </c>
      <c r="G214" s="398" t="n">
        <f aca="false">'3a. Outputs - Dedicated Vessel'!X50</f>
        <v>4168.36277782301</v>
      </c>
      <c r="H214" s="392" t="s">
        <v>1699</v>
      </c>
    </row>
    <row r="215" customFormat="false" ht="23.85" hidden="false" customHeight="false" outlineLevel="0" collapsed="false">
      <c r="A215" s="0" t="s">
        <v>1585</v>
      </c>
      <c r="B215" s="0" t="s">
        <v>1700</v>
      </c>
      <c r="C215" s="0" t="s">
        <v>1637</v>
      </c>
      <c r="D215" s="0" t="s">
        <v>1263</v>
      </c>
      <c r="F215" s="393" t="s">
        <v>1701</v>
      </c>
      <c r="G215" s="395" t="n">
        <f aca="false">'3a. Outputs - Dedicated Vessel'!AK50</f>
        <v>395.750196483891</v>
      </c>
      <c r="H215" s="392" t="s">
        <v>1702</v>
      </c>
    </row>
    <row r="216" customFormat="false" ht="57.45" hidden="false" customHeight="false" outlineLevel="0" collapsed="false">
      <c r="A216" s="0" t="s">
        <v>1585</v>
      </c>
      <c r="B216" s="0" t="s">
        <v>1703</v>
      </c>
      <c r="C216" s="0" t="s">
        <v>1637</v>
      </c>
      <c r="D216" s="393" t="s">
        <v>1704</v>
      </c>
      <c r="E216" s="0" t="n">
        <v>3601465.44003908</v>
      </c>
      <c r="F216" s="393" t="s">
        <v>1705</v>
      </c>
      <c r="G216" s="0" t="n">
        <f aca="false">'3a. Outputs - Dedicated Vessel'!AE50</f>
        <v>3601465.44003908</v>
      </c>
      <c r="H216" s="392" t="s">
        <v>1706</v>
      </c>
    </row>
    <row r="217" customFormat="false" ht="23.85" hidden="false" customHeight="false" outlineLevel="0" collapsed="false">
      <c r="A217" s="0" t="s">
        <v>1585</v>
      </c>
      <c r="B217" s="0" t="s">
        <v>1707</v>
      </c>
      <c r="C217" s="0" t="s">
        <v>1637</v>
      </c>
      <c r="D217" s="393" t="s">
        <v>1708</v>
      </c>
      <c r="E217" s="0" t="n">
        <v>900000</v>
      </c>
      <c r="F217" s="393" t="s">
        <v>1709</v>
      </c>
      <c r="G217" s="0" t="n">
        <f aca="false">'3a. Outputs - Dedicated Vessel'!AF50</f>
        <v>900000</v>
      </c>
      <c r="H217" s="392" t="s">
        <v>1710</v>
      </c>
    </row>
    <row r="218" customFormat="false" ht="46.25" hidden="false" customHeight="false" outlineLevel="0" collapsed="false">
      <c r="A218" s="0" t="s">
        <v>1585</v>
      </c>
      <c r="B218" s="0" t="s">
        <v>1711</v>
      </c>
      <c r="C218" s="0" t="s">
        <v>1637</v>
      </c>
      <c r="D218" s="393" t="s">
        <v>1712</v>
      </c>
      <c r="E218" s="0" t="n">
        <v>21068947.9483846</v>
      </c>
      <c r="F218" s="393" t="s">
        <v>1713</v>
      </c>
      <c r="G218" s="0" t="n">
        <f aca="false">'3a. Outputs - Dedicated Vessel'!AI50</f>
        <v>21389498.1616386</v>
      </c>
      <c r="H218" s="392" t="s">
        <v>1714</v>
      </c>
    </row>
    <row r="219" customFormat="false" ht="57.45" hidden="false" customHeight="false" outlineLevel="0" collapsed="false">
      <c r="A219" s="0" t="s">
        <v>1585</v>
      </c>
      <c r="B219" s="0" t="s">
        <v>1715</v>
      </c>
      <c r="C219" s="0" t="s">
        <v>1637</v>
      </c>
      <c r="D219" s="393" t="s">
        <v>1716</v>
      </c>
      <c r="E219" s="0" t="n">
        <v>53237.9974427687</v>
      </c>
      <c r="F219" s="393" t="s">
        <v>1717</v>
      </c>
      <c r="G219" s="104" t="n">
        <f aca="false">'3a. Outputs - Dedicated Vessel'!AJ50</f>
        <v>54047.9786281274</v>
      </c>
      <c r="H219" s="392" t="s">
        <v>1718</v>
      </c>
    </row>
    <row r="220" customFormat="false" ht="79.85" hidden="false" customHeight="false" outlineLevel="0" collapsed="false">
      <c r="A220" s="0" t="s">
        <v>1585</v>
      </c>
      <c r="B220" s="0" t="s">
        <v>1719</v>
      </c>
      <c r="C220" s="0" t="s">
        <v>1637</v>
      </c>
      <c r="D220" s="393" t="s">
        <v>1638</v>
      </c>
      <c r="E220" s="0" t="n">
        <v>2112000</v>
      </c>
      <c r="F220" s="393" t="s">
        <v>1720</v>
      </c>
      <c r="G220" s="103" t="n">
        <f aca="false">'3a. Outputs - Dedicated Vessel'!R50</f>
        <v>2468400</v>
      </c>
      <c r="H220" s="392" t="s">
        <v>1721</v>
      </c>
    </row>
    <row r="221" customFormat="false" ht="124.6" hidden="false" customHeight="false" outlineLevel="0" collapsed="false">
      <c r="A221" s="0" t="s">
        <v>1585</v>
      </c>
      <c r="B221" s="0" t="s">
        <v>1722</v>
      </c>
      <c r="C221" s="0" t="s">
        <v>1637</v>
      </c>
      <c r="D221" s="393" t="s">
        <v>1723</v>
      </c>
      <c r="E221" s="0" t="n">
        <v>8142</v>
      </c>
      <c r="F221" s="393" t="s">
        <v>1724</v>
      </c>
      <c r="G221" s="0" t="n">
        <f aca="false">'3a. Outputs - Dedicated Vessel'!W51</f>
        <v>5427.55570029037</v>
      </c>
      <c r="H221" s="392" t="s">
        <v>1695</v>
      </c>
    </row>
    <row r="222" customFormat="false" ht="23.85" hidden="false" customHeight="false" outlineLevel="0" collapsed="false">
      <c r="A222" s="0" t="s">
        <v>1585</v>
      </c>
      <c r="B222" s="0" t="s">
        <v>1725</v>
      </c>
      <c r="C222" s="0" t="s">
        <v>1637</v>
      </c>
      <c r="D222" s="393" t="s">
        <v>1726</v>
      </c>
      <c r="E222" s="0" t="n">
        <v>6253.056</v>
      </c>
      <c r="F222" s="393" t="s">
        <v>1698</v>
      </c>
      <c r="G222" s="398" t="n">
        <f aca="false">'3a. Outputs - Dedicated Vessel'!X51</f>
        <v>4168.36277782301</v>
      </c>
      <c r="H222" s="392" t="s">
        <v>1699</v>
      </c>
    </row>
    <row r="223" customFormat="false" ht="23.85" hidden="false" customHeight="false" outlineLevel="0" collapsed="false">
      <c r="A223" s="0" t="s">
        <v>1585</v>
      </c>
      <c r="B223" s="0" t="s">
        <v>1727</v>
      </c>
      <c r="C223" s="0" t="s">
        <v>1637</v>
      </c>
      <c r="D223" s="0" t="s">
        <v>1263</v>
      </c>
      <c r="F223" s="393" t="s">
        <v>1728</v>
      </c>
      <c r="G223" s="395" t="n">
        <f aca="false">'3a. Outputs - Dedicated Vessel'!AK51</f>
        <v>263.833464322594</v>
      </c>
      <c r="H223" s="392" t="s">
        <v>1702</v>
      </c>
    </row>
    <row r="224" customFormat="false" ht="57.45" hidden="false" customHeight="false" outlineLevel="0" collapsed="false">
      <c r="A224" s="0" t="s">
        <v>1585</v>
      </c>
      <c r="B224" s="0" t="s">
        <v>1729</v>
      </c>
      <c r="C224" s="0" t="s">
        <v>1637</v>
      </c>
      <c r="D224" s="393" t="s">
        <v>1730</v>
      </c>
      <c r="E224" s="0" t="n">
        <v>5402198.16005862</v>
      </c>
      <c r="F224" s="393" t="s">
        <v>1731</v>
      </c>
      <c r="G224" s="0" t="n">
        <f aca="false">'3a. Outputs - Dedicated Vessel'!AE51</f>
        <v>3601465.44003908</v>
      </c>
      <c r="H224" s="392" t="s">
        <v>1706</v>
      </c>
    </row>
    <row r="225" customFormat="false" ht="23.85" hidden="false" customHeight="false" outlineLevel="0" collapsed="false">
      <c r="A225" s="0" t="s">
        <v>1585</v>
      </c>
      <c r="B225" s="0" t="s">
        <v>1732</v>
      </c>
      <c r="C225" s="0" t="s">
        <v>1637</v>
      </c>
      <c r="D225" s="393" t="s">
        <v>1733</v>
      </c>
      <c r="E225" s="0" t="n">
        <v>900000</v>
      </c>
      <c r="F225" s="393" t="s">
        <v>1734</v>
      </c>
      <c r="G225" s="0" t="n">
        <f aca="false">'3a. Outputs - Dedicated Vessel'!AF51</f>
        <v>900000</v>
      </c>
      <c r="H225" s="392" t="s">
        <v>1710</v>
      </c>
    </row>
    <row r="226" customFormat="false" ht="46.25" hidden="false" customHeight="false" outlineLevel="0" collapsed="false">
      <c r="A226" s="0" t="s">
        <v>1585</v>
      </c>
      <c r="B226" s="0" t="s">
        <v>1735</v>
      </c>
      <c r="C226" s="0" t="s">
        <v>1637</v>
      </c>
      <c r="D226" s="393" t="s">
        <v>1736</v>
      </c>
      <c r="E226" s="0" t="n">
        <v>24003524.7968715</v>
      </c>
      <c r="F226" s="393" t="s">
        <v>1737</v>
      </c>
      <c r="G226" s="0" t="n">
        <f aca="false">'3a. Outputs - Dedicated Vessel'!AI51</f>
        <v>21289005.7785624</v>
      </c>
      <c r="H226" s="392" t="s">
        <v>1714</v>
      </c>
    </row>
    <row r="227" customFormat="false" ht="57.45" hidden="false" customHeight="false" outlineLevel="0" collapsed="false">
      <c r="A227" s="0" t="s">
        <v>1585</v>
      </c>
      <c r="B227" s="0" t="s">
        <v>1738</v>
      </c>
      <c r="C227" s="0" t="s">
        <v>1637</v>
      </c>
      <c r="D227" s="393" t="s">
        <v>1739</v>
      </c>
      <c r="E227" s="0" t="n">
        <v>60653.222689805</v>
      </c>
      <c r="F227" s="393" t="s">
        <v>1740</v>
      </c>
      <c r="G227" s="104" t="n">
        <f aca="false">'3a. Outputs - Dedicated Vessel'!AJ51</f>
        <v>80691.0747020779</v>
      </c>
      <c r="H227" s="392" t="s">
        <v>1718</v>
      </c>
    </row>
    <row r="228" customFormat="false" ht="79.85" hidden="false" customHeight="false" outlineLevel="0" collapsed="false">
      <c r="A228" s="0" t="s">
        <v>1585</v>
      </c>
      <c r="B228" s="0" t="s">
        <v>1741</v>
      </c>
      <c r="C228" s="0" t="s">
        <v>1637</v>
      </c>
      <c r="D228" s="393" t="s">
        <v>1638</v>
      </c>
      <c r="E228" s="0" t="n">
        <v>2112000</v>
      </c>
      <c r="F228" s="393" t="s">
        <v>1742</v>
      </c>
      <c r="G228" s="103" t="n">
        <f aca="false">'3a. Outputs - Dedicated Vessel'!R51</f>
        <v>2468400</v>
      </c>
      <c r="H228" s="392" t="s">
        <v>1721</v>
      </c>
    </row>
    <row r="229" customFormat="false" ht="124.6" hidden="false" customHeight="false" outlineLevel="0" collapsed="false">
      <c r="A229" s="0" t="s">
        <v>1585</v>
      </c>
      <c r="B229" s="0" t="s">
        <v>1743</v>
      </c>
      <c r="C229" s="0" t="s">
        <v>1637</v>
      </c>
      <c r="D229" s="393" t="s">
        <v>1744</v>
      </c>
      <c r="E229" s="0" t="n">
        <v>8142</v>
      </c>
      <c r="F229" s="393" t="s">
        <v>1745</v>
      </c>
      <c r="G229" s="0" t="n">
        <f aca="false">'3a. Outputs - Dedicated Vessel'!W52</f>
        <v>81413.3355043556</v>
      </c>
      <c r="H229" s="392" t="s">
        <v>1695</v>
      </c>
    </row>
    <row r="230" customFormat="false" ht="23.85" hidden="false" customHeight="false" outlineLevel="0" collapsed="false">
      <c r="A230" s="0" t="s">
        <v>1585</v>
      </c>
      <c r="B230" s="0" t="s">
        <v>1746</v>
      </c>
      <c r="C230" s="0" t="s">
        <v>1637</v>
      </c>
      <c r="D230" s="393" t="s">
        <v>1747</v>
      </c>
      <c r="E230" s="0" t="n">
        <v>416.8704</v>
      </c>
      <c r="F230" s="393" t="s">
        <v>1698</v>
      </c>
      <c r="G230" s="398" t="n">
        <f aca="false">'3a. Outputs - Dedicated Vessel'!X52</f>
        <v>4168.36277782301</v>
      </c>
      <c r="H230" s="392" t="s">
        <v>1699</v>
      </c>
    </row>
    <row r="231" customFormat="false" ht="23.85" hidden="false" customHeight="false" outlineLevel="0" collapsed="false">
      <c r="A231" s="0" t="s">
        <v>1585</v>
      </c>
      <c r="B231" s="0" t="s">
        <v>1748</v>
      </c>
      <c r="C231" s="0" t="s">
        <v>1637</v>
      </c>
      <c r="D231" s="0" t="s">
        <v>1263</v>
      </c>
      <c r="F231" s="393" t="s">
        <v>1749</v>
      </c>
      <c r="G231" s="395" t="n">
        <f aca="false">'3a. Outputs - Dedicated Vessel'!AK52</f>
        <v>3957.50196483891</v>
      </c>
      <c r="H231" s="392" t="s">
        <v>1702</v>
      </c>
    </row>
    <row r="232" customFormat="false" ht="57.45" hidden="false" customHeight="false" outlineLevel="0" collapsed="false">
      <c r="A232" s="0" t="s">
        <v>1585</v>
      </c>
      <c r="B232" s="0" t="s">
        <v>1750</v>
      </c>
      <c r="C232" s="0" t="s">
        <v>1637</v>
      </c>
      <c r="D232" s="393" t="s">
        <v>1751</v>
      </c>
      <c r="E232" s="0" t="n">
        <v>360146.544003908</v>
      </c>
      <c r="F232" s="393" t="s">
        <v>1752</v>
      </c>
      <c r="G232" s="0" t="n">
        <f aca="false">'3a. Outputs - Dedicated Vessel'!AE52</f>
        <v>3601465.44003908</v>
      </c>
      <c r="H232" s="392" t="s">
        <v>1706</v>
      </c>
    </row>
    <row r="233" customFormat="false" ht="23.85" hidden="false" customHeight="false" outlineLevel="0" collapsed="false">
      <c r="A233" s="0" t="s">
        <v>1585</v>
      </c>
      <c r="B233" s="0" t="s">
        <v>1753</v>
      </c>
      <c r="C233" s="0" t="s">
        <v>1637</v>
      </c>
      <c r="D233" s="393" t="s">
        <v>1754</v>
      </c>
      <c r="E233" s="0" t="n">
        <v>900000</v>
      </c>
      <c r="F233" s="393" t="s">
        <v>1755</v>
      </c>
      <c r="G233" s="0" t="n">
        <f aca="false">'3a. Outputs - Dedicated Vessel'!AF52</f>
        <v>900000</v>
      </c>
      <c r="H233" s="392" t="s">
        <v>1710</v>
      </c>
    </row>
    <row r="234" customFormat="false" ht="46.25" hidden="false" customHeight="false" outlineLevel="0" collapsed="false">
      <c r="A234" s="0" t="s">
        <v>1585</v>
      </c>
      <c r="B234" s="0" t="s">
        <v>1756</v>
      </c>
      <c r="C234" s="0" t="s">
        <v>1637</v>
      </c>
      <c r="D234" s="393" t="s">
        <v>1757</v>
      </c>
      <c r="E234" s="0" t="n">
        <v>15786709.621108</v>
      </c>
      <c r="F234" s="393" t="s">
        <v>1758</v>
      </c>
      <c r="G234" s="0" t="n">
        <f aca="false">'3a. Outputs - Dedicated Vessel'!AI52</f>
        <v>24102792.5046944</v>
      </c>
      <c r="H234" s="392" t="s">
        <v>1714</v>
      </c>
    </row>
    <row r="235" customFormat="false" ht="57.45" hidden="false" customHeight="false" outlineLevel="0" collapsed="false">
      <c r="A235" s="0" t="s">
        <v>1585</v>
      </c>
      <c r="B235" s="0" t="s">
        <v>1759</v>
      </c>
      <c r="C235" s="0" t="s">
        <v>1637</v>
      </c>
      <c r="D235" s="393" t="s">
        <v>1760</v>
      </c>
      <c r="E235" s="0" t="n">
        <v>39890.5919981031</v>
      </c>
      <c r="F235" s="393" t="s">
        <v>1761</v>
      </c>
      <c r="G235" s="104" t="n">
        <f aca="false">'3a. Outputs - Dedicated Vessel'!AJ52</f>
        <v>6090.40569501662</v>
      </c>
      <c r="H235" s="392" t="s">
        <v>1718</v>
      </c>
    </row>
    <row r="236" customFormat="false" ht="79.85" hidden="false" customHeight="false" outlineLevel="0" collapsed="false">
      <c r="A236" s="0" t="s">
        <v>1585</v>
      </c>
      <c r="B236" s="0" t="s">
        <v>1762</v>
      </c>
      <c r="C236" s="0" t="s">
        <v>1637</v>
      </c>
      <c r="D236" s="393" t="s">
        <v>1638</v>
      </c>
      <c r="E236" s="0" t="n">
        <v>2112000</v>
      </c>
      <c r="F236" s="393" t="s">
        <v>1763</v>
      </c>
      <c r="G236" s="103" t="n">
        <f aca="false">'3a. Outputs - Dedicated Vessel'!R52</f>
        <v>2468400</v>
      </c>
      <c r="H236" s="392" t="s">
        <v>1721</v>
      </c>
    </row>
    <row r="237" customFormat="false" ht="124.6" hidden="false" customHeight="false" outlineLevel="0" collapsed="false">
      <c r="A237" s="0" t="s">
        <v>1585</v>
      </c>
      <c r="B237" s="0" t="s">
        <v>1764</v>
      </c>
      <c r="C237" s="0" t="s">
        <v>1637</v>
      </c>
      <c r="D237" s="393" t="s">
        <v>1765</v>
      </c>
      <c r="E237" s="0" t="n">
        <v>8142</v>
      </c>
      <c r="F237" s="393" t="s">
        <v>1694</v>
      </c>
      <c r="G237" s="0" t="n">
        <f aca="false">'3a. Outputs - Dedicated Vessel'!W53</f>
        <v>8141.33355043556</v>
      </c>
      <c r="H237" s="392" t="s">
        <v>1695</v>
      </c>
    </row>
    <row r="238" customFormat="false" ht="23.85" hidden="false" customHeight="false" outlineLevel="0" collapsed="false">
      <c r="A238" s="0" t="s">
        <v>1585</v>
      </c>
      <c r="B238" s="0" t="s">
        <v>1766</v>
      </c>
      <c r="C238" s="0" t="s">
        <v>1637</v>
      </c>
      <c r="D238" s="393" t="s">
        <v>1767</v>
      </c>
      <c r="E238" s="0" t="n">
        <v>4168.704</v>
      </c>
      <c r="F238" s="393" t="s">
        <v>1698</v>
      </c>
      <c r="G238" s="398" t="n">
        <f aca="false">'3a. Outputs - Dedicated Vessel'!X53</f>
        <v>4168.36277782301</v>
      </c>
      <c r="H238" s="392" t="s">
        <v>1699</v>
      </c>
    </row>
    <row r="239" customFormat="false" ht="23.85" hidden="false" customHeight="false" outlineLevel="0" collapsed="false">
      <c r="A239" s="0" t="s">
        <v>1585</v>
      </c>
      <c r="B239" s="0" t="s">
        <v>1768</v>
      </c>
      <c r="C239" s="0" t="s">
        <v>1637</v>
      </c>
      <c r="D239" s="0" t="s">
        <v>1263</v>
      </c>
      <c r="F239" s="393" t="s">
        <v>1769</v>
      </c>
      <c r="G239" s="395" t="n">
        <f aca="false">'3a. Outputs - Dedicated Vessel'!AK53</f>
        <v>395.750196483891</v>
      </c>
      <c r="H239" s="392" t="s">
        <v>1702</v>
      </c>
    </row>
    <row r="240" customFormat="false" ht="57.45" hidden="false" customHeight="false" outlineLevel="0" collapsed="false">
      <c r="A240" s="0" t="s">
        <v>1585</v>
      </c>
      <c r="B240" s="0" t="s">
        <v>1770</v>
      </c>
      <c r="C240" s="0" t="s">
        <v>1637</v>
      </c>
      <c r="D240" s="393" t="s">
        <v>1771</v>
      </c>
      <c r="E240" s="0" t="n">
        <v>3601465.44003908</v>
      </c>
      <c r="F240" s="393" t="s">
        <v>1772</v>
      </c>
      <c r="G240" s="0" t="n">
        <f aca="false">'3a. Outputs - Dedicated Vessel'!AE53</f>
        <v>3601465.44003908</v>
      </c>
      <c r="H240" s="392" t="s">
        <v>1706</v>
      </c>
    </row>
    <row r="241" customFormat="false" ht="23.85" hidden="false" customHeight="false" outlineLevel="0" collapsed="false">
      <c r="A241" s="0" t="s">
        <v>1585</v>
      </c>
      <c r="B241" s="0" t="s">
        <v>1773</v>
      </c>
      <c r="C241" s="0" t="s">
        <v>1637</v>
      </c>
      <c r="D241" s="393" t="s">
        <v>1774</v>
      </c>
      <c r="E241" s="0" t="n">
        <v>900000</v>
      </c>
      <c r="F241" s="393" t="s">
        <v>1775</v>
      </c>
      <c r="G241" s="0" t="n">
        <f aca="false">'3a. Outputs - Dedicated Vessel'!AF53</f>
        <v>900000</v>
      </c>
      <c r="H241" s="392" t="s">
        <v>1710</v>
      </c>
    </row>
    <row r="242" customFormat="false" ht="46.25" hidden="false" customHeight="false" outlineLevel="0" collapsed="false">
      <c r="A242" s="0" t="s">
        <v>1585</v>
      </c>
      <c r="B242" s="0" t="s">
        <v>1776</v>
      </c>
      <c r="C242" s="0" t="s">
        <v>1637</v>
      </c>
      <c r="D242" s="393" t="s">
        <v>1777</v>
      </c>
      <c r="E242" s="0" t="n">
        <v>22019347.9483846</v>
      </c>
      <c r="F242" s="393" t="s">
        <v>1778</v>
      </c>
      <c r="G242" s="0" t="n">
        <f aca="false">'3a. Outputs - Dedicated Vessel'!AI53</f>
        <v>22500278.1616386</v>
      </c>
      <c r="H242" s="392" t="s">
        <v>1714</v>
      </c>
    </row>
    <row r="243" customFormat="false" ht="57.45" hidden="false" customHeight="false" outlineLevel="0" collapsed="false">
      <c r="A243" s="0" t="s">
        <v>1585</v>
      </c>
      <c r="B243" s="0" t="s">
        <v>1779</v>
      </c>
      <c r="C243" s="0" t="s">
        <v>1637</v>
      </c>
      <c r="D243" s="393" t="s">
        <v>1780</v>
      </c>
      <c r="E243" s="0" t="n">
        <v>55639.5123591073</v>
      </c>
      <c r="F243" s="393" t="s">
        <v>1781</v>
      </c>
      <c r="G243" s="104" t="n">
        <f aca="false">'3a. Outputs - Dedicated Vessel'!AJ53</f>
        <v>56854.7491865982</v>
      </c>
      <c r="H243" s="392" t="s">
        <v>1718</v>
      </c>
    </row>
    <row r="244" customFormat="false" ht="124.6" hidden="false" customHeight="false" outlineLevel="0" collapsed="false">
      <c r="A244" s="0" t="s">
        <v>1585</v>
      </c>
      <c r="B244" s="0" t="s">
        <v>1782</v>
      </c>
      <c r="C244" s="0" t="s">
        <v>1637</v>
      </c>
      <c r="D244" s="393" t="s">
        <v>1783</v>
      </c>
      <c r="E244" s="0" t="n">
        <v>8142</v>
      </c>
      <c r="F244" s="393" t="s">
        <v>1694</v>
      </c>
      <c r="G244" s="0" t="n">
        <f aca="false">'3a. Outputs - Dedicated Vessel'!W54</f>
        <v>8141.33355043556</v>
      </c>
      <c r="H244" s="392" t="s">
        <v>1695</v>
      </c>
    </row>
    <row r="245" customFormat="false" ht="23.85" hidden="false" customHeight="false" outlineLevel="0" collapsed="false">
      <c r="A245" s="0" t="s">
        <v>1585</v>
      </c>
      <c r="B245" s="0" t="s">
        <v>1784</v>
      </c>
      <c r="C245" s="0" t="s">
        <v>1637</v>
      </c>
      <c r="D245" s="393" t="s">
        <v>1785</v>
      </c>
      <c r="E245" s="0" t="n">
        <v>4168.704</v>
      </c>
      <c r="F245" s="393" t="s">
        <v>1698</v>
      </c>
      <c r="G245" s="398" t="n">
        <f aca="false">'3a. Outputs - Dedicated Vessel'!X54</f>
        <v>4168.36277782301</v>
      </c>
      <c r="H245" s="392" t="s">
        <v>1699</v>
      </c>
    </row>
    <row r="246" customFormat="false" ht="23.85" hidden="false" customHeight="false" outlineLevel="0" collapsed="false">
      <c r="A246" s="0" t="s">
        <v>1585</v>
      </c>
      <c r="B246" s="0" t="s">
        <v>1786</v>
      </c>
      <c r="C246" s="0" t="s">
        <v>1637</v>
      </c>
      <c r="D246" s="0" t="s">
        <v>1263</v>
      </c>
      <c r="F246" s="393" t="s">
        <v>1787</v>
      </c>
      <c r="G246" s="395" t="n">
        <f aca="false">'3a. Outputs - Dedicated Vessel'!AK54</f>
        <v>395.750196483891</v>
      </c>
      <c r="H246" s="392" t="s">
        <v>1702</v>
      </c>
    </row>
    <row r="247" customFormat="false" ht="57.45" hidden="false" customHeight="false" outlineLevel="0" collapsed="false">
      <c r="A247" s="0" t="s">
        <v>1585</v>
      </c>
      <c r="B247" s="0" t="s">
        <v>1788</v>
      </c>
      <c r="C247" s="0" t="s">
        <v>1637</v>
      </c>
      <c r="D247" s="393" t="s">
        <v>1789</v>
      </c>
      <c r="E247" s="0" t="n">
        <v>3601465.44003908</v>
      </c>
      <c r="F247" s="393" t="s">
        <v>1790</v>
      </c>
      <c r="G247" s="0" t="n">
        <f aca="false">'3a. Outputs - Dedicated Vessel'!AE54</f>
        <v>3601465.44003908</v>
      </c>
      <c r="H247" s="392" t="s">
        <v>1706</v>
      </c>
    </row>
    <row r="248" customFormat="false" ht="23.85" hidden="false" customHeight="false" outlineLevel="0" collapsed="false">
      <c r="A248" s="0" t="s">
        <v>1585</v>
      </c>
      <c r="B248" s="0" t="s">
        <v>1791</v>
      </c>
      <c r="C248" s="0" t="s">
        <v>1637</v>
      </c>
      <c r="D248" s="393" t="s">
        <v>1792</v>
      </c>
      <c r="E248" s="0" t="n">
        <v>900000</v>
      </c>
      <c r="F248" s="393" t="s">
        <v>1793</v>
      </c>
      <c r="G248" s="0" t="n">
        <f aca="false">'3a. Outputs - Dedicated Vessel'!AF54</f>
        <v>900000</v>
      </c>
      <c r="H248" s="392" t="s">
        <v>1710</v>
      </c>
    </row>
    <row r="249" customFormat="false" ht="46.25" hidden="false" customHeight="false" outlineLevel="0" collapsed="false">
      <c r="A249" s="0" t="s">
        <v>1585</v>
      </c>
      <c r="B249" s="0" t="s">
        <v>1794</v>
      </c>
      <c r="C249" s="0" t="s">
        <v>1637</v>
      </c>
      <c r="D249" s="393" t="s">
        <v>1795</v>
      </c>
      <c r="E249" s="0" t="n">
        <v>20118547.9483846</v>
      </c>
      <c r="F249" s="393" t="s">
        <v>1796</v>
      </c>
      <c r="G249" s="0" t="n">
        <f aca="false">'3a. Outputs - Dedicated Vessel'!AI54</f>
        <v>20278718.1616386</v>
      </c>
      <c r="H249" s="392" t="s">
        <v>1714</v>
      </c>
    </row>
    <row r="250" customFormat="false" ht="57.45" hidden="false" customHeight="false" outlineLevel="0" collapsed="false">
      <c r="A250" s="0" t="s">
        <v>1585</v>
      </c>
      <c r="B250" s="0" t="s">
        <v>1797</v>
      </c>
      <c r="C250" s="0" t="s">
        <v>1637</v>
      </c>
      <c r="D250" s="393" t="s">
        <v>1798</v>
      </c>
      <c r="E250" s="0" t="n">
        <v>50836.48252643</v>
      </c>
      <c r="F250" s="393" t="s">
        <v>1799</v>
      </c>
      <c r="G250" s="104" t="n">
        <f aca="false">'3a. Outputs - Dedicated Vessel'!AJ54</f>
        <v>51241.2080696567</v>
      </c>
      <c r="H250" s="392" t="s">
        <v>1718</v>
      </c>
    </row>
    <row r="251" customFormat="false" ht="124.6" hidden="false" customHeight="false" outlineLevel="0" collapsed="false">
      <c r="A251" s="0" t="s">
        <v>1585</v>
      </c>
      <c r="B251" s="0" t="s">
        <v>1800</v>
      </c>
      <c r="C251" s="0" t="s">
        <v>1637</v>
      </c>
      <c r="D251" s="393" t="s">
        <v>1801</v>
      </c>
      <c r="E251" s="0" t="n">
        <v>8142</v>
      </c>
      <c r="F251" s="393" t="s">
        <v>1694</v>
      </c>
      <c r="G251" s="0" t="n">
        <f aca="false">'3a. Outputs - Dedicated Vessel'!W55</f>
        <v>8141.33355043556</v>
      </c>
      <c r="H251" s="392" t="s">
        <v>1695</v>
      </c>
    </row>
    <row r="252" customFormat="false" ht="23.85" hidden="false" customHeight="false" outlineLevel="0" collapsed="false">
      <c r="A252" s="0" t="s">
        <v>1585</v>
      </c>
      <c r="B252" s="0" t="s">
        <v>1802</v>
      </c>
      <c r="C252" s="0" t="s">
        <v>1637</v>
      </c>
      <c r="D252" s="393" t="s">
        <v>1803</v>
      </c>
      <c r="E252" s="0" t="n">
        <v>4168.704</v>
      </c>
      <c r="F252" s="393" t="s">
        <v>1698</v>
      </c>
      <c r="G252" s="398" t="n">
        <f aca="false">'3a. Outputs - Dedicated Vessel'!X55</f>
        <v>4168.36277782301</v>
      </c>
      <c r="H252" s="392" t="s">
        <v>1699</v>
      </c>
    </row>
    <row r="253" customFormat="false" ht="23.85" hidden="false" customHeight="false" outlineLevel="0" collapsed="false">
      <c r="A253" s="0" t="s">
        <v>1585</v>
      </c>
      <c r="B253" s="0" t="s">
        <v>1804</v>
      </c>
      <c r="C253" s="0" t="s">
        <v>1637</v>
      </c>
      <c r="D253" s="0" t="s">
        <v>1263</v>
      </c>
      <c r="F253" s="393" t="s">
        <v>1805</v>
      </c>
      <c r="G253" s="395" t="n">
        <f aca="false">'3a. Outputs - Dedicated Vessel'!AK55</f>
        <v>395.750196483891</v>
      </c>
      <c r="H253" s="392" t="s">
        <v>1702</v>
      </c>
    </row>
    <row r="254" customFormat="false" ht="57.45" hidden="false" customHeight="false" outlineLevel="0" collapsed="false">
      <c r="A254" s="0" t="s">
        <v>1585</v>
      </c>
      <c r="B254" s="0" t="s">
        <v>1806</v>
      </c>
      <c r="C254" s="0" t="s">
        <v>1637</v>
      </c>
      <c r="D254" s="393" t="s">
        <v>1807</v>
      </c>
      <c r="E254" s="0" t="n">
        <v>3601465.44003908</v>
      </c>
      <c r="F254" s="393" t="s">
        <v>1808</v>
      </c>
      <c r="G254" s="0" t="n">
        <f aca="false">'3a. Outputs - Dedicated Vessel'!AE55</f>
        <v>3601465.44003908</v>
      </c>
      <c r="H254" s="392" t="s">
        <v>1706</v>
      </c>
    </row>
    <row r="255" customFormat="false" ht="23.85" hidden="false" customHeight="false" outlineLevel="0" collapsed="false">
      <c r="A255" s="0" t="s">
        <v>1585</v>
      </c>
      <c r="B255" s="0" t="s">
        <v>1809</v>
      </c>
      <c r="C255" s="0" t="s">
        <v>1637</v>
      </c>
      <c r="D255" s="393" t="s">
        <v>1810</v>
      </c>
      <c r="E255" s="0" t="n">
        <v>1260000</v>
      </c>
      <c r="F255" s="393" t="s">
        <v>1811</v>
      </c>
      <c r="G255" s="0" t="n">
        <f aca="false">'3a. Outputs - Dedicated Vessel'!AF55</f>
        <v>1260000</v>
      </c>
      <c r="H255" s="392" t="s">
        <v>1710</v>
      </c>
    </row>
    <row r="256" customFormat="false" ht="46.25" hidden="false" customHeight="false" outlineLevel="0" collapsed="false">
      <c r="A256" s="0" t="s">
        <v>1585</v>
      </c>
      <c r="B256" s="0" t="s">
        <v>1812</v>
      </c>
      <c r="C256" s="0" t="s">
        <v>1637</v>
      </c>
      <c r="D256" s="393" t="s">
        <v>1813</v>
      </c>
      <c r="E256" s="0" t="n">
        <v>21428947.9483846</v>
      </c>
      <c r="F256" s="393" t="s">
        <v>1814</v>
      </c>
      <c r="G256" s="0" t="n">
        <f aca="false">'3a. Outputs - Dedicated Vessel'!AI55</f>
        <v>21749498.1616386</v>
      </c>
      <c r="H256" s="392" t="s">
        <v>1714</v>
      </c>
    </row>
    <row r="257" customFormat="false" ht="57.45" hidden="false" customHeight="false" outlineLevel="0" collapsed="false">
      <c r="A257" s="0" t="s">
        <v>1585</v>
      </c>
      <c r="B257" s="0" t="s">
        <v>1815</v>
      </c>
      <c r="C257" s="0" t="s">
        <v>1637</v>
      </c>
      <c r="D257" s="393" t="s">
        <v>1816</v>
      </c>
      <c r="E257" s="0" t="n">
        <v>54147.662183806</v>
      </c>
      <c r="F257" s="393" t="s">
        <v>1817</v>
      </c>
      <c r="G257" s="104" t="n">
        <f aca="false">'3a. Outputs - Dedicated Vessel'!AJ55</f>
        <v>54957.6433691648</v>
      </c>
      <c r="H257" s="392" t="s">
        <v>1718</v>
      </c>
    </row>
    <row r="258" customFormat="false" ht="79.85" hidden="false" customHeight="false" outlineLevel="0" collapsed="false">
      <c r="A258" s="0" t="s">
        <v>1585</v>
      </c>
      <c r="B258" s="0" t="s">
        <v>1818</v>
      </c>
      <c r="C258" s="0" t="s">
        <v>1637</v>
      </c>
      <c r="D258" s="393" t="s">
        <v>1638</v>
      </c>
      <c r="E258" s="0" t="n">
        <v>2112000</v>
      </c>
      <c r="F258" s="393" t="s">
        <v>1819</v>
      </c>
      <c r="G258" s="103" t="n">
        <f aca="false">'3a. Outputs - Dedicated Vessel'!R55</f>
        <v>2468400</v>
      </c>
      <c r="H258" s="392" t="s">
        <v>1721</v>
      </c>
    </row>
    <row r="259" customFormat="false" ht="124.6" hidden="false" customHeight="false" outlineLevel="0" collapsed="false">
      <c r="A259" s="0" t="s">
        <v>1585</v>
      </c>
      <c r="B259" s="0" t="s">
        <v>1820</v>
      </c>
      <c r="C259" s="0" t="s">
        <v>1637</v>
      </c>
      <c r="D259" s="393" t="s">
        <v>1821</v>
      </c>
      <c r="E259" s="0" t="n">
        <v>8142</v>
      </c>
      <c r="F259" s="393" t="s">
        <v>1694</v>
      </c>
      <c r="G259" s="0" t="n">
        <f aca="false">'3a. Outputs - Dedicated Vessel'!W56</f>
        <v>8141.33355043556</v>
      </c>
      <c r="H259" s="392" t="s">
        <v>1695</v>
      </c>
    </row>
    <row r="260" customFormat="false" ht="23.85" hidden="false" customHeight="false" outlineLevel="0" collapsed="false">
      <c r="A260" s="0" t="s">
        <v>1585</v>
      </c>
      <c r="B260" s="0" t="s">
        <v>1822</v>
      </c>
      <c r="C260" s="0" t="s">
        <v>1637</v>
      </c>
      <c r="D260" s="393" t="s">
        <v>1823</v>
      </c>
      <c r="E260" s="0" t="n">
        <v>4168.704</v>
      </c>
      <c r="F260" s="393" t="s">
        <v>1698</v>
      </c>
      <c r="G260" s="398" t="n">
        <f aca="false">'3a. Outputs - Dedicated Vessel'!X56</f>
        <v>4168.36277782301</v>
      </c>
      <c r="H260" s="392" t="s">
        <v>1699</v>
      </c>
    </row>
    <row r="261" customFormat="false" ht="23.85" hidden="false" customHeight="false" outlineLevel="0" collapsed="false">
      <c r="A261" s="0" t="s">
        <v>1585</v>
      </c>
      <c r="B261" s="0" t="s">
        <v>1824</v>
      </c>
      <c r="C261" s="0" t="s">
        <v>1637</v>
      </c>
      <c r="D261" s="0" t="s">
        <v>1263</v>
      </c>
      <c r="F261" s="393" t="s">
        <v>1825</v>
      </c>
      <c r="G261" s="395" t="n">
        <f aca="false">'3a. Outputs - Dedicated Vessel'!AK56</f>
        <v>395.750196483891</v>
      </c>
      <c r="H261" s="392" t="s">
        <v>1702</v>
      </c>
    </row>
    <row r="262" customFormat="false" ht="57.45" hidden="false" customHeight="false" outlineLevel="0" collapsed="false">
      <c r="A262" s="0" t="s">
        <v>1585</v>
      </c>
      <c r="B262" s="0" t="s">
        <v>1826</v>
      </c>
      <c r="C262" s="0" t="s">
        <v>1637</v>
      </c>
      <c r="D262" s="393" t="s">
        <v>1827</v>
      </c>
      <c r="E262" s="0" t="n">
        <v>3601465.44003908</v>
      </c>
      <c r="F262" s="393" t="s">
        <v>1828</v>
      </c>
      <c r="G262" s="0" t="n">
        <f aca="false">'3a. Outputs - Dedicated Vessel'!AE56</f>
        <v>3601465.44003908</v>
      </c>
      <c r="H262" s="392" t="s">
        <v>1706</v>
      </c>
    </row>
    <row r="263" customFormat="false" ht="23.85" hidden="false" customHeight="false" outlineLevel="0" collapsed="false">
      <c r="A263" s="0" t="s">
        <v>1585</v>
      </c>
      <c r="B263" s="0" t="s">
        <v>1829</v>
      </c>
      <c r="C263" s="0" t="s">
        <v>1637</v>
      </c>
      <c r="D263" s="393" t="s">
        <v>1830</v>
      </c>
      <c r="E263" s="0" t="n">
        <v>630000</v>
      </c>
      <c r="F263" s="393" t="s">
        <v>1831</v>
      </c>
      <c r="G263" s="0" t="n">
        <f aca="false">'3a. Outputs - Dedicated Vessel'!AF56</f>
        <v>630000</v>
      </c>
      <c r="H263" s="392" t="s">
        <v>1710</v>
      </c>
    </row>
    <row r="264" customFormat="false" ht="46.25" hidden="false" customHeight="false" outlineLevel="0" collapsed="false">
      <c r="A264" s="0" t="s">
        <v>1585</v>
      </c>
      <c r="B264" s="0" t="s">
        <v>1832</v>
      </c>
      <c r="C264" s="0" t="s">
        <v>1637</v>
      </c>
      <c r="D264" s="393" t="s">
        <v>1833</v>
      </c>
      <c r="E264" s="0" t="n">
        <v>20798947.9483846</v>
      </c>
      <c r="F264" s="393" t="s">
        <v>1834</v>
      </c>
      <c r="G264" s="0" t="n">
        <f aca="false">'3a. Outputs - Dedicated Vessel'!AI56</f>
        <v>21119498.1616386</v>
      </c>
      <c r="H264" s="392" t="s">
        <v>1714</v>
      </c>
    </row>
    <row r="265" customFormat="false" ht="57.45" hidden="false" customHeight="false" outlineLevel="0" collapsed="false">
      <c r="A265" s="0" t="s">
        <v>1585</v>
      </c>
      <c r="B265" s="0" t="s">
        <v>1835</v>
      </c>
      <c r="C265" s="0" t="s">
        <v>1637</v>
      </c>
      <c r="D265" s="393" t="s">
        <v>1836</v>
      </c>
      <c r="E265" s="0" t="n">
        <v>52555.7488869906</v>
      </c>
      <c r="F265" s="393" t="s">
        <v>1837</v>
      </c>
      <c r="G265" s="104" t="n">
        <f aca="false">'3a. Outputs - Dedicated Vessel'!AJ56</f>
        <v>53365.7300723494</v>
      </c>
      <c r="H265" s="392" t="s">
        <v>1718</v>
      </c>
    </row>
    <row r="266" customFormat="false" ht="79.85" hidden="false" customHeight="false" outlineLevel="0" collapsed="false">
      <c r="A266" s="0" t="s">
        <v>1585</v>
      </c>
      <c r="B266" s="0" t="s">
        <v>1838</v>
      </c>
      <c r="C266" s="0" t="s">
        <v>1637</v>
      </c>
      <c r="D266" s="393" t="s">
        <v>1638</v>
      </c>
      <c r="E266" s="0" t="n">
        <v>2112000</v>
      </c>
      <c r="F266" s="393" t="s">
        <v>1839</v>
      </c>
      <c r="G266" s="103" t="n">
        <f aca="false">'3a. Outputs - Dedicated Vessel'!R56</f>
        <v>2468400</v>
      </c>
      <c r="H266" s="392" t="s">
        <v>1721</v>
      </c>
    </row>
    <row r="267" customFormat="false" ht="124.6" hidden="false" customHeight="false" outlineLevel="0" collapsed="false">
      <c r="A267" s="0" t="s">
        <v>1585</v>
      </c>
      <c r="B267" s="0" t="s">
        <v>1840</v>
      </c>
      <c r="C267" s="0" t="s">
        <v>1637</v>
      </c>
      <c r="D267" s="393" t="s">
        <v>1841</v>
      </c>
      <c r="E267" s="0" t="n">
        <v>13569</v>
      </c>
      <c r="F267" s="393" t="s">
        <v>1694</v>
      </c>
      <c r="G267" s="0" t="n">
        <f aca="false">'3a. Outputs - Dedicated Vessel'!W57</f>
        <v>8141.33355043556</v>
      </c>
      <c r="H267" s="392" t="s">
        <v>1695</v>
      </c>
    </row>
    <row r="268" customFormat="false" ht="23.85" hidden="false" customHeight="false" outlineLevel="0" collapsed="false">
      <c r="A268" s="0" t="s">
        <v>1585</v>
      </c>
      <c r="B268" s="0" t="s">
        <v>1842</v>
      </c>
      <c r="C268" s="0" t="s">
        <v>1637</v>
      </c>
      <c r="D268" s="393" t="s">
        <v>1843</v>
      </c>
      <c r="E268" s="0" t="n">
        <v>6947.328</v>
      </c>
      <c r="F268" s="393" t="s">
        <v>1698</v>
      </c>
      <c r="G268" s="398" t="n">
        <f aca="false">'3a. Outputs - Dedicated Vessel'!X57</f>
        <v>4168.36277782301</v>
      </c>
      <c r="H268" s="392" t="s">
        <v>1699</v>
      </c>
    </row>
    <row r="269" customFormat="false" ht="23.85" hidden="false" customHeight="false" outlineLevel="0" collapsed="false">
      <c r="A269" s="0" t="s">
        <v>1585</v>
      </c>
      <c r="B269" s="0" t="s">
        <v>1844</v>
      </c>
      <c r="C269" s="0" t="s">
        <v>1637</v>
      </c>
      <c r="D269" s="0" t="s">
        <v>1263</v>
      </c>
      <c r="F269" s="393" t="s">
        <v>1845</v>
      </c>
      <c r="G269" s="395" t="n">
        <f aca="false">'3a. Outputs - Dedicated Vessel'!AK57</f>
        <v>237.450117890335</v>
      </c>
      <c r="H269" s="392" t="s">
        <v>1702</v>
      </c>
    </row>
    <row r="270" customFormat="false" ht="57.45" hidden="false" customHeight="false" outlineLevel="0" collapsed="false">
      <c r="A270" s="0" t="s">
        <v>1585</v>
      </c>
      <c r="B270" s="0" t="s">
        <v>1846</v>
      </c>
      <c r="C270" s="0" t="s">
        <v>1637</v>
      </c>
      <c r="D270" s="393" t="s">
        <v>1847</v>
      </c>
      <c r="E270" s="0" t="n">
        <v>3601465.44003908</v>
      </c>
      <c r="F270" s="393" t="s">
        <v>1848</v>
      </c>
      <c r="G270" s="0" t="n">
        <f aca="false">'3a. Outputs - Dedicated Vessel'!AE57</f>
        <v>2160879.26402345</v>
      </c>
      <c r="H270" s="392" t="s">
        <v>1706</v>
      </c>
    </row>
    <row r="271" customFormat="false" ht="23.85" hidden="false" customHeight="false" outlineLevel="0" collapsed="false">
      <c r="A271" s="0" t="s">
        <v>1585</v>
      </c>
      <c r="B271" s="0" t="s">
        <v>1849</v>
      </c>
      <c r="C271" s="0" t="s">
        <v>1637</v>
      </c>
      <c r="D271" s="393" t="s">
        <v>1850</v>
      </c>
      <c r="E271" s="0" t="n">
        <v>900000</v>
      </c>
      <c r="F271" s="393" t="s">
        <v>1851</v>
      </c>
      <c r="G271" s="0" t="n">
        <f aca="false">'3a. Outputs - Dedicated Vessel'!AF57</f>
        <v>900000</v>
      </c>
      <c r="H271" s="392" t="s">
        <v>1710</v>
      </c>
    </row>
    <row r="272" customFormat="false" ht="46.25" hidden="false" customHeight="false" outlineLevel="0" collapsed="false">
      <c r="A272" s="0" t="s">
        <v>1585</v>
      </c>
      <c r="B272" s="0" t="s">
        <v>1852</v>
      </c>
      <c r="C272" s="0" t="s">
        <v>1637</v>
      </c>
      <c r="D272" s="393" t="s">
        <v>1853</v>
      </c>
      <c r="E272" s="0" t="n">
        <v>22777273.2760155</v>
      </c>
      <c r="F272" s="393" t="s">
        <v>1854</v>
      </c>
      <c r="G272" s="0" t="n">
        <f aca="false">'3a. Outputs - Dedicated Vessel'!AI57</f>
        <v>19138580.2217216</v>
      </c>
      <c r="H272" s="392" t="s">
        <v>1714</v>
      </c>
    </row>
    <row r="273" customFormat="false" ht="57.45" hidden="false" customHeight="false" outlineLevel="0" collapsed="false">
      <c r="A273" s="0" t="s">
        <v>1585</v>
      </c>
      <c r="B273" s="0" t="s">
        <v>1855</v>
      </c>
      <c r="C273" s="0" t="s">
        <v>1637</v>
      </c>
      <c r="D273" s="393" t="s">
        <v>1856</v>
      </c>
      <c r="E273" s="0" t="n">
        <v>57554.6733226768</v>
      </c>
      <c r="F273" s="393" t="s">
        <v>1857</v>
      </c>
      <c r="G273" s="104" t="n">
        <f aca="false">'3a. Outputs - Dedicated Vessel'!AJ57</f>
        <v>80600.4241722916</v>
      </c>
      <c r="H273" s="392" t="s">
        <v>1718</v>
      </c>
    </row>
    <row r="274" customFormat="false" ht="79.85" hidden="false" customHeight="false" outlineLevel="0" collapsed="false">
      <c r="A274" s="0" t="s">
        <v>1585</v>
      </c>
      <c r="B274" s="0" t="s">
        <v>1858</v>
      </c>
      <c r="C274" s="0" t="s">
        <v>1637</v>
      </c>
      <c r="D274" s="393" t="s">
        <v>1638</v>
      </c>
      <c r="E274" s="0" t="n">
        <v>2112000</v>
      </c>
      <c r="F274" s="393" t="s">
        <v>1859</v>
      </c>
      <c r="G274" s="103" t="n">
        <f aca="false">'3a. Outputs - Dedicated Vessel'!R57</f>
        <v>1570800</v>
      </c>
      <c r="H274" s="392" t="s">
        <v>1721</v>
      </c>
    </row>
    <row r="275" customFormat="false" ht="124.6" hidden="false" customHeight="false" outlineLevel="0" collapsed="false">
      <c r="A275" s="0" t="s">
        <v>1585</v>
      </c>
      <c r="B275" s="0" t="s">
        <v>1860</v>
      </c>
      <c r="C275" s="0" t="s">
        <v>1637</v>
      </c>
      <c r="D275" s="393" t="s">
        <v>1861</v>
      </c>
      <c r="E275" s="0" t="n">
        <v>6263</v>
      </c>
      <c r="F275" s="393" t="s">
        <v>1694</v>
      </c>
      <c r="G275" s="0" t="n">
        <f aca="false">'3a. Outputs - Dedicated Vessel'!W58</f>
        <v>8141.33355043556</v>
      </c>
      <c r="H275" s="392" t="s">
        <v>1695</v>
      </c>
    </row>
    <row r="276" customFormat="false" ht="23.85" hidden="false" customHeight="false" outlineLevel="0" collapsed="false">
      <c r="A276" s="0" t="s">
        <v>1585</v>
      </c>
      <c r="B276" s="0" t="s">
        <v>1862</v>
      </c>
      <c r="C276" s="0" t="s">
        <v>1637</v>
      </c>
      <c r="D276" s="393" t="s">
        <v>1863</v>
      </c>
      <c r="E276" s="0" t="n">
        <v>3206.656</v>
      </c>
      <c r="F276" s="393" t="s">
        <v>1698</v>
      </c>
      <c r="G276" s="398" t="n">
        <f aca="false">'3a. Outputs - Dedicated Vessel'!X58</f>
        <v>4168.36277782301</v>
      </c>
      <c r="H276" s="392" t="s">
        <v>1699</v>
      </c>
    </row>
    <row r="277" customFormat="false" ht="23.85" hidden="false" customHeight="false" outlineLevel="0" collapsed="false">
      <c r="A277" s="0" t="s">
        <v>1585</v>
      </c>
      <c r="B277" s="0" t="s">
        <v>1864</v>
      </c>
      <c r="C277" s="0" t="s">
        <v>1637</v>
      </c>
      <c r="D277" s="0" t="s">
        <v>1263</v>
      </c>
      <c r="F277" s="393" t="s">
        <v>1865</v>
      </c>
      <c r="G277" s="395" t="n">
        <f aca="false">'3a. Outputs - Dedicated Vessel'!AK58</f>
        <v>514.475255429058</v>
      </c>
      <c r="H277" s="392" t="s">
        <v>1702</v>
      </c>
    </row>
    <row r="278" customFormat="false" ht="57.45" hidden="false" customHeight="false" outlineLevel="0" collapsed="false">
      <c r="A278" s="0" t="s">
        <v>1585</v>
      </c>
      <c r="B278" s="0" t="s">
        <v>1866</v>
      </c>
      <c r="C278" s="0" t="s">
        <v>1637</v>
      </c>
      <c r="D278" s="393" t="s">
        <v>1867</v>
      </c>
      <c r="E278" s="0" t="n">
        <v>3601465.44003908</v>
      </c>
      <c r="F278" s="393" t="s">
        <v>1868</v>
      </c>
      <c r="G278" s="0" t="n">
        <f aca="false">'3a. Outputs - Dedicated Vessel'!AE58</f>
        <v>4681905.0720508</v>
      </c>
      <c r="H278" s="392" t="s">
        <v>1706</v>
      </c>
    </row>
    <row r="279" customFormat="false" ht="23.85" hidden="false" customHeight="false" outlineLevel="0" collapsed="false">
      <c r="A279" s="0" t="s">
        <v>1585</v>
      </c>
      <c r="B279" s="0" t="s">
        <v>1869</v>
      </c>
      <c r="C279" s="0" t="s">
        <v>1637</v>
      </c>
      <c r="D279" s="393" t="s">
        <v>1870</v>
      </c>
      <c r="E279" s="0" t="n">
        <v>900000</v>
      </c>
      <c r="F279" s="393" t="s">
        <v>1871</v>
      </c>
      <c r="G279" s="0" t="n">
        <f aca="false">'3a. Outputs - Dedicated Vessel'!AF58</f>
        <v>900000</v>
      </c>
      <c r="H279" s="392" t="s">
        <v>1710</v>
      </c>
    </row>
    <row r="280" customFormat="false" ht="46.25" hidden="false" customHeight="false" outlineLevel="0" collapsed="false">
      <c r="A280" s="0" t="s">
        <v>1585</v>
      </c>
      <c r="B280" s="0" t="s">
        <v>1872</v>
      </c>
      <c r="C280" s="0" t="s">
        <v>1637</v>
      </c>
      <c r="D280" s="393" t="s">
        <v>1873</v>
      </c>
      <c r="E280" s="0" t="n">
        <v>20477471.388477</v>
      </c>
      <c r="F280" s="393" t="s">
        <v>1874</v>
      </c>
      <c r="G280" s="0" t="n">
        <f aca="false">'3a. Outputs - Dedicated Vessel'!AI58</f>
        <v>23077686.6165763</v>
      </c>
      <c r="H280" s="392" t="s">
        <v>1714</v>
      </c>
    </row>
    <row r="281" customFormat="false" ht="57.45" hidden="false" customHeight="false" outlineLevel="0" collapsed="false">
      <c r="A281" s="0" t="s">
        <v>1585</v>
      </c>
      <c r="B281" s="0" t="s">
        <v>1875</v>
      </c>
      <c r="C281" s="0" t="s">
        <v>1637</v>
      </c>
      <c r="D281" s="393" t="s">
        <v>1876</v>
      </c>
      <c r="E281" s="0" t="n">
        <v>51743.4269658297</v>
      </c>
      <c r="F281" s="393" t="s">
        <v>1877</v>
      </c>
      <c r="G281" s="104" t="n">
        <f aca="false">'3a. Outputs - Dedicated Vessel'!AJ58</f>
        <v>44856.7474782244</v>
      </c>
      <c r="H281" s="392" t="s">
        <v>1718</v>
      </c>
    </row>
    <row r="282" customFormat="false" ht="79.85" hidden="false" customHeight="false" outlineLevel="0" collapsed="false">
      <c r="A282" s="0" t="s">
        <v>1585</v>
      </c>
      <c r="B282" s="0" t="s">
        <v>1878</v>
      </c>
      <c r="C282" s="0" t="s">
        <v>1637</v>
      </c>
      <c r="D282" s="393" t="s">
        <v>1638</v>
      </c>
      <c r="E282" s="0" t="n">
        <v>2112000</v>
      </c>
      <c r="F282" s="393" t="s">
        <v>1879</v>
      </c>
      <c r="G282" s="103" t="n">
        <f aca="false">'3a. Outputs - Dedicated Vessel'!R58</f>
        <v>3141600</v>
      </c>
      <c r="H282" s="392" t="s">
        <v>1721</v>
      </c>
    </row>
    <row r="283" customFormat="false" ht="124.6" hidden="false" customHeight="false" outlineLevel="0" collapsed="false">
      <c r="A283" s="0" t="s">
        <v>1585</v>
      </c>
      <c r="B283" s="0" t="s">
        <v>1880</v>
      </c>
      <c r="C283" s="0" t="s">
        <v>1637</v>
      </c>
      <c r="D283" s="393" t="s">
        <v>1881</v>
      </c>
      <c r="E283" s="0" t="n">
        <v>8142</v>
      </c>
      <c r="F283" s="393" t="s">
        <v>1694</v>
      </c>
      <c r="G283" s="0" t="n">
        <f aca="false">'3a. Outputs - Dedicated Vessel'!W59</f>
        <v>8141.33355043556</v>
      </c>
      <c r="H283" s="392" t="s">
        <v>1695</v>
      </c>
    </row>
    <row r="284" customFormat="false" ht="23.85" hidden="false" customHeight="false" outlineLevel="0" collapsed="false">
      <c r="A284" s="0" t="s">
        <v>1585</v>
      </c>
      <c r="B284" s="0" t="s">
        <v>1882</v>
      </c>
      <c r="C284" s="0" t="s">
        <v>1637</v>
      </c>
      <c r="D284" s="393" t="s">
        <v>1883</v>
      </c>
      <c r="E284" s="0" t="n">
        <v>4168.704</v>
      </c>
      <c r="F284" s="393" t="s">
        <v>1698</v>
      </c>
      <c r="G284" s="398" t="n">
        <f aca="false">'3a. Outputs - Dedicated Vessel'!X59</f>
        <v>4168.36277782301</v>
      </c>
      <c r="H284" s="392" t="s">
        <v>1699</v>
      </c>
    </row>
    <row r="285" customFormat="false" ht="23.85" hidden="false" customHeight="false" outlineLevel="0" collapsed="false">
      <c r="A285" s="0" t="s">
        <v>1585</v>
      </c>
      <c r="B285" s="0" t="s">
        <v>1884</v>
      </c>
      <c r="C285" s="0" t="s">
        <v>1637</v>
      </c>
      <c r="D285" s="0" t="s">
        <v>1263</v>
      </c>
      <c r="F285" s="393" t="s">
        <v>1885</v>
      </c>
      <c r="G285" s="395" t="n">
        <f aca="false">'3a. Outputs - Dedicated Vessel'!AK59</f>
        <v>395.750196483891</v>
      </c>
      <c r="H285" s="392" t="s">
        <v>1702</v>
      </c>
    </row>
    <row r="286" customFormat="false" ht="57.45" hidden="false" customHeight="false" outlineLevel="0" collapsed="false">
      <c r="A286" s="0" t="s">
        <v>1585</v>
      </c>
      <c r="B286" s="0" t="s">
        <v>1886</v>
      </c>
      <c r="C286" s="0" t="s">
        <v>1637</v>
      </c>
      <c r="D286" s="393" t="s">
        <v>1887</v>
      </c>
      <c r="E286" s="0" t="n">
        <v>3601465.44003908</v>
      </c>
      <c r="F286" s="393" t="s">
        <v>1888</v>
      </c>
      <c r="G286" s="0" t="n">
        <f aca="false">'3a. Outputs - Dedicated Vessel'!AE59</f>
        <v>3601465.44003908</v>
      </c>
      <c r="H286" s="392" t="s">
        <v>1706</v>
      </c>
    </row>
    <row r="287" customFormat="false" ht="23.85" hidden="false" customHeight="false" outlineLevel="0" collapsed="false">
      <c r="A287" s="0" t="s">
        <v>1585</v>
      </c>
      <c r="B287" s="0" t="s">
        <v>1889</v>
      </c>
      <c r="C287" s="0" t="s">
        <v>1637</v>
      </c>
      <c r="D287" s="393" t="s">
        <v>1890</v>
      </c>
      <c r="E287" s="0" t="n">
        <v>900000</v>
      </c>
      <c r="F287" s="393" t="s">
        <v>1891</v>
      </c>
      <c r="G287" s="0" t="n">
        <f aca="false">'3a. Outputs - Dedicated Vessel'!AF59</f>
        <v>900000</v>
      </c>
      <c r="H287" s="392" t="s">
        <v>1710</v>
      </c>
    </row>
    <row r="288" customFormat="false" ht="46.25" hidden="false" customHeight="false" outlineLevel="0" collapsed="false">
      <c r="A288" s="0" t="s">
        <v>1585</v>
      </c>
      <c r="B288" s="0" t="s">
        <v>1892</v>
      </c>
      <c r="C288" s="0" t="s">
        <v>1637</v>
      </c>
      <c r="D288" s="393" t="s">
        <v>1893</v>
      </c>
      <c r="E288" s="0" t="n">
        <v>23726395.1244801</v>
      </c>
      <c r="F288" s="393" t="s">
        <v>1894</v>
      </c>
      <c r="G288" s="0" t="n">
        <f aca="false">'3a. Outputs - Dedicated Vessel'!AI59</f>
        <v>24046727.8169145</v>
      </c>
      <c r="H288" s="392" t="s">
        <v>1714</v>
      </c>
    </row>
    <row r="289" customFormat="false" ht="57.45" hidden="false" customHeight="false" outlineLevel="0" collapsed="false">
      <c r="A289" s="0" t="s">
        <v>1585</v>
      </c>
      <c r="B289" s="0" t="s">
        <v>1895</v>
      </c>
      <c r="C289" s="0" t="s">
        <v>1637</v>
      </c>
      <c r="D289" s="393" t="s">
        <v>1896</v>
      </c>
      <c r="E289" s="0" t="n">
        <v>59952.958546278</v>
      </c>
      <c r="F289" s="393" t="s">
        <v>1897</v>
      </c>
      <c r="G289" s="104" t="n">
        <f aca="false">'3a. Outputs - Dedicated Vessel'!AJ59</f>
        <v>60762.3900899145</v>
      </c>
      <c r="H289" s="392" t="s">
        <v>1718</v>
      </c>
    </row>
    <row r="290" customFormat="false" ht="79.85" hidden="false" customHeight="false" outlineLevel="0" collapsed="false">
      <c r="A290" s="0" t="s">
        <v>1585</v>
      </c>
      <c r="B290" s="0" t="s">
        <v>1898</v>
      </c>
      <c r="C290" s="0" t="s">
        <v>1637</v>
      </c>
      <c r="D290" s="393" t="s">
        <v>1638</v>
      </c>
      <c r="E290" s="0" t="n">
        <v>2112000</v>
      </c>
      <c r="F290" s="393" t="s">
        <v>1899</v>
      </c>
      <c r="G290" s="103" t="n">
        <f aca="false">'3a. Outputs - Dedicated Vessel'!R59</f>
        <v>2468400</v>
      </c>
      <c r="H290" s="392" t="s">
        <v>1721</v>
      </c>
    </row>
    <row r="291" customFormat="false" ht="124.6" hidden="false" customHeight="false" outlineLevel="0" collapsed="false">
      <c r="A291" s="0" t="s">
        <v>1585</v>
      </c>
      <c r="B291" s="0" t="s">
        <v>1900</v>
      </c>
      <c r="C291" s="0" t="s">
        <v>1637</v>
      </c>
      <c r="D291" s="393" t="s">
        <v>1901</v>
      </c>
      <c r="E291" s="0" t="n">
        <v>8142</v>
      </c>
      <c r="F291" s="393" t="s">
        <v>1694</v>
      </c>
      <c r="G291" s="0" t="n">
        <f aca="false">'3a. Outputs - Dedicated Vessel'!W60</f>
        <v>8141.33355043556</v>
      </c>
      <c r="H291" s="392" t="s">
        <v>1695</v>
      </c>
    </row>
    <row r="292" customFormat="false" ht="23.85" hidden="false" customHeight="false" outlineLevel="0" collapsed="false">
      <c r="A292" s="0" t="s">
        <v>1585</v>
      </c>
      <c r="B292" s="0" t="s">
        <v>1902</v>
      </c>
      <c r="C292" s="0" t="s">
        <v>1637</v>
      </c>
      <c r="D292" s="393" t="s">
        <v>1903</v>
      </c>
      <c r="E292" s="0" t="n">
        <v>4168.704</v>
      </c>
      <c r="F292" s="393" t="s">
        <v>1698</v>
      </c>
      <c r="G292" s="398" t="n">
        <f aca="false">'3a. Outputs - Dedicated Vessel'!X60</f>
        <v>4168.36277782301</v>
      </c>
      <c r="H292" s="392" t="s">
        <v>1699</v>
      </c>
    </row>
    <row r="293" customFormat="false" ht="23.85" hidden="false" customHeight="false" outlineLevel="0" collapsed="false">
      <c r="A293" s="0" t="s">
        <v>1585</v>
      </c>
      <c r="B293" s="0" t="s">
        <v>1904</v>
      </c>
      <c r="C293" s="0" t="s">
        <v>1637</v>
      </c>
      <c r="D293" s="0" t="s">
        <v>1263</v>
      </c>
      <c r="F293" s="393" t="s">
        <v>1905</v>
      </c>
      <c r="G293" s="395" t="n">
        <f aca="false">'3a. Outputs - Dedicated Vessel'!AK60</f>
        <v>395.750196483891</v>
      </c>
      <c r="H293" s="392" t="s">
        <v>1702</v>
      </c>
    </row>
    <row r="294" customFormat="false" ht="57.45" hidden="false" customHeight="false" outlineLevel="0" collapsed="false">
      <c r="A294" s="0" t="s">
        <v>1585</v>
      </c>
      <c r="B294" s="0" t="s">
        <v>1906</v>
      </c>
      <c r="C294" s="0" t="s">
        <v>1637</v>
      </c>
      <c r="D294" s="393" t="s">
        <v>1907</v>
      </c>
      <c r="E294" s="0" t="n">
        <v>3601465.44003908</v>
      </c>
      <c r="F294" s="393" t="s">
        <v>1908</v>
      </c>
      <c r="G294" s="0" t="n">
        <f aca="false">'3a. Outputs - Dedicated Vessel'!AE60</f>
        <v>3601465.44003908</v>
      </c>
      <c r="H294" s="392" t="s">
        <v>1706</v>
      </c>
    </row>
    <row r="295" customFormat="false" ht="23.85" hidden="false" customHeight="false" outlineLevel="0" collapsed="false">
      <c r="A295" s="0" t="s">
        <v>1585</v>
      </c>
      <c r="B295" s="0" t="s">
        <v>1909</v>
      </c>
      <c r="C295" s="0" t="s">
        <v>1637</v>
      </c>
      <c r="D295" s="393" t="s">
        <v>1910</v>
      </c>
      <c r="E295" s="0" t="n">
        <v>900000</v>
      </c>
      <c r="F295" s="393" t="s">
        <v>1911</v>
      </c>
      <c r="G295" s="0" t="n">
        <f aca="false">'3a. Outputs - Dedicated Vessel'!AF60</f>
        <v>900000</v>
      </c>
      <c r="H295" s="392" t="s">
        <v>1710</v>
      </c>
    </row>
    <row r="296" customFormat="false" ht="46.25" hidden="false" customHeight="false" outlineLevel="0" collapsed="false">
      <c r="A296" s="0" t="s">
        <v>1585</v>
      </c>
      <c r="B296" s="0" t="s">
        <v>1912</v>
      </c>
      <c r="C296" s="0" t="s">
        <v>1637</v>
      </c>
      <c r="D296" s="393" t="s">
        <v>1913</v>
      </c>
      <c r="E296" s="0" t="n">
        <v>20803203.230775</v>
      </c>
      <c r="F296" s="393" t="s">
        <v>1914</v>
      </c>
      <c r="G296" s="0" t="n">
        <f aca="false">'3a. Outputs - Dedicated Vessel'!AI60</f>
        <v>21123775.196111</v>
      </c>
      <c r="H296" s="392" t="s">
        <v>1714</v>
      </c>
    </row>
    <row r="297" customFormat="false" ht="57.45" hidden="false" customHeight="false" outlineLevel="0" collapsed="false">
      <c r="A297" s="0" t="s">
        <v>1585</v>
      </c>
      <c r="B297" s="0" t="s">
        <v>1915</v>
      </c>
      <c r="C297" s="0" t="s">
        <v>1637</v>
      </c>
      <c r="D297" s="393" t="s">
        <v>1916</v>
      </c>
      <c r="E297" s="0" t="n">
        <v>52566.5013324177</v>
      </c>
      <c r="F297" s="393" t="s">
        <v>1917</v>
      </c>
      <c r="G297" s="104" t="n">
        <f aca="false">'3a. Outputs - Dedicated Vessel'!AJ60</f>
        <v>53376.5374819487</v>
      </c>
      <c r="H297" s="392" t="s">
        <v>1718</v>
      </c>
    </row>
    <row r="298" customFormat="false" ht="79.85" hidden="false" customHeight="false" outlineLevel="0" collapsed="false">
      <c r="A298" s="0" t="s">
        <v>1585</v>
      </c>
      <c r="B298" s="0" t="s">
        <v>1918</v>
      </c>
      <c r="C298" s="0" t="s">
        <v>1637</v>
      </c>
      <c r="D298" s="393" t="s">
        <v>1638</v>
      </c>
      <c r="E298" s="0" t="n">
        <v>2112000</v>
      </c>
      <c r="F298" s="393" t="s">
        <v>1919</v>
      </c>
      <c r="G298" s="103" t="n">
        <f aca="false">'3a. Outputs - Dedicated Vessel'!R60</f>
        <v>2468400</v>
      </c>
      <c r="H298" s="392" t="s">
        <v>1721</v>
      </c>
    </row>
    <row r="299" customFormat="false" ht="124.6" hidden="false" customHeight="false" outlineLevel="0" collapsed="false">
      <c r="A299" s="0" t="s">
        <v>1585</v>
      </c>
      <c r="B299" s="0" t="s">
        <v>1920</v>
      </c>
      <c r="C299" s="0" t="s">
        <v>1637</v>
      </c>
      <c r="D299" s="393" t="s">
        <v>1921</v>
      </c>
      <c r="E299" s="0" t="n">
        <v>8142</v>
      </c>
      <c r="F299" s="393" t="s">
        <v>1694</v>
      </c>
      <c r="G299" s="0" t="n">
        <f aca="false">'3a. Outputs - Dedicated Vessel'!W61</f>
        <v>8141.33355043556</v>
      </c>
      <c r="H299" s="392" t="s">
        <v>1695</v>
      </c>
    </row>
    <row r="300" customFormat="false" ht="23.85" hidden="false" customHeight="false" outlineLevel="0" collapsed="false">
      <c r="A300" s="0" t="s">
        <v>1585</v>
      </c>
      <c r="B300" s="0" t="s">
        <v>1922</v>
      </c>
      <c r="C300" s="0" t="s">
        <v>1637</v>
      </c>
      <c r="D300" s="393" t="s">
        <v>1923</v>
      </c>
      <c r="E300" s="0" t="n">
        <v>4168.704</v>
      </c>
      <c r="F300" s="393" t="s">
        <v>1698</v>
      </c>
      <c r="G300" s="398" t="n">
        <f aca="false">'3a. Outputs - Dedicated Vessel'!X61</f>
        <v>4168.36277782301</v>
      </c>
      <c r="H300" s="392" t="s">
        <v>1699</v>
      </c>
    </row>
    <row r="301" customFormat="false" ht="23.85" hidden="false" customHeight="false" outlineLevel="0" collapsed="false">
      <c r="A301" s="0" t="s">
        <v>1585</v>
      </c>
      <c r="B301" s="0" t="s">
        <v>1924</v>
      </c>
      <c r="C301" s="0" t="s">
        <v>1637</v>
      </c>
      <c r="D301" s="0" t="s">
        <v>1263</v>
      </c>
      <c r="F301" s="393" t="s">
        <v>1925</v>
      </c>
      <c r="G301" s="395" t="n">
        <f aca="false">'3a. Outputs - Dedicated Vessel'!AK61</f>
        <v>395.750196483891</v>
      </c>
      <c r="H301" s="392" t="s">
        <v>1702</v>
      </c>
    </row>
    <row r="302" customFormat="false" ht="57.45" hidden="false" customHeight="false" outlineLevel="0" collapsed="false">
      <c r="A302" s="0" t="s">
        <v>1585</v>
      </c>
      <c r="B302" s="0" t="s">
        <v>1926</v>
      </c>
      <c r="C302" s="0" t="s">
        <v>1637</v>
      </c>
      <c r="D302" s="393" t="s">
        <v>1927</v>
      </c>
      <c r="E302" s="0" t="n">
        <v>3601465.44003908</v>
      </c>
      <c r="F302" s="393" t="s">
        <v>1928</v>
      </c>
      <c r="G302" s="0" t="n">
        <f aca="false">'3a. Outputs - Dedicated Vessel'!AE61</f>
        <v>3601465.44003908</v>
      </c>
      <c r="H302" s="392" t="s">
        <v>1706</v>
      </c>
    </row>
    <row r="303" customFormat="false" ht="23.85" hidden="false" customHeight="false" outlineLevel="0" collapsed="false">
      <c r="A303" s="0" t="s">
        <v>1585</v>
      </c>
      <c r="B303" s="0" t="s">
        <v>1929</v>
      </c>
      <c r="C303" s="0" t="s">
        <v>1637</v>
      </c>
      <c r="D303" s="393" t="s">
        <v>1930</v>
      </c>
      <c r="E303" s="0" t="n">
        <v>900000</v>
      </c>
      <c r="F303" s="393" t="s">
        <v>1931</v>
      </c>
      <c r="G303" s="0" t="n">
        <f aca="false">'3a. Outputs - Dedicated Vessel'!AF61</f>
        <v>900000</v>
      </c>
      <c r="H303" s="392" t="s">
        <v>1710</v>
      </c>
    </row>
    <row r="304" customFormat="false" ht="46.25" hidden="false" customHeight="false" outlineLevel="0" collapsed="false">
      <c r="A304" s="0" t="s">
        <v>1585</v>
      </c>
      <c r="B304" s="0" t="s">
        <v>1932</v>
      </c>
      <c r="C304" s="0" t="s">
        <v>1637</v>
      </c>
      <c r="D304" s="393" t="s">
        <v>1933</v>
      </c>
      <c r="E304" s="0" t="n">
        <v>27113161.2550057</v>
      </c>
      <c r="F304" s="393" t="s">
        <v>1934</v>
      </c>
      <c r="G304" s="0" t="n">
        <f aca="false">'3a. Outputs - Dedicated Vessel'!AI61</f>
        <v>27433711.4682597</v>
      </c>
      <c r="H304" s="392" t="s">
        <v>1714</v>
      </c>
    </row>
    <row r="305" customFormat="false" ht="57.45" hidden="false" customHeight="false" outlineLevel="0" collapsed="false">
      <c r="A305" s="0" t="s">
        <v>1585</v>
      </c>
      <c r="B305" s="0" t="s">
        <v>1935</v>
      </c>
      <c r="C305" s="0" t="s">
        <v>1637</v>
      </c>
      <c r="D305" s="393" t="s">
        <v>1936</v>
      </c>
      <c r="E305" s="0" t="n">
        <v>68510.7966992744</v>
      </c>
      <c r="F305" s="393" t="s">
        <v>1937</v>
      </c>
      <c r="G305" s="104" t="n">
        <f aca="false">'3a. Outputs - Dedicated Vessel'!AJ61</f>
        <v>69320.7778846332</v>
      </c>
      <c r="H305" s="392" t="s">
        <v>1718</v>
      </c>
    </row>
    <row r="306" customFormat="false" ht="79.85" hidden="false" customHeight="false" outlineLevel="0" collapsed="false">
      <c r="A306" s="0" t="s">
        <v>1585</v>
      </c>
      <c r="B306" s="0" t="s">
        <v>1938</v>
      </c>
      <c r="C306" s="0" t="s">
        <v>1637</v>
      </c>
      <c r="D306" s="393" t="s">
        <v>1638</v>
      </c>
      <c r="E306" s="0" t="n">
        <v>2112000</v>
      </c>
      <c r="F306" s="393" t="s">
        <v>1939</v>
      </c>
      <c r="G306" s="103" t="n">
        <f aca="false">'3a. Outputs - Dedicated Vessel'!R61</f>
        <v>2468400</v>
      </c>
      <c r="H306" s="392" t="s">
        <v>1721</v>
      </c>
    </row>
    <row r="307" customFormat="false" ht="124.6" hidden="false" customHeight="false" outlineLevel="0" collapsed="false">
      <c r="A307" s="0" t="s">
        <v>1585</v>
      </c>
      <c r="B307" s="0" t="s">
        <v>1940</v>
      </c>
      <c r="C307" s="0" t="s">
        <v>1637</v>
      </c>
      <c r="D307" s="393" t="s">
        <v>1941</v>
      </c>
      <c r="E307" s="0" t="n">
        <v>8142</v>
      </c>
      <c r="F307" s="393" t="s">
        <v>1694</v>
      </c>
      <c r="G307" s="0" t="n">
        <f aca="false">'3a. Outputs - Dedicated Vessel'!W62</f>
        <v>8141.33355043556</v>
      </c>
      <c r="H307" s="392" t="s">
        <v>1695</v>
      </c>
    </row>
    <row r="308" customFormat="false" ht="23.85" hidden="false" customHeight="false" outlineLevel="0" collapsed="false">
      <c r="A308" s="0" t="s">
        <v>1585</v>
      </c>
      <c r="B308" s="0" t="s">
        <v>1942</v>
      </c>
      <c r="C308" s="0" t="s">
        <v>1637</v>
      </c>
      <c r="D308" s="393" t="s">
        <v>1943</v>
      </c>
      <c r="E308" s="0" t="n">
        <v>4168.704</v>
      </c>
      <c r="F308" s="393" t="s">
        <v>1698</v>
      </c>
      <c r="G308" s="398" t="n">
        <f aca="false">'3a. Outputs - Dedicated Vessel'!X62</f>
        <v>4168.36277782301</v>
      </c>
      <c r="H308" s="392" t="s">
        <v>1699</v>
      </c>
    </row>
    <row r="309" customFormat="false" ht="23.85" hidden="false" customHeight="false" outlineLevel="0" collapsed="false">
      <c r="A309" s="0" t="s">
        <v>1585</v>
      </c>
      <c r="B309" s="0" t="s">
        <v>1944</v>
      </c>
      <c r="C309" s="0" t="s">
        <v>1637</v>
      </c>
      <c r="D309" s="0" t="s">
        <v>1263</v>
      </c>
      <c r="F309" s="393" t="s">
        <v>1945</v>
      </c>
      <c r="G309" s="395" t="n">
        <f aca="false">'3a. Outputs - Dedicated Vessel'!AK62</f>
        <v>395.750196483891</v>
      </c>
      <c r="H309" s="392" t="s">
        <v>1702</v>
      </c>
    </row>
    <row r="310" customFormat="false" ht="57.45" hidden="false" customHeight="false" outlineLevel="0" collapsed="false">
      <c r="A310" s="0" t="s">
        <v>1585</v>
      </c>
      <c r="B310" s="0" t="s">
        <v>1946</v>
      </c>
      <c r="C310" s="0" t="s">
        <v>1637</v>
      </c>
      <c r="D310" s="393" t="s">
        <v>1947</v>
      </c>
      <c r="E310" s="0" t="n">
        <v>3601465.44003908</v>
      </c>
      <c r="F310" s="393" t="s">
        <v>1948</v>
      </c>
      <c r="G310" s="0" t="n">
        <f aca="false">'3a. Outputs - Dedicated Vessel'!AE62</f>
        <v>3601465.44003908</v>
      </c>
      <c r="H310" s="392" t="s">
        <v>1706</v>
      </c>
    </row>
    <row r="311" customFormat="false" ht="23.85" hidden="false" customHeight="false" outlineLevel="0" collapsed="false">
      <c r="A311" s="0" t="s">
        <v>1585</v>
      </c>
      <c r="B311" s="0" t="s">
        <v>1949</v>
      </c>
      <c r="C311" s="0" t="s">
        <v>1637</v>
      </c>
      <c r="D311" s="393" t="s">
        <v>1950</v>
      </c>
      <c r="E311" s="0" t="n">
        <v>900000</v>
      </c>
      <c r="F311" s="393" t="s">
        <v>1951</v>
      </c>
      <c r="G311" s="0" t="n">
        <f aca="false">'3a. Outputs - Dedicated Vessel'!AF62</f>
        <v>900000</v>
      </c>
      <c r="H311" s="392" t="s">
        <v>1710</v>
      </c>
    </row>
    <row r="312" customFormat="false" ht="46.25" hidden="false" customHeight="false" outlineLevel="0" collapsed="false">
      <c r="A312" s="0" t="s">
        <v>1585</v>
      </c>
      <c r="B312" s="0" t="s">
        <v>1952</v>
      </c>
      <c r="C312" s="0" t="s">
        <v>1637</v>
      </c>
      <c r="D312" s="393" t="s">
        <v>1953</v>
      </c>
      <c r="E312" s="0" t="n">
        <v>16233577.3030876</v>
      </c>
      <c r="F312" s="393" t="s">
        <v>1954</v>
      </c>
      <c r="G312" s="0" t="n">
        <f aca="false">'3a. Outputs - Dedicated Vessel'!AI62</f>
        <v>16554127.5163416</v>
      </c>
      <c r="H312" s="392" t="s">
        <v>1714</v>
      </c>
    </row>
    <row r="313" customFormat="false" ht="57.45" hidden="false" customHeight="false" outlineLevel="0" collapsed="false">
      <c r="A313" s="0" t="s">
        <v>1585</v>
      </c>
      <c r="B313" s="0" t="s">
        <v>1955</v>
      </c>
      <c r="C313" s="0" t="s">
        <v>1637</v>
      </c>
      <c r="D313" s="393" t="s">
        <v>1956</v>
      </c>
      <c r="E313" s="0" t="n">
        <v>41019.758037564</v>
      </c>
      <c r="F313" s="393" t="s">
        <v>1957</v>
      </c>
      <c r="G313" s="104" t="n">
        <f aca="false">'3a. Outputs - Dedicated Vessel'!AJ62</f>
        <v>41829.7392229228</v>
      </c>
      <c r="H313" s="392" t="s">
        <v>1718</v>
      </c>
    </row>
    <row r="314" customFormat="false" ht="79.85" hidden="false" customHeight="false" outlineLevel="0" collapsed="false">
      <c r="A314" s="0" t="s">
        <v>1585</v>
      </c>
      <c r="B314" s="0" t="s">
        <v>1958</v>
      </c>
      <c r="C314" s="0" t="s">
        <v>1637</v>
      </c>
      <c r="D314" s="393" t="s">
        <v>1638</v>
      </c>
      <c r="E314" s="0" t="n">
        <v>2112000</v>
      </c>
      <c r="F314" s="393" t="s">
        <v>1959</v>
      </c>
      <c r="G314" s="103" t="n">
        <f aca="false">'3a. Outputs - Dedicated Vessel'!R62</f>
        <v>2468400</v>
      </c>
      <c r="H314" s="392" t="s">
        <v>1721</v>
      </c>
    </row>
    <row r="315" customFormat="false" ht="124.6" hidden="false" customHeight="false" outlineLevel="0" collapsed="false">
      <c r="A315" s="0" t="s">
        <v>1585</v>
      </c>
      <c r="B315" s="0" t="s">
        <v>1960</v>
      </c>
      <c r="C315" s="0" t="s">
        <v>1637</v>
      </c>
      <c r="D315" s="393" t="s">
        <v>1961</v>
      </c>
      <c r="E315" s="0" t="n">
        <v>8142</v>
      </c>
      <c r="F315" s="393" t="s">
        <v>1694</v>
      </c>
      <c r="G315" s="0" t="n">
        <f aca="false">'3a. Outputs - Dedicated Vessel'!W63</f>
        <v>8141.33355043556</v>
      </c>
      <c r="H315" s="392" t="s">
        <v>1695</v>
      </c>
    </row>
    <row r="316" customFormat="false" ht="23.85" hidden="false" customHeight="false" outlineLevel="0" collapsed="false">
      <c r="A316" s="0" t="s">
        <v>1585</v>
      </c>
      <c r="B316" s="0" t="s">
        <v>1962</v>
      </c>
      <c r="C316" s="0" t="s">
        <v>1637</v>
      </c>
      <c r="D316" s="393" t="s">
        <v>1963</v>
      </c>
      <c r="E316" s="0" t="n">
        <v>4168.704</v>
      </c>
      <c r="F316" s="393" t="s">
        <v>1698</v>
      </c>
      <c r="G316" s="398" t="n">
        <f aca="false">'3a. Outputs - Dedicated Vessel'!X63</f>
        <v>4168.36277782301</v>
      </c>
      <c r="H316" s="392" t="s">
        <v>1699</v>
      </c>
    </row>
    <row r="317" customFormat="false" ht="23.85" hidden="false" customHeight="false" outlineLevel="0" collapsed="false">
      <c r="A317" s="0" t="s">
        <v>1585</v>
      </c>
      <c r="B317" s="0" t="s">
        <v>1964</v>
      </c>
      <c r="C317" s="0" t="s">
        <v>1637</v>
      </c>
      <c r="D317" s="0" t="s">
        <v>1263</v>
      </c>
      <c r="F317" s="393" t="s">
        <v>1965</v>
      </c>
      <c r="G317" s="395" t="n">
        <f aca="false">'3a. Outputs - Dedicated Vessel'!AK63</f>
        <v>395.750196483891</v>
      </c>
      <c r="H317" s="392" t="s">
        <v>1702</v>
      </c>
    </row>
    <row r="318" customFormat="false" ht="57.45" hidden="false" customHeight="false" outlineLevel="0" collapsed="false">
      <c r="A318" s="0" t="s">
        <v>1585</v>
      </c>
      <c r="B318" s="0" t="s">
        <v>1966</v>
      </c>
      <c r="C318" s="0" t="s">
        <v>1637</v>
      </c>
      <c r="D318" s="393" t="s">
        <v>1967</v>
      </c>
      <c r="E318" s="0" t="n">
        <v>3601465.44003908</v>
      </c>
      <c r="F318" s="393" t="s">
        <v>1968</v>
      </c>
      <c r="G318" s="0" t="n">
        <f aca="false">'3a. Outputs - Dedicated Vessel'!AE63</f>
        <v>3601465.44003908</v>
      </c>
      <c r="H318" s="392" t="s">
        <v>1706</v>
      </c>
    </row>
    <row r="319" customFormat="false" ht="23.85" hidden="false" customHeight="false" outlineLevel="0" collapsed="false">
      <c r="A319" s="0" t="s">
        <v>1585</v>
      </c>
      <c r="B319" s="0" t="s">
        <v>1969</v>
      </c>
      <c r="C319" s="0" t="s">
        <v>1637</v>
      </c>
      <c r="D319" s="393" t="s">
        <v>1970</v>
      </c>
      <c r="E319" s="0" t="n">
        <v>900000</v>
      </c>
      <c r="F319" s="393" t="s">
        <v>1971</v>
      </c>
      <c r="G319" s="0" t="n">
        <f aca="false">'3a. Outputs - Dedicated Vessel'!AF63</f>
        <v>900000</v>
      </c>
      <c r="H319" s="392" t="s">
        <v>1710</v>
      </c>
    </row>
    <row r="320" customFormat="false" ht="46.25" hidden="false" customHeight="false" outlineLevel="0" collapsed="false">
      <c r="A320" s="0" t="s">
        <v>1585</v>
      </c>
      <c r="B320" s="0" t="s">
        <v>1972</v>
      </c>
      <c r="C320" s="0" t="s">
        <v>1637</v>
      </c>
      <c r="D320" s="393" t="s">
        <v>1973</v>
      </c>
      <c r="E320" s="0" t="n">
        <v>24125122.5019846</v>
      </c>
      <c r="F320" s="393" t="s">
        <v>1974</v>
      </c>
      <c r="G320" s="0" t="n">
        <f aca="false">'3a. Outputs - Dedicated Vessel'!AI63</f>
        <v>24445628.982285</v>
      </c>
      <c r="H320" s="392" t="s">
        <v>1714</v>
      </c>
    </row>
    <row r="321" customFormat="false" ht="57.45" hidden="false" customHeight="false" outlineLevel="0" collapsed="false">
      <c r="A321" s="0" t="s">
        <v>1585</v>
      </c>
      <c r="B321" s="0" t="s">
        <v>1975</v>
      </c>
      <c r="C321" s="0" t="s">
        <v>1637</v>
      </c>
      <c r="D321" s="393" t="s">
        <v>1976</v>
      </c>
      <c r="E321" s="0" t="n">
        <v>60960.4814257283</v>
      </c>
      <c r="F321" s="393" t="s">
        <v>1977</v>
      </c>
      <c r="G321" s="104" t="n">
        <f aca="false">'3a. Outputs - Dedicated Vessel'!AJ63</f>
        <v>61770.3521046263</v>
      </c>
      <c r="H321" s="392" t="s">
        <v>1718</v>
      </c>
    </row>
    <row r="322" customFormat="false" ht="79.85" hidden="false" customHeight="false" outlineLevel="0" collapsed="false">
      <c r="A322" s="0" t="s">
        <v>1585</v>
      </c>
      <c r="B322" s="0" t="s">
        <v>1978</v>
      </c>
      <c r="C322" s="0" t="s">
        <v>1637</v>
      </c>
      <c r="D322" s="393" t="s">
        <v>1638</v>
      </c>
      <c r="E322" s="0" t="n">
        <v>2112000</v>
      </c>
      <c r="F322" s="393" t="s">
        <v>1979</v>
      </c>
      <c r="G322" s="103" t="n">
        <f aca="false">'3a. Outputs - Dedicated Vessel'!R63</f>
        <v>2468400</v>
      </c>
      <c r="H322" s="392" t="s">
        <v>1721</v>
      </c>
    </row>
    <row r="323" customFormat="false" ht="124.6" hidden="false" customHeight="false" outlineLevel="0" collapsed="false">
      <c r="A323" s="0" t="s">
        <v>1585</v>
      </c>
      <c r="B323" s="0" t="s">
        <v>1980</v>
      </c>
      <c r="C323" s="0" t="s">
        <v>1637</v>
      </c>
      <c r="D323" s="393" t="s">
        <v>1981</v>
      </c>
      <c r="E323" s="0" t="n">
        <v>8142</v>
      </c>
      <c r="F323" s="393" t="s">
        <v>1694</v>
      </c>
      <c r="G323" s="0" t="n">
        <f aca="false">'3a. Outputs - Dedicated Vessel'!W64</f>
        <v>8141.33355043556</v>
      </c>
      <c r="H323" s="392" t="s">
        <v>1695</v>
      </c>
    </row>
    <row r="324" customFormat="false" ht="23.85" hidden="false" customHeight="false" outlineLevel="0" collapsed="false">
      <c r="A324" s="0" t="s">
        <v>1585</v>
      </c>
      <c r="B324" s="0" t="s">
        <v>1982</v>
      </c>
      <c r="C324" s="0" t="s">
        <v>1637</v>
      </c>
      <c r="D324" s="393" t="s">
        <v>1983</v>
      </c>
      <c r="E324" s="0" t="n">
        <v>4168.704</v>
      </c>
      <c r="F324" s="393" t="s">
        <v>1698</v>
      </c>
      <c r="G324" s="398" t="n">
        <f aca="false">'3a. Outputs - Dedicated Vessel'!X64</f>
        <v>4168.36277782301</v>
      </c>
      <c r="H324" s="392" t="s">
        <v>1699</v>
      </c>
    </row>
    <row r="325" customFormat="false" ht="23.85" hidden="false" customHeight="false" outlineLevel="0" collapsed="false">
      <c r="A325" s="0" t="s">
        <v>1585</v>
      </c>
      <c r="B325" s="0" t="s">
        <v>1984</v>
      </c>
      <c r="C325" s="0" t="s">
        <v>1637</v>
      </c>
      <c r="D325" s="0" t="s">
        <v>1263</v>
      </c>
      <c r="F325" s="393" t="s">
        <v>1985</v>
      </c>
      <c r="G325" s="395" t="n">
        <f aca="false">'3a. Outputs - Dedicated Vessel'!AK64</f>
        <v>395.750196483891</v>
      </c>
      <c r="H325" s="392" t="s">
        <v>1702</v>
      </c>
    </row>
    <row r="326" customFormat="false" ht="57.45" hidden="false" customHeight="false" outlineLevel="0" collapsed="false">
      <c r="A326" s="0" t="s">
        <v>1585</v>
      </c>
      <c r="B326" s="0" t="s">
        <v>1986</v>
      </c>
      <c r="C326" s="0" t="s">
        <v>1637</v>
      </c>
      <c r="D326" s="393" t="s">
        <v>1987</v>
      </c>
      <c r="E326" s="0" t="n">
        <v>3601465.44003908</v>
      </c>
      <c r="F326" s="393" t="s">
        <v>1988</v>
      </c>
      <c r="G326" s="0" t="n">
        <f aca="false">'3a. Outputs - Dedicated Vessel'!AE64</f>
        <v>3601465.44003908</v>
      </c>
      <c r="H326" s="392" t="s">
        <v>1706</v>
      </c>
    </row>
    <row r="327" customFormat="false" ht="23.85" hidden="false" customHeight="false" outlineLevel="0" collapsed="false">
      <c r="A327" s="0" t="s">
        <v>1585</v>
      </c>
      <c r="B327" s="0" t="s">
        <v>1989</v>
      </c>
      <c r="C327" s="0" t="s">
        <v>1637</v>
      </c>
      <c r="D327" s="393" t="s">
        <v>1990</v>
      </c>
      <c r="E327" s="0" t="n">
        <v>900000</v>
      </c>
      <c r="F327" s="393" t="s">
        <v>1991</v>
      </c>
      <c r="G327" s="0" t="n">
        <f aca="false">'3a. Outputs - Dedicated Vessel'!AF64</f>
        <v>900000</v>
      </c>
      <c r="H327" s="392" t="s">
        <v>1710</v>
      </c>
    </row>
    <row r="328" customFormat="false" ht="46.25" hidden="false" customHeight="false" outlineLevel="0" collapsed="false">
      <c r="A328" s="0" t="s">
        <v>1585</v>
      </c>
      <c r="B328" s="0" t="s">
        <v>1992</v>
      </c>
      <c r="C328" s="0" t="s">
        <v>1637</v>
      </c>
      <c r="D328" s="393" t="s">
        <v>1993</v>
      </c>
      <c r="E328" s="0" t="n">
        <v>18522135.8203846</v>
      </c>
      <c r="F328" s="393" t="s">
        <v>1994</v>
      </c>
      <c r="G328" s="0" t="n">
        <f aca="false">'3a. Outputs - Dedicated Vessel'!AI64</f>
        <v>18842722.4777665</v>
      </c>
      <c r="H328" s="392" t="s">
        <v>1714</v>
      </c>
    </row>
    <row r="329" customFormat="false" ht="57.45" hidden="false" customHeight="false" outlineLevel="0" collapsed="false">
      <c r="A329" s="0" t="s">
        <v>1585</v>
      </c>
      <c r="B329" s="0" t="s">
        <v>1995</v>
      </c>
      <c r="C329" s="0" t="s">
        <v>1637</v>
      </c>
      <c r="D329" s="393" t="s">
        <v>1996</v>
      </c>
      <c r="E329" s="0" t="n">
        <v>46802.5941236356</v>
      </c>
      <c r="F329" s="393" t="s">
        <v>1997</v>
      </c>
      <c r="G329" s="104" t="n">
        <f aca="false">'3a. Outputs - Dedicated Vessel'!AJ64</f>
        <v>47612.6673977117</v>
      </c>
      <c r="H329" s="392" t="s">
        <v>1718</v>
      </c>
    </row>
    <row r="330" customFormat="false" ht="79.85" hidden="false" customHeight="false" outlineLevel="0" collapsed="false">
      <c r="A330" s="0" t="s">
        <v>1585</v>
      </c>
      <c r="B330" s="0" t="s">
        <v>1998</v>
      </c>
      <c r="C330" s="0" t="s">
        <v>1637</v>
      </c>
      <c r="D330" s="393" t="s">
        <v>1638</v>
      </c>
      <c r="E330" s="0" t="n">
        <v>2112000</v>
      </c>
      <c r="F330" s="393" t="s">
        <v>1999</v>
      </c>
      <c r="G330" s="103" t="n">
        <f aca="false">'3a. Outputs - Dedicated Vessel'!R64</f>
        <v>2468400</v>
      </c>
      <c r="H330" s="392" t="s">
        <v>1721</v>
      </c>
    </row>
    <row r="331" customFormat="false" ht="124.6" hidden="false" customHeight="false" outlineLevel="0" collapsed="false">
      <c r="A331" s="0" t="s">
        <v>1585</v>
      </c>
      <c r="B331" s="0" t="s">
        <v>2000</v>
      </c>
      <c r="C331" s="0" t="s">
        <v>1637</v>
      </c>
      <c r="D331" s="393" t="s">
        <v>2001</v>
      </c>
      <c r="E331" s="0" t="n">
        <v>8142</v>
      </c>
      <c r="F331" s="393" t="s">
        <v>1694</v>
      </c>
      <c r="G331" s="0" t="n">
        <f aca="false">'3a. Outputs - Dedicated Vessel'!W65</f>
        <v>8141.33355043556</v>
      </c>
      <c r="H331" s="392" t="s">
        <v>1695</v>
      </c>
    </row>
    <row r="332" customFormat="false" ht="23.85" hidden="false" customHeight="false" outlineLevel="0" collapsed="false">
      <c r="A332" s="0" t="s">
        <v>1585</v>
      </c>
      <c r="B332" s="0" t="s">
        <v>2002</v>
      </c>
      <c r="C332" s="0" t="s">
        <v>1637</v>
      </c>
      <c r="D332" s="393" t="s">
        <v>2003</v>
      </c>
      <c r="E332" s="0" t="n">
        <v>4168.704</v>
      </c>
      <c r="F332" s="393" t="s">
        <v>1698</v>
      </c>
      <c r="G332" s="398" t="n">
        <f aca="false">'3a. Outputs - Dedicated Vessel'!X65</f>
        <v>4168.36277782301</v>
      </c>
      <c r="H332" s="392" t="s">
        <v>1699</v>
      </c>
    </row>
    <row r="333" customFormat="false" ht="23.85" hidden="false" customHeight="false" outlineLevel="0" collapsed="false">
      <c r="A333" s="0" t="s">
        <v>1585</v>
      </c>
      <c r="B333" s="0" t="s">
        <v>2004</v>
      </c>
      <c r="C333" s="0" t="s">
        <v>1637</v>
      </c>
      <c r="D333" s="0" t="s">
        <v>1263</v>
      </c>
      <c r="F333" s="393" t="s">
        <v>2005</v>
      </c>
      <c r="G333" s="395" t="n">
        <f aca="false">'3a. Outputs - Dedicated Vessel'!AK65</f>
        <v>395.750196483891</v>
      </c>
      <c r="H333" s="392" t="s">
        <v>1702</v>
      </c>
    </row>
    <row r="334" customFormat="false" ht="57.45" hidden="false" customHeight="false" outlineLevel="0" collapsed="false">
      <c r="A334" s="0" t="s">
        <v>1585</v>
      </c>
      <c r="B334" s="0" t="s">
        <v>2006</v>
      </c>
      <c r="C334" s="0" t="s">
        <v>1637</v>
      </c>
      <c r="D334" s="393" t="s">
        <v>2007</v>
      </c>
      <c r="E334" s="0" t="n">
        <v>3601465.44003908</v>
      </c>
      <c r="F334" s="393" t="s">
        <v>2008</v>
      </c>
      <c r="G334" s="0" t="n">
        <f aca="false">'3a. Outputs - Dedicated Vessel'!AE65</f>
        <v>3601465.44003908</v>
      </c>
      <c r="H334" s="392" t="s">
        <v>1706</v>
      </c>
    </row>
    <row r="335" customFormat="false" ht="23.85" hidden="false" customHeight="false" outlineLevel="0" collapsed="false">
      <c r="A335" s="0" t="s">
        <v>1585</v>
      </c>
      <c r="B335" s="0" t="s">
        <v>2009</v>
      </c>
      <c r="C335" s="0" t="s">
        <v>1637</v>
      </c>
      <c r="D335" s="393" t="s">
        <v>2010</v>
      </c>
      <c r="E335" s="0" t="n">
        <v>900000</v>
      </c>
      <c r="F335" s="393" t="s">
        <v>2011</v>
      </c>
      <c r="G335" s="0" t="n">
        <f aca="false">'3a. Outputs - Dedicated Vessel'!AF65</f>
        <v>900000</v>
      </c>
      <c r="H335" s="392" t="s">
        <v>1710</v>
      </c>
    </row>
    <row r="336" customFormat="false" ht="46.25" hidden="false" customHeight="false" outlineLevel="0" collapsed="false">
      <c r="A336" s="0" t="s">
        <v>1585</v>
      </c>
      <c r="B336" s="0" t="s">
        <v>2012</v>
      </c>
      <c r="C336" s="0" t="s">
        <v>1637</v>
      </c>
      <c r="D336" s="393" t="s">
        <v>2013</v>
      </c>
      <c r="E336" s="0" t="n">
        <v>23946356.3564899</v>
      </c>
      <c r="F336" s="393" t="s">
        <v>2014</v>
      </c>
      <c r="G336" s="0" t="n">
        <f aca="false">'3a. Outputs - Dedicated Vessel'!AI65</f>
        <v>24266865.394881</v>
      </c>
      <c r="H336" s="392" t="s">
        <v>1714</v>
      </c>
    </row>
    <row r="337" customFormat="false" ht="57.45" hidden="false" customHeight="false" outlineLevel="0" collapsed="false">
      <c r="A337" s="0" t="s">
        <v>1585</v>
      </c>
      <c r="B337" s="0" t="s">
        <v>2015</v>
      </c>
      <c r="C337" s="0" t="s">
        <v>1637</v>
      </c>
      <c r="D337" s="393" t="s">
        <v>2016</v>
      </c>
      <c r="E337" s="0" t="n">
        <v>60508.7668161517</v>
      </c>
      <c r="F337" s="393" t="s">
        <v>2017</v>
      </c>
      <c r="G337" s="104" t="n">
        <f aca="false">'3a. Outputs - Dedicated Vessel'!AJ65</f>
        <v>61318.643958952</v>
      </c>
      <c r="H337" s="392" t="s">
        <v>1718</v>
      </c>
    </row>
    <row r="338" customFormat="false" ht="79.85" hidden="false" customHeight="false" outlineLevel="0" collapsed="false">
      <c r="A338" s="0" t="s">
        <v>1585</v>
      </c>
      <c r="B338" s="0" t="s">
        <v>2018</v>
      </c>
      <c r="C338" s="0" t="s">
        <v>1637</v>
      </c>
      <c r="D338" s="393" t="s">
        <v>1638</v>
      </c>
      <c r="E338" s="0" t="n">
        <v>2112000</v>
      </c>
      <c r="F338" s="393" t="s">
        <v>2019</v>
      </c>
      <c r="G338" s="103" t="n">
        <f aca="false">'3a. Outputs - Dedicated Vessel'!R65</f>
        <v>2468400</v>
      </c>
      <c r="H338" s="392" t="s">
        <v>1721</v>
      </c>
    </row>
    <row r="339" customFormat="false" ht="124.6" hidden="false" customHeight="false" outlineLevel="0" collapsed="false">
      <c r="A339" s="0" t="s">
        <v>1585</v>
      </c>
      <c r="B339" s="0" t="s">
        <v>2020</v>
      </c>
      <c r="C339" s="0" t="s">
        <v>1637</v>
      </c>
      <c r="D339" s="393" t="s">
        <v>2021</v>
      </c>
      <c r="E339" s="0" t="n">
        <v>8142</v>
      </c>
      <c r="F339" s="393" t="s">
        <v>1694</v>
      </c>
      <c r="G339" s="0" t="n">
        <f aca="false">'3a. Outputs - Dedicated Vessel'!W66</f>
        <v>8141.33355043556</v>
      </c>
      <c r="H339" s="392" t="s">
        <v>1695</v>
      </c>
    </row>
    <row r="340" customFormat="false" ht="23.85" hidden="false" customHeight="false" outlineLevel="0" collapsed="false">
      <c r="A340" s="0" t="s">
        <v>1585</v>
      </c>
      <c r="B340" s="0" t="s">
        <v>2022</v>
      </c>
      <c r="C340" s="0" t="s">
        <v>1637</v>
      </c>
      <c r="D340" s="393" t="s">
        <v>2023</v>
      </c>
      <c r="E340" s="0" t="n">
        <v>4168.704</v>
      </c>
      <c r="F340" s="393" t="s">
        <v>1698</v>
      </c>
      <c r="G340" s="398" t="n">
        <f aca="false">'3a. Outputs - Dedicated Vessel'!X66</f>
        <v>4168.36277782301</v>
      </c>
      <c r="H340" s="392" t="s">
        <v>1699</v>
      </c>
    </row>
    <row r="341" customFormat="false" ht="23.85" hidden="false" customHeight="false" outlineLevel="0" collapsed="false">
      <c r="A341" s="0" t="s">
        <v>1585</v>
      </c>
      <c r="B341" s="0" t="s">
        <v>2024</v>
      </c>
      <c r="C341" s="0" t="s">
        <v>1637</v>
      </c>
      <c r="D341" s="0" t="s">
        <v>1263</v>
      </c>
      <c r="F341" s="393" t="s">
        <v>2025</v>
      </c>
      <c r="G341" s="395" t="n">
        <f aca="false">'3a. Outputs - Dedicated Vessel'!AK66</f>
        <v>395.750196483891</v>
      </c>
      <c r="H341" s="392" t="s">
        <v>1702</v>
      </c>
    </row>
    <row r="342" customFormat="false" ht="57.45" hidden="false" customHeight="false" outlineLevel="0" collapsed="false">
      <c r="A342" s="0" t="s">
        <v>1585</v>
      </c>
      <c r="B342" s="0" t="s">
        <v>2026</v>
      </c>
      <c r="C342" s="0" t="s">
        <v>1637</v>
      </c>
      <c r="D342" s="393" t="s">
        <v>2027</v>
      </c>
      <c r="E342" s="0" t="n">
        <v>3601465.44003908</v>
      </c>
      <c r="F342" s="393" t="s">
        <v>2028</v>
      </c>
      <c r="G342" s="0" t="n">
        <f aca="false">'3a. Outputs - Dedicated Vessel'!AE66</f>
        <v>3601465.44003908</v>
      </c>
      <c r="H342" s="392" t="s">
        <v>1706</v>
      </c>
    </row>
    <row r="343" customFormat="false" ht="23.85" hidden="false" customHeight="false" outlineLevel="0" collapsed="false">
      <c r="A343" s="0" t="s">
        <v>1585</v>
      </c>
      <c r="B343" s="0" t="s">
        <v>2029</v>
      </c>
      <c r="C343" s="0" t="s">
        <v>1637</v>
      </c>
      <c r="D343" s="393" t="s">
        <v>2030</v>
      </c>
      <c r="E343" s="0" t="n">
        <v>900000</v>
      </c>
      <c r="F343" s="393" t="s">
        <v>2031</v>
      </c>
      <c r="G343" s="0" t="n">
        <f aca="false">'3a. Outputs - Dedicated Vessel'!AF66</f>
        <v>900000</v>
      </c>
      <c r="H343" s="392" t="s">
        <v>1710</v>
      </c>
    </row>
    <row r="344" customFormat="false" ht="46.25" hidden="false" customHeight="false" outlineLevel="0" collapsed="false">
      <c r="A344" s="0" t="s">
        <v>1585</v>
      </c>
      <c r="B344" s="0" t="s">
        <v>2032</v>
      </c>
      <c r="C344" s="0" t="s">
        <v>1637</v>
      </c>
      <c r="D344" s="393" t="s">
        <v>2033</v>
      </c>
      <c r="E344" s="0" t="n">
        <v>18994313.8479007</v>
      </c>
      <c r="F344" s="393" t="s">
        <v>2034</v>
      </c>
      <c r="G344" s="0" t="n">
        <f aca="false">'3a. Outputs - Dedicated Vessel'!AI66</f>
        <v>19314893.7485548</v>
      </c>
      <c r="H344" s="392" t="s">
        <v>1714</v>
      </c>
    </row>
    <row r="345" customFormat="false" ht="57.45" hidden="false" customHeight="false" outlineLevel="0" collapsed="false">
      <c r="A345" s="0" t="s">
        <v>1585</v>
      </c>
      <c r="B345" s="0" t="s">
        <v>2035</v>
      </c>
      <c r="C345" s="0" t="s">
        <v>1637</v>
      </c>
      <c r="D345" s="393" t="s">
        <v>2036</v>
      </c>
      <c r="E345" s="0" t="n">
        <v>47995.7155212023</v>
      </c>
      <c r="F345" s="393" t="s">
        <v>2037</v>
      </c>
      <c r="G345" s="104" t="n">
        <f aca="false">'3a. Outputs - Dedicated Vessel'!AJ66</f>
        <v>48805.7717220642</v>
      </c>
      <c r="H345" s="392" t="s">
        <v>1718</v>
      </c>
    </row>
    <row r="346" customFormat="false" ht="79.85" hidden="false" customHeight="false" outlineLevel="0" collapsed="false">
      <c r="A346" s="0" t="s">
        <v>1585</v>
      </c>
      <c r="B346" s="0" t="s">
        <v>2038</v>
      </c>
      <c r="C346" s="0" t="s">
        <v>1637</v>
      </c>
      <c r="D346" s="393" t="s">
        <v>1638</v>
      </c>
      <c r="E346" s="0" t="n">
        <v>2112000</v>
      </c>
      <c r="F346" s="393" t="s">
        <v>2039</v>
      </c>
      <c r="G346" s="103" t="n">
        <f aca="false">'3a. Outputs - Dedicated Vessel'!R66</f>
        <v>2468400</v>
      </c>
      <c r="H346" s="392" t="s">
        <v>1721</v>
      </c>
    </row>
    <row r="347" customFormat="false" ht="124.6" hidden="false" customHeight="false" outlineLevel="0" collapsed="false">
      <c r="A347" s="0" t="s">
        <v>1585</v>
      </c>
      <c r="B347" s="0" t="s">
        <v>2040</v>
      </c>
      <c r="C347" s="0" t="s">
        <v>1637</v>
      </c>
      <c r="D347" s="393" t="s">
        <v>2041</v>
      </c>
      <c r="E347" s="0" t="n">
        <v>8142</v>
      </c>
      <c r="F347" s="393" t="s">
        <v>1694</v>
      </c>
      <c r="G347" s="0" t="n">
        <f aca="false">'3a. Outputs - Dedicated Vessel'!W67</f>
        <v>8141.33355043556</v>
      </c>
      <c r="H347" s="392" t="s">
        <v>1695</v>
      </c>
    </row>
    <row r="348" customFormat="false" ht="23.85" hidden="false" customHeight="false" outlineLevel="0" collapsed="false">
      <c r="A348" s="0" t="s">
        <v>1585</v>
      </c>
      <c r="B348" s="0" t="s">
        <v>2042</v>
      </c>
      <c r="C348" s="0" t="s">
        <v>1637</v>
      </c>
      <c r="D348" s="393" t="s">
        <v>2043</v>
      </c>
      <c r="E348" s="0" t="n">
        <v>4168.704</v>
      </c>
      <c r="F348" s="393" t="s">
        <v>1698</v>
      </c>
      <c r="G348" s="398" t="n">
        <f aca="false">'3a. Outputs - Dedicated Vessel'!X67</f>
        <v>4168.36277782301</v>
      </c>
      <c r="H348" s="392" t="s">
        <v>1699</v>
      </c>
    </row>
    <row r="349" customFormat="false" ht="23.85" hidden="false" customHeight="false" outlineLevel="0" collapsed="false">
      <c r="A349" s="0" t="s">
        <v>1585</v>
      </c>
      <c r="B349" s="0" t="s">
        <v>2044</v>
      </c>
      <c r="C349" s="0" t="s">
        <v>1637</v>
      </c>
      <c r="D349" s="0" t="s">
        <v>1263</v>
      </c>
      <c r="F349" s="393" t="s">
        <v>2045</v>
      </c>
      <c r="G349" s="395" t="n">
        <f aca="false">'3a. Outputs - Dedicated Vessel'!AK67</f>
        <v>395.750196483891</v>
      </c>
      <c r="H349" s="392" t="s">
        <v>1702</v>
      </c>
    </row>
    <row r="350" customFormat="false" ht="57.45" hidden="false" customHeight="false" outlineLevel="0" collapsed="false">
      <c r="A350" s="0" t="s">
        <v>1585</v>
      </c>
      <c r="B350" s="0" t="s">
        <v>2046</v>
      </c>
      <c r="C350" s="0" t="s">
        <v>1637</v>
      </c>
      <c r="D350" s="393" t="s">
        <v>2047</v>
      </c>
      <c r="E350" s="0" t="n">
        <v>5402198.16005862</v>
      </c>
      <c r="F350" s="393" t="s">
        <v>2048</v>
      </c>
      <c r="G350" s="0" t="n">
        <f aca="false">'3a. Outputs - Dedicated Vessel'!AE67</f>
        <v>5402198.16005862</v>
      </c>
      <c r="H350" s="392" t="s">
        <v>1706</v>
      </c>
    </row>
    <row r="351" customFormat="false" ht="23.85" hidden="false" customHeight="false" outlineLevel="0" collapsed="false">
      <c r="A351" s="0" t="s">
        <v>1585</v>
      </c>
      <c r="B351" s="0" t="s">
        <v>2049</v>
      </c>
      <c r="C351" s="0" t="s">
        <v>1637</v>
      </c>
      <c r="D351" s="393" t="s">
        <v>2050</v>
      </c>
      <c r="E351" s="0" t="n">
        <v>900000</v>
      </c>
      <c r="F351" s="393" t="s">
        <v>2051</v>
      </c>
      <c r="G351" s="0" t="n">
        <f aca="false">'3a. Outputs - Dedicated Vessel'!AF67</f>
        <v>900000</v>
      </c>
      <c r="H351" s="392" t="s">
        <v>1710</v>
      </c>
    </row>
    <row r="352" customFormat="false" ht="46.25" hidden="false" customHeight="false" outlineLevel="0" collapsed="false">
      <c r="A352" s="0" t="s">
        <v>1585</v>
      </c>
      <c r="B352" s="0" t="s">
        <v>2052</v>
      </c>
      <c r="C352" s="0" t="s">
        <v>1637</v>
      </c>
      <c r="D352" s="393" t="s">
        <v>2053</v>
      </c>
      <c r="E352" s="0" t="n">
        <v>22869680.6684041</v>
      </c>
      <c r="F352" s="393" t="s">
        <v>2054</v>
      </c>
      <c r="G352" s="0" t="n">
        <f aca="false">'3a. Outputs - Dedicated Vessel'!AI67</f>
        <v>23190230.8816581</v>
      </c>
      <c r="H352" s="392" t="s">
        <v>1714</v>
      </c>
    </row>
    <row r="353" customFormat="false" ht="57.45" hidden="false" customHeight="false" outlineLevel="0" collapsed="false">
      <c r="A353" s="0" t="s">
        <v>1585</v>
      </c>
      <c r="B353" s="0" t="s">
        <v>2055</v>
      </c>
      <c r="C353" s="0" t="s">
        <v>1637</v>
      </c>
      <c r="D353" s="393" t="s">
        <v>2056</v>
      </c>
      <c r="E353" s="0" t="n">
        <v>57788.1726189744</v>
      </c>
      <c r="F353" s="393" t="s">
        <v>2057</v>
      </c>
      <c r="G353" s="104" t="n">
        <f aca="false">'3a. Outputs - Dedicated Vessel'!AJ67</f>
        <v>58598.1538043331</v>
      </c>
      <c r="H353" s="392" t="s">
        <v>1718</v>
      </c>
    </row>
    <row r="354" customFormat="false" ht="79.85" hidden="false" customHeight="false" outlineLevel="0" collapsed="false">
      <c r="A354" s="0" t="s">
        <v>1585</v>
      </c>
      <c r="B354" s="0" t="s">
        <v>2058</v>
      </c>
      <c r="C354" s="0" t="s">
        <v>1637</v>
      </c>
      <c r="D354" s="393" t="s">
        <v>1638</v>
      </c>
      <c r="E354" s="0" t="n">
        <v>2112000</v>
      </c>
      <c r="F354" s="393" t="s">
        <v>2059</v>
      </c>
      <c r="G354" s="103" t="n">
        <f aca="false">'3a. Outputs - Dedicated Vessel'!R67</f>
        <v>2468400</v>
      </c>
      <c r="H354" s="392" t="s">
        <v>1721</v>
      </c>
    </row>
    <row r="355" customFormat="false" ht="124.6" hidden="false" customHeight="false" outlineLevel="0" collapsed="false">
      <c r="A355" s="0" t="s">
        <v>1585</v>
      </c>
      <c r="B355" s="0" t="s">
        <v>2060</v>
      </c>
      <c r="C355" s="0" t="s">
        <v>1637</v>
      </c>
      <c r="D355" s="393" t="s">
        <v>2061</v>
      </c>
      <c r="E355" s="0" t="n">
        <v>8142</v>
      </c>
      <c r="F355" s="393" t="s">
        <v>1694</v>
      </c>
      <c r="G355" s="0" t="n">
        <f aca="false">'3a. Outputs - Dedicated Vessel'!W68</f>
        <v>8141.33355043556</v>
      </c>
      <c r="H355" s="392" t="s">
        <v>1695</v>
      </c>
    </row>
    <row r="356" customFormat="false" ht="23.85" hidden="false" customHeight="false" outlineLevel="0" collapsed="false">
      <c r="A356" s="0" t="s">
        <v>1585</v>
      </c>
      <c r="B356" s="0" t="s">
        <v>2062</v>
      </c>
      <c r="C356" s="0" t="s">
        <v>1637</v>
      </c>
      <c r="D356" s="393" t="s">
        <v>2063</v>
      </c>
      <c r="E356" s="0" t="n">
        <v>4168.704</v>
      </c>
      <c r="F356" s="393" t="s">
        <v>1698</v>
      </c>
      <c r="G356" s="398" t="n">
        <f aca="false">'3a. Outputs - Dedicated Vessel'!X68</f>
        <v>4168.36277782301</v>
      </c>
      <c r="H356" s="392" t="s">
        <v>1699</v>
      </c>
    </row>
    <row r="357" customFormat="false" ht="23.85" hidden="false" customHeight="false" outlineLevel="0" collapsed="false">
      <c r="A357" s="0" t="s">
        <v>1585</v>
      </c>
      <c r="B357" s="0" t="s">
        <v>2064</v>
      </c>
      <c r="C357" s="0" t="s">
        <v>1637</v>
      </c>
      <c r="D357" s="0" t="s">
        <v>1263</v>
      </c>
      <c r="F357" s="393" t="s">
        <v>2065</v>
      </c>
      <c r="G357" s="395" t="n">
        <f aca="false">'3a. Outputs - Dedicated Vessel'!AK68</f>
        <v>395.750196483891</v>
      </c>
      <c r="H357" s="392" t="s">
        <v>1702</v>
      </c>
    </row>
    <row r="358" customFormat="false" ht="57.45" hidden="false" customHeight="false" outlineLevel="0" collapsed="false">
      <c r="A358" s="0" t="s">
        <v>1585</v>
      </c>
      <c r="B358" s="0" t="s">
        <v>2066</v>
      </c>
      <c r="C358" s="0" t="s">
        <v>1637</v>
      </c>
      <c r="D358" s="393" t="s">
        <v>2067</v>
      </c>
      <c r="E358" s="0" t="n">
        <v>2160879.26402345</v>
      </c>
      <c r="F358" s="393" t="s">
        <v>2068</v>
      </c>
      <c r="G358" s="0" t="n">
        <f aca="false">'3a. Outputs - Dedicated Vessel'!AE68</f>
        <v>2160879.26402345</v>
      </c>
      <c r="H358" s="392" t="s">
        <v>1706</v>
      </c>
    </row>
    <row r="359" customFormat="false" ht="23.85" hidden="false" customHeight="false" outlineLevel="0" collapsed="false">
      <c r="A359" s="0" t="s">
        <v>1585</v>
      </c>
      <c r="B359" s="0" t="s">
        <v>2069</v>
      </c>
      <c r="C359" s="0" t="s">
        <v>1637</v>
      </c>
      <c r="D359" s="393" t="s">
        <v>2070</v>
      </c>
      <c r="E359" s="0" t="n">
        <v>900000</v>
      </c>
      <c r="F359" s="393" t="s">
        <v>2071</v>
      </c>
      <c r="G359" s="0" t="n">
        <f aca="false">'3a. Outputs - Dedicated Vessel'!AF68</f>
        <v>900000</v>
      </c>
      <c r="H359" s="392" t="s">
        <v>1710</v>
      </c>
    </row>
    <row r="360" customFormat="false" ht="46.25" hidden="false" customHeight="false" outlineLevel="0" collapsed="false">
      <c r="A360" s="0" t="s">
        <v>1585</v>
      </c>
      <c r="B360" s="0" t="s">
        <v>2072</v>
      </c>
      <c r="C360" s="0" t="s">
        <v>1637</v>
      </c>
      <c r="D360" s="393" t="s">
        <v>2073</v>
      </c>
      <c r="E360" s="0" t="n">
        <v>19628361.7723689</v>
      </c>
      <c r="F360" s="393" t="s">
        <v>2074</v>
      </c>
      <c r="G360" s="0" t="n">
        <f aca="false">'3a. Outputs - Dedicated Vessel'!AI68</f>
        <v>19948911.9856229</v>
      </c>
      <c r="H360" s="392" t="s">
        <v>1714</v>
      </c>
    </row>
    <row r="361" customFormat="false" ht="57.45" hidden="false" customHeight="false" outlineLevel="0" collapsed="false">
      <c r="A361" s="0" t="s">
        <v>1585</v>
      </c>
      <c r="B361" s="0" t="s">
        <v>2075</v>
      </c>
      <c r="C361" s="0" t="s">
        <v>1637</v>
      </c>
      <c r="D361" s="393" t="s">
        <v>2076</v>
      </c>
      <c r="E361" s="0" t="n">
        <v>49597.8573018041</v>
      </c>
      <c r="F361" s="393" t="s">
        <v>2077</v>
      </c>
      <c r="G361" s="104" t="n">
        <f aca="false">'3a. Outputs - Dedicated Vessel'!AJ68</f>
        <v>50407.8384871628</v>
      </c>
      <c r="H361" s="392" t="s">
        <v>1718</v>
      </c>
    </row>
    <row r="362" customFormat="false" ht="79.85" hidden="false" customHeight="false" outlineLevel="0" collapsed="false">
      <c r="A362" s="0" t="s">
        <v>1585</v>
      </c>
      <c r="B362" s="0" t="s">
        <v>2078</v>
      </c>
      <c r="C362" s="0" t="s">
        <v>1637</v>
      </c>
      <c r="D362" s="393" t="s">
        <v>1638</v>
      </c>
      <c r="E362" s="0" t="n">
        <v>2112000</v>
      </c>
      <c r="F362" s="393" t="s">
        <v>2079</v>
      </c>
      <c r="G362" s="103" t="n">
        <f aca="false">'3a. Outputs - Dedicated Vessel'!R68</f>
        <v>2468400</v>
      </c>
      <c r="H362" s="392" t="s">
        <v>1721</v>
      </c>
    </row>
    <row r="363" customFormat="false" ht="124.6" hidden="false" customHeight="false" outlineLevel="0" collapsed="false">
      <c r="A363" s="0" t="s">
        <v>1585</v>
      </c>
      <c r="B363" s="0" t="s">
        <v>2080</v>
      </c>
      <c r="C363" s="0" t="s">
        <v>1637</v>
      </c>
      <c r="D363" s="393" t="s">
        <v>2081</v>
      </c>
      <c r="E363" s="0" t="n">
        <v>8142</v>
      </c>
      <c r="F363" s="393" t="s">
        <v>1694</v>
      </c>
      <c r="G363" s="0" t="n">
        <f aca="false">'3a. Outputs - Dedicated Vessel'!W69</f>
        <v>8141.33355043556</v>
      </c>
      <c r="H363" s="392" t="s">
        <v>1695</v>
      </c>
    </row>
    <row r="364" customFormat="false" ht="23.85" hidden="false" customHeight="false" outlineLevel="0" collapsed="false">
      <c r="A364" s="0" t="s">
        <v>1585</v>
      </c>
      <c r="B364" s="0" t="s">
        <v>2082</v>
      </c>
      <c r="C364" s="0" t="s">
        <v>1637</v>
      </c>
      <c r="D364" s="393" t="s">
        <v>2083</v>
      </c>
      <c r="E364" s="0" t="n">
        <v>4168.704</v>
      </c>
      <c r="F364" s="393" t="s">
        <v>1698</v>
      </c>
      <c r="G364" s="398" t="n">
        <f aca="false">'3a. Outputs - Dedicated Vessel'!X69</f>
        <v>4168.36277782301</v>
      </c>
      <c r="H364" s="392" t="s">
        <v>1699</v>
      </c>
    </row>
    <row r="365" customFormat="false" ht="23.85" hidden="false" customHeight="false" outlineLevel="0" collapsed="false">
      <c r="A365" s="0" t="s">
        <v>1585</v>
      </c>
      <c r="B365" s="0" t="s">
        <v>2084</v>
      </c>
      <c r="C365" s="0" t="s">
        <v>1637</v>
      </c>
      <c r="D365" s="0" t="s">
        <v>1263</v>
      </c>
      <c r="F365" s="393" t="s">
        <v>2085</v>
      </c>
      <c r="G365" s="395" t="n">
        <f aca="false">'3a. Outputs - Dedicated Vessel'!AK69</f>
        <v>395.750196483891</v>
      </c>
      <c r="H365" s="392" t="s">
        <v>1702</v>
      </c>
    </row>
    <row r="366" customFormat="false" ht="57.45" hidden="false" customHeight="false" outlineLevel="0" collapsed="false">
      <c r="A366" s="0" t="s">
        <v>1585</v>
      </c>
      <c r="B366" s="0" t="s">
        <v>2086</v>
      </c>
      <c r="C366" s="0" t="s">
        <v>1637</v>
      </c>
      <c r="D366" s="393" t="s">
        <v>2087</v>
      </c>
      <c r="E366" s="0" t="n">
        <v>3601465.44003908</v>
      </c>
      <c r="F366" s="393" t="s">
        <v>2088</v>
      </c>
      <c r="G366" s="0" t="n">
        <f aca="false">'3a. Outputs - Dedicated Vessel'!AE69</f>
        <v>3601465.44003908</v>
      </c>
      <c r="H366" s="392" t="s">
        <v>1706</v>
      </c>
    </row>
    <row r="367" customFormat="false" ht="23.85" hidden="false" customHeight="false" outlineLevel="0" collapsed="false">
      <c r="A367" s="0" t="s">
        <v>1585</v>
      </c>
      <c r="B367" s="0" t="s">
        <v>2089</v>
      </c>
      <c r="C367" s="0" t="s">
        <v>1637</v>
      </c>
      <c r="D367" s="393" t="s">
        <v>2090</v>
      </c>
      <c r="E367" s="0" t="n">
        <v>900000</v>
      </c>
      <c r="F367" s="393" t="s">
        <v>2091</v>
      </c>
      <c r="G367" s="0" t="n">
        <f aca="false">'3a. Outputs - Dedicated Vessel'!AF69</f>
        <v>900000</v>
      </c>
      <c r="H367" s="392" t="s">
        <v>1710</v>
      </c>
    </row>
    <row r="368" customFormat="false" ht="46.25" hidden="false" customHeight="false" outlineLevel="0" collapsed="false">
      <c r="A368" s="0" t="s">
        <v>1585</v>
      </c>
      <c r="B368" s="0" t="s">
        <v>2092</v>
      </c>
      <c r="C368" s="0" t="s">
        <v>1637</v>
      </c>
      <c r="D368" s="393" t="s">
        <v>2093</v>
      </c>
      <c r="E368" s="0" t="n">
        <v>22202792.076852</v>
      </c>
      <c r="F368" s="393" t="s">
        <v>2094</v>
      </c>
      <c r="G368" s="0" t="n">
        <f aca="false">'3a. Outputs - Dedicated Vessel'!AI69</f>
        <v>22523249.481223</v>
      </c>
      <c r="H368" s="392" t="s">
        <v>1714</v>
      </c>
    </row>
    <row r="369" customFormat="false" ht="57.45" hidden="false" customHeight="false" outlineLevel="0" collapsed="false">
      <c r="A369" s="0" t="s">
        <v>1585</v>
      </c>
      <c r="B369" s="0" t="s">
        <v>2095</v>
      </c>
      <c r="C369" s="0" t="s">
        <v>1637</v>
      </c>
      <c r="D369" s="393" t="s">
        <v>2096</v>
      </c>
      <c r="E369" s="0" t="n">
        <v>56103.0475135993</v>
      </c>
      <c r="F369" s="393" t="s">
        <v>2097</v>
      </c>
      <c r="G369" s="104" t="n">
        <f aca="false">'3a. Outputs - Dedicated Vessel'!AJ69</f>
        <v>56912.7941851566</v>
      </c>
      <c r="H369" s="392" t="s">
        <v>1718</v>
      </c>
    </row>
    <row r="370" customFormat="false" ht="79.85" hidden="false" customHeight="false" outlineLevel="0" collapsed="false">
      <c r="A370" s="0" t="s">
        <v>1585</v>
      </c>
      <c r="B370" s="0" t="s">
        <v>2098</v>
      </c>
      <c r="C370" s="0" t="s">
        <v>1637</v>
      </c>
      <c r="D370" s="393" t="s">
        <v>1638</v>
      </c>
      <c r="E370" s="0" t="n">
        <v>2112000</v>
      </c>
      <c r="F370" s="393" t="s">
        <v>2099</v>
      </c>
      <c r="G370" s="103" t="n">
        <f aca="false">'3a. Outputs - Dedicated Vessel'!R69</f>
        <v>2468400</v>
      </c>
      <c r="H370" s="392" t="s">
        <v>1721</v>
      </c>
    </row>
    <row r="371" customFormat="false" ht="124.6" hidden="false" customHeight="false" outlineLevel="0" collapsed="false">
      <c r="A371" s="0" t="s">
        <v>1585</v>
      </c>
      <c r="B371" s="0" t="s">
        <v>2100</v>
      </c>
      <c r="C371" s="0" t="s">
        <v>1637</v>
      </c>
      <c r="D371" s="393" t="s">
        <v>2101</v>
      </c>
      <c r="E371" s="0" t="n">
        <v>8142</v>
      </c>
      <c r="F371" s="393" t="s">
        <v>1694</v>
      </c>
      <c r="G371" s="0" t="n">
        <f aca="false">'3a. Outputs - Dedicated Vessel'!W70</f>
        <v>8141.33355043556</v>
      </c>
      <c r="H371" s="392" t="s">
        <v>1695</v>
      </c>
    </row>
    <row r="372" customFormat="false" ht="23.85" hidden="false" customHeight="false" outlineLevel="0" collapsed="false">
      <c r="A372" s="0" t="s">
        <v>1585</v>
      </c>
      <c r="B372" s="0" t="s">
        <v>2102</v>
      </c>
      <c r="C372" s="0" t="s">
        <v>1637</v>
      </c>
      <c r="D372" s="393" t="s">
        <v>2103</v>
      </c>
      <c r="E372" s="0" t="n">
        <v>4168.704</v>
      </c>
      <c r="F372" s="393" t="s">
        <v>1698</v>
      </c>
      <c r="G372" s="398" t="n">
        <f aca="false">'3a. Outputs - Dedicated Vessel'!X70</f>
        <v>4168.36277782301</v>
      </c>
      <c r="H372" s="392" t="s">
        <v>1699</v>
      </c>
    </row>
    <row r="373" customFormat="false" ht="23.85" hidden="false" customHeight="false" outlineLevel="0" collapsed="false">
      <c r="A373" s="0" t="s">
        <v>1585</v>
      </c>
      <c r="B373" s="0" t="s">
        <v>2104</v>
      </c>
      <c r="C373" s="0" t="s">
        <v>1637</v>
      </c>
      <c r="D373" s="0" t="s">
        <v>1263</v>
      </c>
      <c r="F373" s="393" t="s">
        <v>2105</v>
      </c>
      <c r="G373" s="395" t="n">
        <f aca="false">'3a. Outputs - Dedicated Vessel'!AK70</f>
        <v>395.750196483891</v>
      </c>
      <c r="H373" s="392" t="s">
        <v>1702</v>
      </c>
    </row>
    <row r="374" customFormat="false" ht="57.45" hidden="false" customHeight="false" outlineLevel="0" collapsed="false">
      <c r="A374" s="0" t="s">
        <v>1585</v>
      </c>
      <c r="B374" s="0" t="s">
        <v>2106</v>
      </c>
      <c r="C374" s="0" t="s">
        <v>1637</v>
      </c>
      <c r="D374" s="393" t="s">
        <v>2107</v>
      </c>
      <c r="E374" s="0" t="n">
        <v>3601465.44003908</v>
      </c>
      <c r="F374" s="393" t="s">
        <v>2108</v>
      </c>
      <c r="G374" s="0" t="n">
        <f aca="false">'3a. Outputs - Dedicated Vessel'!AE70</f>
        <v>3601465.44003908</v>
      </c>
      <c r="H374" s="392" t="s">
        <v>1706</v>
      </c>
    </row>
    <row r="375" customFormat="false" ht="23.85" hidden="false" customHeight="false" outlineLevel="0" collapsed="false">
      <c r="A375" s="0" t="s">
        <v>1585</v>
      </c>
      <c r="B375" s="0" t="s">
        <v>2109</v>
      </c>
      <c r="C375" s="0" t="s">
        <v>1637</v>
      </c>
      <c r="D375" s="393" t="s">
        <v>2110</v>
      </c>
      <c r="E375" s="0" t="n">
        <v>900000</v>
      </c>
      <c r="F375" s="393" t="s">
        <v>2111</v>
      </c>
      <c r="G375" s="0" t="n">
        <f aca="false">'3a. Outputs - Dedicated Vessel'!AF70</f>
        <v>900000</v>
      </c>
      <c r="H375" s="392" t="s">
        <v>1710</v>
      </c>
    </row>
    <row r="376" customFormat="false" ht="46.25" hidden="false" customHeight="false" outlineLevel="0" collapsed="false">
      <c r="A376" s="0" t="s">
        <v>1585</v>
      </c>
      <c r="B376" s="0" t="s">
        <v>2112</v>
      </c>
      <c r="C376" s="0" t="s">
        <v>1637</v>
      </c>
      <c r="D376" s="393" t="s">
        <v>2113</v>
      </c>
      <c r="E376" s="0" t="n">
        <v>20161872.6456106</v>
      </c>
      <c r="F376" s="393" t="s">
        <v>2114</v>
      </c>
      <c r="G376" s="0" t="n">
        <f aca="false">'3a. Outputs - Dedicated Vessel'!AI70</f>
        <v>20482497.105971</v>
      </c>
      <c r="H376" s="392" t="s">
        <v>1714</v>
      </c>
    </row>
    <row r="377" customFormat="false" ht="57.45" hidden="false" customHeight="false" outlineLevel="0" collapsed="false">
      <c r="A377" s="0" t="s">
        <v>1585</v>
      </c>
      <c r="B377" s="0" t="s">
        <v>2115</v>
      </c>
      <c r="C377" s="0" t="s">
        <v>1637</v>
      </c>
      <c r="D377" s="393" t="s">
        <v>2116</v>
      </c>
      <c r="E377" s="0" t="n">
        <v>50945.9573861041</v>
      </c>
      <c r="F377" s="393" t="s">
        <v>2117</v>
      </c>
      <c r="G377" s="104" t="n">
        <f aca="false">'3a. Outputs - Dedicated Vessel'!AJ70</f>
        <v>51756.1261825041</v>
      </c>
      <c r="H377" s="392" t="s">
        <v>1718</v>
      </c>
    </row>
    <row r="378" customFormat="false" ht="79.85" hidden="false" customHeight="false" outlineLevel="0" collapsed="false">
      <c r="A378" s="0" t="s">
        <v>1585</v>
      </c>
      <c r="B378" s="0" t="s">
        <v>2118</v>
      </c>
      <c r="C378" s="0" t="s">
        <v>1637</v>
      </c>
      <c r="D378" s="393" t="s">
        <v>1638</v>
      </c>
      <c r="E378" s="0" t="n">
        <v>2112000</v>
      </c>
      <c r="F378" s="393" t="s">
        <v>2119</v>
      </c>
      <c r="G378" s="103" t="n">
        <f aca="false">'3a. Outputs - Dedicated Vessel'!R70</f>
        <v>2468400</v>
      </c>
      <c r="H378" s="392" t="s">
        <v>1721</v>
      </c>
    </row>
    <row r="379" customFormat="false" ht="124.6" hidden="false" customHeight="false" outlineLevel="0" collapsed="false">
      <c r="A379" s="0" t="s">
        <v>1585</v>
      </c>
      <c r="B379" s="0" t="s">
        <v>2120</v>
      </c>
      <c r="C379" s="0" t="s">
        <v>1637</v>
      </c>
      <c r="D379" s="393" t="s">
        <v>2121</v>
      </c>
      <c r="E379" s="0" t="n">
        <v>9579</v>
      </c>
      <c r="F379" s="393" t="s">
        <v>1694</v>
      </c>
      <c r="G379" s="0" t="n">
        <f aca="false">'3a. Outputs - Dedicated Vessel'!W71</f>
        <v>8141.33355043556</v>
      </c>
      <c r="H379" s="392" t="s">
        <v>1695</v>
      </c>
    </row>
    <row r="380" customFormat="false" ht="23.85" hidden="false" customHeight="false" outlineLevel="0" collapsed="false">
      <c r="A380" s="0" t="s">
        <v>1585</v>
      </c>
      <c r="B380" s="0" t="s">
        <v>2122</v>
      </c>
      <c r="C380" s="0" t="s">
        <v>1637</v>
      </c>
      <c r="D380" s="393" t="s">
        <v>2123</v>
      </c>
      <c r="E380" s="0" t="n">
        <v>4904.448</v>
      </c>
      <c r="F380" s="393" t="s">
        <v>1698</v>
      </c>
      <c r="G380" s="398" t="n">
        <f aca="false">'3a. Outputs - Dedicated Vessel'!X71</f>
        <v>4168.36277782301</v>
      </c>
      <c r="H380" s="392" t="s">
        <v>1699</v>
      </c>
    </row>
    <row r="381" customFormat="false" ht="23.85" hidden="false" customHeight="false" outlineLevel="0" collapsed="false">
      <c r="A381" s="0" t="s">
        <v>1585</v>
      </c>
      <c r="B381" s="0" t="s">
        <v>2124</v>
      </c>
      <c r="C381" s="0" t="s">
        <v>1637</v>
      </c>
      <c r="D381" s="0" t="s">
        <v>1263</v>
      </c>
      <c r="F381" s="393" t="s">
        <v>2125</v>
      </c>
      <c r="G381" s="395" t="n">
        <f aca="false">'3a. Outputs - Dedicated Vessel'!AK71</f>
        <v>336.387667011307</v>
      </c>
      <c r="H381" s="392" t="s">
        <v>1702</v>
      </c>
    </row>
    <row r="382" customFormat="false" ht="57.45" hidden="false" customHeight="false" outlineLevel="0" collapsed="false">
      <c r="A382" s="0" t="s">
        <v>1585</v>
      </c>
      <c r="B382" s="0" t="s">
        <v>2126</v>
      </c>
      <c r="C382" s="0" t="s">
        <v>1637</v>
      </c>
      <c r="D382" s="393" t="s">
        <v>2127</v>
      </c>
      <c r="E382" s="0" t="n">
        <v>4237018.16475186</v>
      </c>
      <c r="F382" s="393" t="s">
        <v>2128</v>
      </c>
      <c r="G382" s="0" t="n">
        <f aca="false">'3a. Outputs - Dedicated Vessel'!AE71</f>
        <v>3601465.44003908</v>
      </c>
      <c r="H382" s="392" t="s">
        <v>1706</v>
      </c>
    </row>
    <row r="383" customFormat="false" ht="23.85" hidden="false" customHeight="false" outlineLevel="0" collapsed="false">
      <c r="A383" s="0" t="s">
        <v>1585</v>
      </c>
      <c r="B383" s="0" t="s">
        <v>2129</v>
      </c>
      <c r="C383" s="0" t="s">
        <v>1637</v>
      </c>
      <c r="D383" s="393" t="s">
        <v>2130</v>
      </c>
      <c r="E383" s="0" t="n">
        <v>900000</v>
      </c>
      <c r="F383" s="393" t="s">
        <v>2131</v>
      </c>
      <c r="G383" s="0" t="n">
        <f aca="false">'3a. Outputs - Dedicated Vessel'!AF71</f>
        <v>900000</v>
      </c>
      <c r="H383" s="392" t="s">
        <v>1710</v>
      </c>
    </row>
    <row r="384" customFormat="false" ht="46.25" hidden="false" customHeight="false" outlineLevel="0" collapsed="false">
      <c r="A384" s="0" t="s">
        <v>1585</v>
      </c>
      <c r="B384" s="0" t="s">
        <v>2132</v>
      </c>
      <c r="C384" s="0" t="s">
        <v>1637</v>
      </c>
      <c r="D384" s="393" t="s">
        <v>2133</v>
      </c>
      <c r="E384" s="0" t="n">
        <v>22157942.6185866</v>
      </c>
      <c r="F384" s="393" t="s">
        <v>2134</v>
      </c>
      <c r="G384" s="0" t="n">
        <f aca="false">'3a. Outputs - Dedicated Vessel'!AI71</f>
        <v>21389498.1616386</v>
      </c>
      <c r="H384" s="392" t="s">
        <v>1714</v>
      </c>
    </row>
    <row r="385" customFormat="false" ht="57.45" hidden="false" customHeight="false" outlineLevel="0" collapsed="false">
      <c r="A385" s="0" t="s">
        <v>1585</v>
      </c>
      <c r="B385" s="0" t="s">
        <v>2135</v>
      </c>
      <c r="C385" s="0" t="s">
        <v>1637</v>
      </c>
      <c r="D385" s="393" t="s">
        <v>2136</v>
      </c>
      <c r="E385" s="0" t="n">
        <v>55989.7198168252</v>
      </c>
      <c r="F385" s="393" t="s">
        <v>2137</v>
      </c>
      <c r="G385" s="104" t="n">
        <f aca="false">'3a. Outputs - Dedicated Vessel'!AJ71</f>
        <v>63585.8572095617</v>
      </c>
      <c r="H385" s="392" t="s">
        <v>1718</v>
      </c>
    </row>
    <row r="386" customFormat="false" ht="79.85" hidden="false" customHeight="false" outlineLevel="0" collapsed="false">
      <c r="A386" s="0" t="s">
        <v>1585</v>
      </c>
      <c r="B386" s="0" t="s">
        <v>2138</v>
      </c>
      <c r="C386" s="0" t="s">
        <v>1637</v>
      </c>
      <c r="D386" s="393" t="s">
        <v>1638</v>
      </c>
      <c r="E386" s="0" t="n">
        <v>2112000</v>
      </c>
      <c r="F386" s="393" t="s">
        <v>2139</v>
      </c>
      <c r="G386" s="103" t="n">
        <f aca="false">'3a. Outputs - Dedicated Vessel'!R71</f>
        <v>2468400</v>
      </c>
      <c r="H386" s="392" t="s">
        <v>1721</v>
      </c>
    </row>
    <row r="387" customFormat="false" ht="124.6" hidden="false" customHeight="false" outlineLevel="0" collapsed="false">
      <c r="A387" s="0" t="s">
        <v>1585</v>
      </c>
      <c r="B387" s="0" t="s">
        <v>2140</v>
      </c>
      <c r="C387" s="0" t="s">
        <v>1637</v>
      </c>
      <c r="D387" s="393" t="s">
        <v>2141</v>
      </c>
      <c r="E387" s="0" t="n">
        <v>7080</v>
      </c>
      <c r="F387" s="393" t="s">
        <v>1694</v>
      </c>
      <c r="G387" s="0" t="n">
        <f aca="false">'3a. Outputs - Dedicated Vessel'!W72</f>
        <v>8141.33355043556</v>
      </c>
      <c r="H387" s="392" t="s">
        <v>1695</v>
      </c>
    </row>
    <row r="388" customFormat="false" ht="23.85" hidden="false" customHeight="false" outlineLevel="0" collapsed="false">
      <c r="A388" s="0" t="s">
        <v>1585</v>
      </c>
      <c r="B388" s="0" t="s">
        <v>2142</v>
      </c>
      <c r="C388" s="0" t="s">
        <v>1637</v>
      </c>
      <c r="D388" s="393" t="s">
        <v>2143</v>
      </c>
      <c r="E388" s="0" t="n">
        <v>3624.96</v>
      </c>
      <c r="F388" s="393" t="s">
        <v>1698</v>
      </c>
      <c r="G388" s="398" t="n">
        <f aca="false">'3a. Outputs - Dedicated Vessel'!X72</f>
        <v>4168.36277782301</v>
      </c>
      <c r="H388" s="392" t="s">
        <v>1699</v>
      </c>
    </row>
    <row r="389" customFormat="false" ht="23.85" hidden="false" customHeight="false" outlineLevel="0" collapsed="false">
      <c r="A389" s="0" t="s">
        <v>1585</v>
      </c>
      <c r="B389" s="0" t="s">
        <v>2144</v>
      </c>
      <c r="C389" s="0" t="s">
        <v>1637</v>
      </c>
      <c r="D389" s="0" t="s">
        <v>1263</v>
      </c>
      <c r="F389" s="393" t="s">
        <v>2145</v>
      </c>
      <c r="G389" s="395" t="n">
        <f aca="false">'3a. Outputs - Dedicated Vessel'!AK72</f>
        <v>455.112725956474</v>
      </c>
      <c r="H389" s="392" t="s">
        <v>1702</v>
      </c>
    </row>
    <row r="390" customFormat="false" ht="57.45" hidden="false" customHeight="false" outlineLevel="0" collapsed="false">
      <c r="A390" s="0" t="s">
        <v>1585</v>
      </c>
      <c r="B390" s="0" t="s">
        <v>2146</v>
      </c>
      <c r="C390" s="0" t="s">
        <v>1637</v>
      </c>
      <c r="D390" s="393" t="s">
        <v>2147</v>
      </c>
      <c r="E390" s="0" t="n">
        <v>3131709.07829485</v>
      </c>
      <c r="F390" s="393" t="s">
        <v>2148</v>
      </c>
      <c r="G390" s="0" t="n">
        <f aca="false">'3a. Outputs - Dedicated Vessel'!AE72</f>
        <v>3601465.44003908</v>
      </c>
      <c r="H390" s="392" t="s">
        <v>1706</v>
      </c>
    </row>
    <row r="391" customFormat="false" ht="23.85" hidden="false" customHeight="false" outlineLevel="0" collapsed="false">
      <c r="A391" s="0" t="s">
        <v>1585</v>
      </c>
      <c r="B391" s="0" t="s">
        <v>2149</v>
      </c>
      <c r="C391" s="0" t="s">
        <v>1637</v>
      </c>
      <c r="D391" s="393" t="s">
        <v>2150</v>
      </c>
      <c r="E391" s="0" t="n">
        <v>900000</v>
      </c>
      <c r="F391" s="393" t="s">
        <v>2151</v>
      </c>
      <c r="G391" s="0" t="n">
        <f aca="false">'3a. Outputs - Dedicated Vessel'!AF72</f>
        <v>900000</v>
      </c>
      <c r="H391" s="392" t="s">
        <v>1710</v>
      </c>
    </row>
    <row r="392" customFormat="false" ht="46.25" hidden="false" customHeight="false" outlineLevel="0" collapsed="false">
      <c r="A392" s="0" t="s">
        <v>1585</v>
      </c>
      <c r="B392" s="0" t="s">
        <v>2152</v>
      </c>
      <c r="C392" s="0" t="s">
        <v>1637</v>
      </c>
      <c r="D392" s="393" t="s">
        <v>2153</v>
      </c>
      <c r="E392" s="0" t="n">
        <v>20264079.902926</v>
      </c>
      <c r="F392" s="393" t="s">
        <v>2154</v>
      </c>
      <c r="G392" s="0" t="n">
        <f aca="false">'3a. Outputs - Dedicated Vessel'!AI72</f>
        <v>21389498.1616386</v>
      </c>
      <c r="H392" s="392" t="s">
        <v>1714</v>
      </c>
    </row>
    <row r="393" customFormat="false" ht="57.45" hidden="false" customHeight="false" outlineLevel="0" collapsed="false">
      <c r="A393" s="0" t="s">
        <v>1585</v>
      </c>
      <c r="B393" s="0" t="s">
        <v>2155</v>
      </c>
      <c r="C393" s="0" t="s">
        <v>1637</v>
      </c>
      <c r="D393" s="393" t="s">
        <v>2156</v>
      </c>
      <c r="E393" s="0" t="n">
        <v>51204.2194368206</v>
      </c>
      <c r="F393" s="393" t="s">
        <v>2157</v>
      </c>
      <c r="G393" s="104" t="n">
        <f aca="false">'3a. Outputs - Dedicated Vessel'!AJ72</f>
        <v>46998.2422853282</v>
      </c>
      <c r="H393" s="392" t="s">
        <v>1718</v>
      </c>
    </row>
    <row r="394" customFormat="false" ht="79.85" hidden="false" customHeight="false" outlineLevel="0" collapsed="false">
      <c r="A394" s="0" t="s">
        <v>1585</v>
      </c>
      <c r="B394" s="0" t="s">
        <v>2158</v>
      </c>
      <c r="C394" s="0" t="s">
        <v>1637</v>
      </c>
      <c r="D394" s="393" t="s">
        <v>1638</v>
      </c>
      <c r="E394" s="0" t="n">
        <v>2112000</v>
      </c>
      <c r="F394" s="393" t="s">
        <v>2159</v>
      </c>
      <c r="G394" s="103" t="n">
        <f aca="false">'3a. Outputs - Dedicated Vessel'!R72</f>
        <v>2468400</v>
      </c>
      <c r="H394" s="392" t="s">
        <v>1721</v>
      </c>
    </row>
    <row r="395" customFormat="false" ht="23.85" hidden="false" customHeight="false" outlineLevel="0" collapsed="false">
      <c r="A395" s="0" t="s">
        <v>1524</v>
      </c>
      <c r="B395" s="0" t="s">
        <v>2160</v>
      </c>
      <c r="C395" s="0" t="s">
        <v>1553</v>
      </c>
      <c r="D395" s="0" t="s">
        <v>1263</v>
      </c>
      <c r="F395" s="0" t="s">
        <v>926</v>
      </c>
      <c r="H395" s="392" t="s">
        <v>2161</v>
      </c>
    </row>
    <row r="396" customFormat="false" ht="57.45" hidden="false" customHeight="false" outlineLevel="0" collapsed="false">
      <c r="A396" s="0" t="s">
        <v>1524</v>
      </c>
      <c r="B396" s="0" t="s">
        <v>1461</v>
      </c>
      <c r="C396" s="0" t="s">
        <v>1553</v>
      </c>
      <c r="D396" s="0" t="s">
        <v>1263</v>
      </c>
      <c r="F396" s="393" t="s">
        <v>2162</v>
      </c>
      <c r="G396" s="104" t="n">
        <f aca="false">'6b. Benefit - Global - Vessel'!F10</f>
        <v>287140910433.598</v>
      </c>
      <c r="H396" s="392" t="s">
        <v>2163</v>
      </c>
    </row>
    <row r="397" customFormat="false" ht="57.45" hidden="false" customHeight="false" outlineLevel="0" collapsed="false">
      <c r="A397" s="0" t="s">
        <v>1524</v>
      </c>
      <c r="B397" s="0" t="s">
        <v>1452</v>
      </c>
      <c r="C397" s="0" t="s">
        <v>1553</v>
      </c>
      <c r="D397" s="0" t="s">
        <v>1263</v>
      </c>
      <c r="F397" s="393" t="s">
        <v>2164</v>
      </c>
      <c r="G397" s="104" t="n">
        <f aca="false">'6b. Benefit - Global - Vessel'!F11</f>
        <v>225242271058.691</v>
      </c>
      <c r="H397" s="392" t="s">
        <v>2163</v>
      </c>
    </row>
    <row r="398" customFormat="false" ht="57.45" hidden="false" customHeight="false" outlineLevel="0" collapsed="false">
      <c r="A398" s="0" t="s">
        <v>1524</v>
      </c>
      <c r="B398" s="0" t="s">
        <v>2165</v>
      </c>
      <c r="C398" s="0" t="s">
        <v>1553</v>
      </c>
      <c r="D398" s="0" t="s">
        <v>1263</v>
      </c>
      <c r="F398" s="393" t="s">
        <v>2166</v>
      </c>
      <c r="G398" s="104" t="n">
        <f aca="false">'6b. Benefit - Global - Vessel'!F12</f>
        <v>1487769860049.16</v>
      </c>
      <c r="H398" s="392" t="s">
        <v>2163</v>
      </c>
    </row>
    <row r="399" customFormat="false" ht="57.45" hidden="false" customHeight="false" outlineLevel="0" collapsed="false">
      <c r="A399" s="0" t="s">
        <v>1524</v>
      </c>
      <c r="B399" s="0" t="s">
        <v>1475</v>
      </c>
      <c r="C399" s="0" t="s">
        <v>1553</v>
      </c>
      <c r="D399" s="0" t="s">
        <v>1263</v>
      </c>
      <c r="F399" s="393" t="s">
        <v>2167</v>
      </c>
      <c r="G399" s="104" t="n">
        <f aca="false">'6b. Benefit - Global - Vessel'!F13</f>
        <v>7435585381818.27</v>
      </c>
      <c r="H399" s="392" t="s">
        <v>2163</v>
      </c>
    </row>
    <row r="400" customFormat="false" ht="91" hidden="false" customHeight="false" outlineLevel="0" collapsed="false">
      <c r="A400" s="0" t="s">
        <v>1524</v>
      </c>
      <c r="B400" s="0" t="s">
        <v>2168</v>
      </c>
      <c r="C400" s="0" t="s">
        <v>1553</v>
      </c>
      <c r="D400" s="393" t="s">
        <v>2169</v>
      </c>
      <c r="E400" s="0" t="n">
        <v>781508581099.383</v>
      </c>
      <c r="F400" s="393" t="s">
        <v>2170</v>
      </c>
      <c r="G400" s="104" t="n">
        <f aca="false">'6b. Benefit - Global - Vessel'!B29</f>
        <v>2534354031278.07</v>
      </c>
      <c r="H400" s="392" t="s">
        <v>2171</v>
      </c>
    </row>
    <row r="401" customFormat="false" ht="57.45" hidden="false" customHeight="false" outlineLevel="0" collapsed="false">
      <c r="A401" s="0" t="s">
        <v>1524</v>
      </c>
      <c r="B401" s="0" t="s">
        <v>2172</v>
      </c>
      <c r="C401" s="0" t="s">
        <v>1553</v>
      </c>
      <c r="D401" s="0" t="s">
        <v>1263</v>
      </c>
      <c r="F401" s="393" t="s">
        <v>2173</v>
      </c>
      <c r="G401" s="401" t="n">
        <f aca="false">'6b. Benefit - Global - Vessel'!E29</f>
        <v>1.6153341070899</v>
      </c>
      <c r="H401" s="392" t="s">
        <v>2174</v>
      </c>
    </row>
    <row r="402" customFormat="false" ht="46.25" hidden="false" customHeight="false" outlineLevel="0" collapsed="false">
      <c r="A402" s="0" t="s">
        <v>1524</v>
      </c>
      <c r="B402" s="0" t="s">
        <v>2175</v>
      </c>
      <c r="C402" s="0" t="s">
        <v>1475</v>
      </c>
      <c r="D402" s="0" t="s">
        <v>1263</v>
      </c>
      <c r="F402" s="393" t="s">
        <v>2176</v>
      </c>
      <c r="G402" s="401" t="n">
        <f aca="false">'6b. Benefit - Global - Vessel'!F29</f>
        <v>1.28908588132514</v>
      </c>
      <c r="H402" s="392" t="s">
        <v>2177</v>
      </c>
    </row>
    <row r="403" customFormat="false" ht="91" hidden="false" customHeight="false" outlineLevel="0" collapsed="false">
      <c r="A403" s="0" t="s">
        <v>1524</v>
      </c>
      <c r="B403" s="0" t="s">
        <v>2178</v>
      </c>
      <c r="C403" s="0" t="s">
        <v>1553</v>
      </c>
      <c r="D403" s="393" t="s">
        <v>2179</v>
      </c>
      <c r="E403" s="0" t="n">
        <v>437092990799</v>
      </c>
      <c r="F403" s="393" t="s">
        <v>2180</v>
      </c>
      <c r="G403" s="104" t="n">
        <f aca="false">'6b. Benefit - Global - Vessel'!B30</f>
        <v>1988026216152.26</v>
      </c>
      <c r="H403" s="392" t="s">
        <v>2171</v>
      </c>
    </row>
    <row r="404" customFormat="false" ht="57.45" hidden="false" customHeight="false" outlineLevel="0" collapsed="false">
      <c r="A404" s="0" t="s">
        <v>1524</v>
      </c>
      <c r="B404" s="0" t="s">
        <v>2181</v>
      </c>
      <c r="C404" s="0" t="s">
        <v>1553</v>
      </c>
      <c r="D404" s="0" t="s">
        <v>1263</v>
      </c>
      <c r="F404" s="393" t="s">
        <v>2182</v>
      </c>
      <c r="G404" s="401" t="n">
        <f aca="false">'6b. Benefit - Global - Vessel'!E30</f>
        <v>2.05924271667185</v>
      </c>
      <c r="H404" s="392" t="s">
        <v>2174</v>
      </c>
    </row>
    <row r="405" customFormat="false" ht="46.25" hidden="false" customHeight="false" outlineLevel="0" collapsed="false">
      <c r="A405" s="0" t="s">
        <v>1524</v>
      </c>
      <c r="B405" s="0" t="s">
        <v>2183</v>
      </c>
      <c r="C405" s="0" t="s">
        <v>1475</v>
      </c>
      <c r="D405" s="0" t="s">
        <v>1263</v>
      </c>
      <c r="F405" s="393" t="s">
        <v>2184</v>
      </c>
      <c r="G405" s="401" t="n">
        <f aca="false">'6b. Benefit - Global - Vessel'!F30</f>
        <v>1.64333848993357</v>
      </c>
      <c r="H405" s="392" t="s">
        <v>2177</v>
      </c>
    </row>
    <row r="406" customFormat="false" ht="91" hidden="false" customHeight="false" outlineLevel="0" collapsed="false">
      <c r="A406" s="0" t="s">
        <v>1524</v>
      </c>
      <c r="B406" s="0" t="s">
        <v>1641</v>
      </c>
      <c r="C406" s="0" t="s">
        <v>1553</v>
      </c>
      <c r="D406" s="393" t="s">
        <v>2185</v>
      </c>
      <c r="E406" s="0" t="n">
        <v>4136894612230.07</v>
      </c>
      <c r="F406" s="393" t="s">
        <v>2186</v>
      </c>
      <c r="G406" s="104" t="n">
        <f aca="false">'6b. Benefit - Global - Vessel'!B31</f>
        <v>13131307331776.2</v>
      </c>
      <c r="H406" s="392" t="s">
        <v>2171</v>
      </c>
    </row>
    <row r="407" customFormat="false" ht="57.45" hidden="false" customHeight="false" outlineLevel="0" collapsed="false">
      <c r="A407" s="0" t="s">
        <v>1524</v>
      </c>
      <c r="B407" s="0" t="s">
        <v>1686</v>
      </c>
      <c r="C407" s="0" t="s">
        <v>1553</v>
      </c>
      <c r="D407" s="0" t="s">
        <v>1263</v>
      </c>
      <c r="F407" s="393" t="s">
        <v>2187</v>
      </c>
      <c r="G407" s="401" t="n">
        <f aca="false">'6b. Benefit - Global - Vessel'!E31</f>
        <v>0.311760923930069</v>
      </c>
      <c r="H407" s="392" t="s">
        <v>2174</v>
      </c>
    </row>
    <row r="408" customFormat="false" ht="46.25" hidden="false" customHeight="false" outlineLevel="0" collapsed="false">
      <c r="A408" s="0" t="s">
        <v>1524</v>
      </c>
      <c r="B408" s="0" t="s">
        <v>2188</v>
      </c>
      <c r="C408" s="0" t="s">
        <v>1475</v>
      </c>
      <c r="D408" s="0" t="s">
        <v>1263</v>
      </c>
      <c r="F408" s="393" t="s">
        <v>2189</v>
      </c>
      <c r="G408" s="401" t="n">
        <f aca="false">'6b. Benefit - Global - Vessel'!F31</f>
        <v>0.207328937722132</v>
      </c>
      <c r="H408" s="392" t="s">
        <v>2177</v>
      </c>
    </row>
    <row r="409" customFormat="false" ht="91" hidden="false" customHeight="false" outlineLevel="0" collapsed="false">
      <c r="A409" s="0" t="s">
        <v>1524</v>
      </c>
      <c r="B409" s="0" t="s">
        <v>1645</v>
      </c>
      <c r="C409" s="0" t="s">
        <v>1553</v>
      </c>
      <c r="D409" s="393" t="s">
        <v>2190</v>
      </c>
      <c r="E409" s="0" t="n">
        <v>17968541361409</v>
      </c>
      <c r="F409" s="393" t="s">
        <v>2191</v>
      </c>
      <c r="G409" s="104" t="n">
        <f aca="false">'6b. Benefit - Global - Vessel'!B32</f>
        <v>65627728765181.4</v>
      </c>
      <c r="H409" s="392" t="s">
        <v>2171</v>
      </c>
    </row>
    <row r="410" customFormat="false" ht="57.45" hidden="false" customHeight="false" outlineLevel="0" collapsed="false">
      <c r="A410" s="0" t="s">
        <v>1524</v>
      </c>
      <c r="B410" s="0" t="s">
        <v>2192</v>
      </c>
      <c r="C410" s="0" t="s">
        <v>1553</v>
      </c>
      <c r="D410" s="0" t="s">
        <v>1263</v>
      </c>
      <c r="F410" s="393" t="s">
        <v>2193</v>
      </c>
      <c r="G410" s="401" t="n">
        <f aca="false">'6b. Benefit - Global - Vessel'!E32</f>
        <v>0.0623795548496294</v>
      </c>
      <c r="H410" s="392" t="s">
        <v>2174</v>
      </c>
    </row>
    <row r="411" customFormat="false" ht="46.25" hidden="false" customHeight="false" outlineLevel="0" collapsed="false">
      <c r="A411" s="0" t="s">
        <v>1524</v>
      </c>
      <c r="B411" s="0" t="s">
        <v>2194</v>
      </c>
      <c r="C411" s="0" t="s">
        <v>1475</v>
      </c>
      <c r="D411" s="0" t="s">
        <v>1263</v>
      </c>
      <c r="F411" s="393" t="s">
        <v>2195</v>
      </c>
      <c r="G411" s="401" t="n">
        <f aca="false">'6b. Benefit - Global - Vessel'!F32</f>
        <v>0.0355577051419993</v>
      </c>
      <c r="H411" s="392" t="s">
        <v>2177</v>
      </c>
    </row>
    <row r="412" customFormat="false" ht="13.8" hidden="false" customHeight="false" outlineLevel="0" collapsed="false">
      <c r="A412" s="0" t="s">
        <v>1524</v>
      </c>
      <c r="B412" s="0" t="s">
        <v>2196</v>
      </c>
      <c r="C412" s="0" t="s">
        <v>1553</v>
      </c>
      <c r="D412" s="0" t="s">
        <v>1263</v>
      </c>
      <c r="F412" s="0" t="s">
        <v>947</v>
      </c>
      <c r="H412" s="392" t="s">
        <v>1486</v>
      </c>
    </row>
    <row r="413" customFormat="false" ht="13.8" hidden="false" customHeight="false" outlineLevel="0" collapsed="false">
      <c r="A413" s="0" t="s">
        <v>1524</v>
      </c>
      <c r="B413" s="0" t="s">
        <v>1315</v>
      </c>
      <c r="C413" s="0" t="s">
        <v>1475</v>
      </c>
      <c r="D413" s="0" t="s">
        <v>1263</v>
      </c>
      <c r="F413" s="0" t="s">
        <v>948</v>
      </c>
      <c r="H413" s="392" t="s">
        <v>1486</v>
      </c>
    </row>
    <row r="414" customFormat="false" ht="13.8" hidden="false" customHeight="false" outlineLevel="0" collapsed="false">
      <c r="A414" s="0" t="s">
        <v>1524</v>
      </c>
      <c r="B414" s="0" t="s">
        <v>2197</v>
      </c>
      <c r="C414" s="0" t="s">
        <v>2198</v>
      </c>
      <c r="D414" s="0" t="s">
        <v>2199</v>
      </c>
      <c r="F414" s="0" t="s">
        <v>953</v>
      </c>
      <c r="H414" s="392" t="s">
        <v>2200</v>
      </c>
    </row>
    <row r="415" customFormat="false" ht="13.8" hidden="false" customHeight="false" outlineLevel="0" collapsed="false">
      <c r="A415" s="0" t="s">
        <v>1524</v>
      </c>
      <c r="B415" s="0" t="s">
        <v>2201</v>
      </c>
      <c r="C415" s="0" t="s">
        <v>2202</v>
      </c>
      <c r="D415" s="0" t="s">
        <v>1263</v>
      </c>
      <c r="F415" s="0" t="s">
        <v>954</v>
      </c>
      <c r="H415" s="392" t="s">
        <v>1484</v>
      </c>
    </row>
    <row r="416" customFormat="false" ht="13.8" hidden="false" customHeight="false" outlineLevel="0" collapsed="false">
      <c r="A416" s="0" t="s">
        <v>1524</v>
      </c>
      <c r="B416" s="0" t="s">
        <v>2203</v>
      </c>
      <c r="C416" s="0" t="s">
        <v>2202</v>
      </c>
      <c r="D416" s="0" t="s">
        <v>1263</v>
      </c>
      <c r="F416" s="0" t="s">
        <v>955</v>
      </c>
      <c r="H416" s="392" t="s">
        <v>2200</v>
      </c>
    </row>
    <row r="417" customFormat="false" ht="13.8" hidden="false" customHeight="false" outlineLevel="0" collapsed="false">
      <c r="A417" s="0" t="s">
        <v>1524</v>
      </c>
      <c r="B417" s="0" t="s">
        <v>1341</v>
      </c>
      <c r="C417" s="0" t="s">
        <v>2202</v>
      </c>
      <c r="D417" s="0" t="s">
        <v>1263</v>
      </c>
      <c r="F417" s="0" t="s">
        <v>834</v>
      </c>
      <c r="H417" s="392" t="s">
        <v>1486</v>
      </c>
    </row>
    <row r="418" customFormat="false" ht="13.8" hidden="false" customHeight="false" outlineLevel="0" collapsed="false">
      <c r="A418" s="0" t="s">
        <v>1524</v>
      </c>
      <c r="B418" s="0" t="s">
        <v>1417</v>
      </c>
      <c r="C418" s="0" t="s">
        <v>2202</v>
      </c>
      <c r="D418" s="0" t="s">
        <v>1263</v>
      </c>
      <c r="F418" s="0" t="s">
        <v>729</v>
      </c>
      <c r="H418" s="392" t="s">
        <v>1486</v>
      </c>
    </row>
    <row r="419" customFormat="false" ht="13.8" hidden="false" customHeight="false" outlineLevel="0" collapsed="false">
      <c r="A419" s="0" t="s">
        <v>1524</v>
      </c>
      <c r="B419" s="0" t="s">
        <v>2204</v>
      </c>
      <c r="C419" s="0" t="s">
        <v>2202</v>
      </c>
      <c r="D419" s="0" t="s">
        <v>1263</v>
      </c>
      <c r="F419" s="0" t="s">
        <v>956</v>
      </c>
      <c r="H419" s="392" t="s">
        <v>1486</v>
      </c>
    </row>
    <row r="420" customFormat="false" ht="13.8" hidden="false" customHeight="false" outlineLevel="0" collapsed="false">
      <c r="A420" s="0" t="s">
        <v>1524</v>
      </c>
      <c r="B420" s="0" t="s">
        <v>2205</v>
      </c>
      <c r="C420" s="0" t="s">
        <v>2202</v>
      </c>
      <c r="D420" s="0" t="s">
        <v>1263</v>
      </c>
      <c r="F420" s="0" t="s">
        <v>957</v>
      </c>
      <c r="H420" s="392" t="s">
        <v>1486</v>
      </c>
    </row>
    <row r="421" customFormat="false" ht="13.8" hidden="false" customHeight="false" outlineLevel="0" collapsed="false">
      <c r="A421" s="0" t="s">
        <v>1524</v>
      </c>
      <c r="B421" s="0" t="s">
        <v>2206</v>
      </c>
      <c r="C421" s="0" t="s">
        <v>2202</v>
      </c>
      <c r="D421" s="0" t="s">
        <v>1263</v>
      </c>
      <c r="F421" s="0" t="s">
        <v>958</v>
      </c>
      <c r="H421" s="392" t="s">
        <v>1486</v>
      </c>
    </row>
    <row r="422" customFormat="false" ht="13.8" hidden="false" customHeight="false" outlineLevel="0" collapsed="false">
      <c r="A422" s="0" t="s">
        <v>1524</v>
      </c>
      <c r="B422" s="0" t="s">
        <v>2207</v>
      </c>
      <c r="C422" s="0" t="s">
        <v>2202</v>
      </c>
      <c r="D422" s="0" t="s">
        <v>1263</v>
      </c>
      <c r="F422" s="0" t="s">
        <v>959</v>
      </c>
      <c r="H422" s="392" t="s">
        <v>1486</v>
      </c>
    </row>
    <row r="423" customFormat="false" ht="13.8" hidden="false" customHeight="false" outlineLevel="0" collapsed="false">
      <c r="A423" s="0" t="s">
        <v>1524</v>
      </c>
      <c r="B423" s="0" t="s">
        <v>2208</v>
      </c>
      <c r="C423" s="0" t="s">
        <v>2202</v>
      </c>
      <c r="D423" s="0" t="s">
        <v>1263</v>
      </c>
      <c r="F423" s="0" t="s">
        <v>960</v>
      </c>
      <c r="H423" s="392" t="s">
        <v>1486</v>
      </c>
    </row>
    <row r="424" customFormat="false" ht="13.8" hidden="false" customHeight="false" outlineLevel="0" collapsed="false">
      <c r="A424" s="0" t="s">
        <v>1524</v>
      </c>
      <c r="B424" s="0" t="s">
        <v>2209</v>
      </c>
      <c r="C424" s="0" t="s">
        <v>2202</v>
      </c>
      <c r="D424" s="0" t="s">
        <v>1263</v>
      </c>
      <c r="F424" s="0" t="s">
        <v>961</v>
      </c>
      <c r="H424" s="392" t="s">
        <v>1486</v>
      </c>
    </row>
    <row r="425" customFormat="false" ht="13.8" hidden="false" customHeight="false" outlineLevel="0" collapsed="false">
      <c r="A425" s="0" t="s">
        <v>1524</v>
      </c>
      <c r="B425" s="0" t="s">
        <v>2210</v>
      </c>
      <c r="C425" s="0" t="s">
        <v>1461</v>
      </c>
      <c r="D425" s="0" t="s">
        <v>1263</v>
      </c>
      <c r="F425" s="0" t="s">
        <v>839</v>
      </c>
      <c r="H425" s="392" t="s">
        <v>2211</v>
      </c>
    </row>
    <row r="426" customFormat="false" ht="46.25" hidden="false" customHeight="false" outlineLevel="0" collapsed="false">
      <c r="A426" s="0" t="s">
        <v>1524</v>
      </c>
      <c r="B426" s="0" t="s">
        <v>1653</v>
      </c>
      <c r="C426" s="0" t="s">
        <v>1461</v>
      </c>
      <c r="D426" s="0" t="s">
        <v>1263</v>
      </c>
      <c r="F426" s="393" t="s">
        <v>2212</v>
      </c>
      <c r="G426" s="103" t="n">
        <f aca="false">'6b. Benefit - Global - Vessel'!B38</f>
        <v>105061.516818323</v>
      </c>
      <c r="H426" s="392" t="s">
        <v>2213</v>
      </c>
    </row>
    <row r="427" customFormat="false" ht="57.45" hidden="false" customHeight="false" outlineLevel="0" collapsed="false">
      <c r="A427" s="0" t="s">
        <v>1524</v>
      </c>
      <c r="B427" s="0" t="s">
        <v>1669</v>
      </c>
      <c r="C427" s="0" t="s">
        <v>1461</v>
      </c>
      <c r="D427" s="0" t="s">
        <v>1263</v>
      </c>
      <c r="F427" s="393" t="s">
        <v>2214</v>
      </c>
      <c r="G427" s="398" t="n">
        <f aca="false">'6b. Benefit - Global - Vessel'!C38</f>
        <v>0.963867126773602</v>
      </c>
      <c r="H427" s="392" t="s">
        <v>2215</v>
      </c>
      <c r="I427" s="392" t="s">
        <v>1465</v>
      </c>
    </row>
    <row r="428" customFormat="false" ht="46.25" hidden="false" customHeight="false" outlineLevel="0" collapsed="false">
      <c r="A428" s="0" t="s">
        <v>1524</v>
      </c>
      <c r="B428" s="0" t="s">
        <v>1681</v>
      </c>
      <c r="C428" s="0" t="s">
        <v>1461</v>
      </c>
      <c r="D428" s="0" t="s">
        <v>1263</v>
      </c>
      <c r="F428" s="393" t="s">
        <v>2216</v>
      </c>
      <c r="G428" s="103" t="n">
        <f aca="false">'6b. Benefit - Global - Vessel'!D38</f>
        <v>471.387382922806</v>
      </c>
      <c r="H428" s="392" t="s">
        <v>2217</v>
      </c>
    </row>
    <row r="429" customFormat="false" ht="23.85" hidden="false" customHeight="false" outlineLevel="0" collapsed="false">
      <c r="A429" s="0" t="s">
        <v>1524</v>
      </c>
      <c r="B429" s="0" t="s">
        <v>2218</v>
      </c>
      <c r="C429" s="0" t="s">
        <v>1461</v>
      </c>
      <c r="D429" s="0" t="s">
        <v>1263</v>
      </c>
      <c r="F429" s="393" t="s">
        <v>2219</v>
      </c>
      <c r="G429" s="394" t="n">
        <f aca="false">'6b. Benefit - Global - Vessel'!E38</f>
        <v>1.51126794965052</v>
      </c>
      <c r="H429" s="392" t="s">
        <v>2220</v>
      </c>
    </row>
    <row r="430" customFormat="false" ht="35.05" hidden="false" customHeight="false" outlineLevel="0" collapsed="false">
      <c r="A430" s="0" t="s">
        <v>1524</v>
      </c>
      <c r="B430" s="0" t="s">
        <v>2221</v>
      </c>
      <c r="C430" s="0" t="s">
        <v>1461</v>
      </c>
      <c r="D430" s="0" t="s">
        <v>1263</v>
      </c>
      <c r="F430" s="393" t="s">
        <v>2222</v>
      </c>
      <c r="G430" s="103" t="n">
        <f aca="false">'6b. Benefit - Global - Vessel'!F38</f>
        <v>1261.25140633091</v>
      </c>
      <c r="H430" s="392" t="s">
        <v>2223</v>
      </c>
    </row>
    <row r="431" customFormat="false" ht="35.05" hidden="false" customHeight="false" outlineLevel="0" collapsed="false">
      <c r="A431" s="0" t="s">
        <v>1524</v>
      </c>
      <c r="B431" s="0" t="s">
        <v>2224</v>
      </c>
      <c r="C431" s="0" t="s">
        <v>1461</v>
      </c>
      <c r="D431" s="0" t="s">
        <v>1263</v>
      </c>
      <c r="F431" s="393" t="s">
        <v>2225</v>
      </c>
      <c r="G431" s="161" t="n">
        <f aca="false">'6b. Benefit - Global - Vessel'!G38</f>
        <v>7.64480332410329</v>
      </c>
      <c r="H431" s="392" t="s">
        <v>2226</v>
      </c>
    </row>
    <row r="432" customFormat="false" ht="57.45" hidden="false" customHeight="false" outlineLevel="0" collapsed="false">
      <c r="A432" s="0" t="s">
        <v>1524</v>
      </c>
      <c r="B432" s="0" t="s">
        <v>2227</v>
      </c>
      <c r="C432" s="0" t="s">
        <v>1452</v>
      </c>
      <c r="D432" s="0" t="s">
        <v>1263</v>
      </c>
      <c r="F432" s="393" t="s">
        <v>2228</v>
      </c>
      <c r="G432" s="402" t="n">
        <f aca="false">'6b. Benefit - Global - Vessel'!H38</f>
        <v>140.797446182115</v>
      </c>
      <c r="H432" s="392" t="s">
        <v>2229</v>
      </c>
      <c r="I432" s="392" t="s">
        <v>1457</v>
      </c>
    </row>
    <row r="433" customFormat="false" ht="13.8" hidden="false" customHeight="false" outlineLevel="0" collapsed="false">
      <c r="A433" s="0" t="s">
        <v>1524</v>
      </c>
      <c r="B433" s="0" t="s">
        <v>1346</v>
      </c>
      <c r="C433" s="0" t="s">
        <v>1461</v>
      </c>
      <c r="D433" s="0" t="s">
        <v>1263</v>
      </c>
      <c r="F433" s="0" t="s">
        <v>847</v>
      </c>
      <c r="H433" s="392" t="s">
        <v>2211</v>
      </c>
    </row>
    <row r="434" customFormat="false" ht="46.25" hidden="false" customHeight="false" outlineLevel="0" collapsed="false">
      <c r="A434" s="0" t="s">
        <v>1524</v>
      </c>
      <c r="B434" s="0" t="s">
        <v>1348</v>
      </c>
      <c r="C434" s="0" t="s">
        <v>1461</v>
      </c>
      <c r="D434" s="0" t="s">
        <v>1263</v>
      </c>
      <c r="F434" s="393" t="s">
        <v>2230</v>
      </c>
      <c r="G434" s="103" t="n">
        <f aca="false">'6b. Benefit - Global - Vessel'!B39</f>
        <v>82413.5251688638</v>
      </c>
      <c r="H434" s="392" t="s">
        <v>2213</v>
      </c>
    </row>
    <row r="435" customFormat="false" ht="57.45" hidden="false" customHeight="false" outlineLevel="0" collapsed="false">
      <c r="A435" s="0" t="s">
        <v>1524</v>
      </c>
      <c r="B435" s="0" t="s">
        <v>1352</v>
      </c>
      <c r="C435" s="0" t="s">
        <v>1461</v>
      </c>
      <c r="D435" s="0" t="s">
        <v>1263</v>
      </c>
      <c r="F435" s="393" t="s">
        <v>2231</v>
      </c>
      <c r="G435" s="398" t="n">
        <f aca="false">'6b. Benefit - Global - Vessel'!C39</f>
        <v>0.75608738687031</v>
      </c>
      <c r="H435" s="392" t="s">
        <v>2215</v>
      </c>
      <c r="I435" s="392" t="s">
        <v>1465</v>
      </c>
    </row>
    <row r="436" customFormat="false" ht="46.25" hidden="false" customHeight="false" outlineLevel="0" collapsed="false">
      <c r="A436" s="0" t="s">
        <v>1524</v>
      </c>
      <c r="B436" s="0" t="s">
        <v>1354</v>
      </c>
      <c r="C436" s="0" t="s">
        <v>1461</v>
      </c>
      <c r="D436" s="0" t="s">
        <v>1263</v>
      </c>
      <c r="F436" s="393" t="s">
        <v>2232</v>
      </c>
      <c r="G436" s="103" t="n">
        <f aca="false">'6b. Benefit - Global - Vessel'!D39</f>
        <v>369.770941095135</v>
      </c>
      <c r="H436" s="392" t="s">
        <v>2217</v>
      </c>
    </row>
    <row r="437" customFormat="false" ht="23.85" hidden="false" customHeight="false" outlineLevel="0" collapsed="false">
      <c r="A437" s="0" t="s">
        <v>1524</v>
      </c>
      <c r="B437" s="0" t="s">
        <v>2233</v>
      </c>
      <c r="C437" s="0" t="s">
        <v>1461</v>
      </c>
      <c r="D437" s="0" t="s">
        <v>1263</v>
      </c>
      <c r="F437" s="393" t="s">
        <v>2234</v>
      </c>
      <c r="G437" s="394" t="n">
        <f aca="false">'6b. Benefit - Global - Vessel'!E39</f>
        <v>1.185485637151</v>
      </c>
      <c r="H437" s="392" t="s">
        <v>2220</v>
      </c>
    </row>
    <row r="438" customFormat="false" ht="35.05" hidden="false" customHeight="false" outlineLevel="0" collapsed="false">
      <c r="A438" s="0" t="s">
        <v>1524</v>
      </c>
      <c r="B438" s="0" t="s">
        <v>2235</v>
      </c>
      <c r="C438" s="0" t="s">
        <v>1461</v>
      </c>
      <c r="D438" s="0" t="s">
        <v>1263</v>
      </c>
      <c r="F438" s="393" t="s">
        <v>2236</v>
      </c>
      <c r="G438" s="103" t="n">
        <f aca="false">'6b. Benefit - Global - Vessel'!F39</f>
        <v>989.364875624846</v>
      </c>
      <c r="H438" s="392" t="s">
        <v>2223</v>
      </c>
    </row>
    <row r="439" customFormat="false" ht="35.05" hidden="false" customHeight="false" outlineLevel="0" collapsed="false">
      <c r="A439" s="0" t="s">
        <v>1524</v>
      </c>
      <c r="B439" s="0" t="s">
        <v>1355</v>
      </c>
      <c r="C439" s="0" t="s">
        <v>1461</v>
      </c>
      <c r="D439" s="0" t="s">
        <v>1263</v>
      </c>
      <c r="F439" s="393" t="s">
        <v>2237</v>
      </c>
      <c r="G439" s="161" t="n">
        <f aca="false">'6b. Benefit - Global - Vessel'!G39</f>
        <v>5.99682176920677</v>
      </c>
      <c r="H439" s="392" t="s">
        <v>2226</v>
      </c>
    </row>
    <row r="440" customFormat="false" ht="57.45" hidden="false" customHeight="false" outlineLevel="0" collapsed="false">
      <c r="A440" s="0" t="s">
        <v>1524</v>
      </c>
      <c r="B440" s="0" t="s">
        <v>2238</v>
      </c>
      <c r="C440" s="0" t="s">
        <v>1452</v>
      </c>
      <c r="D440" s="0" t="s">
        <v>1263</v>
      </c>
      <c r="F440" s="393" t="s">
        <v>2239</v>
      </c>
      <c r="G440" s="402" t="n">
        <f aca="false">'6b. Benefit - Global - Vessel'!H39</f>
        <v>110.445900897348</v>
      </c>
      <c r="H440" s="392" t="s">
        <v>2229</v>
      </c>
      <c r="I440" s="392" t="s">
        <v>1457</v>
      </c>
    </row>
    <row r="441" customFormat="false" ht="13.8" hidden="false" customHeight="false" outlineLevel="0" collapsed="false">
      <c r="A441" s="0" t="s">
        <v>1524</v>
      </c>
      <c r="B441" s="0" t="s">
        <v>1356</v>
      </c>
      <c r="C441" s="0" t="s">
        <v>1461</v>
      </c>
      <c r="D441" s="0" t="s">
        <v>1263</v>
      </c>
      <c r="F441" s="0" t="s">
        <v>841</v>
      </c>
      <c r="H441" s="392" t="s">
        <v>2211</v>
      </c>
    </row>
    <row r="442" customFormat="false" ht="46.25" hidden="false" customHeight="false" outlineLevel="0" collapsed="false">
      <c r="A442" s="0" t="s">
        <v>1524</v>
      </c>
      <c r="B442" s="0" t="s">
        <v>1358</v>
      </c>
      <c r="C442" s="0" t="s">
        <v>1461</v>
      </c>
      <c r="D442" s="0" t="s">
        <v>1263</v>
      </c>
      <c r="F442" s="393" t="s">
        <v>2240</v>
      </c>
      <c r="G442" s="103" t="n">
        <f aca="false">'6b. Benefit - Global - Vessel'!B40</f>
        <v>544357.67420712</v>
      </c>
      <c r="H442" s="392" t="s">
        <v>2213</v>
      </c>
    </row>
    <row r="443" customFormat="false" ht="57.45" hidden="false" customHeight="false" outlineLevel="0" collapsed="false">
      <c r="A443" s="0" t="s">
        <v>1524</v>
      </c>
      <c r="B443" s="0" t="s">
        <v>1361</v>
      </c>
      <c r="C443" s="0" t="s">
        <v>1461</v>
      </c>
      <c r="D443" s="0" t="s">
        <v>1263</v>
      </c>
      <c r="F443" s="393" t="s">
        <v>2241</v>
      </c>
      <c r="G443" s="398" t="n">
        <f aca="false">'6b. Benefit - Global - Vessel'!C40</f>
        <v>4.99410710281761</v>
      </c>
      <c r="H443" s="392" t="s">
        <v>2215</v>
      </c>
      <c r="I443" s="392" t="s">
        <v>1465</v>
      </c>
    </row>
    <row r="444" customFormat="false" ht="46.25" hidden="false" customHeight="false" outlineLevel="0" collapsed="false">
      <c r="A444" s="0" t="s">
        <v>1524</v>
      </c>
      <c r="B444" s="0" t="s">
        <v>1362</v>
      </c>
      <c r="C444" s="0" t="s">
        <v>1461</v>
      </c>
      <c r="D444" s="0" t="s">
        <v>1263</v>
      </c>
      <c r="F444" s="393" t="s">
        <v>2242</v>
      </c>
      <c r="G444" s="103" t="n">
        <f aca="false">'6b. Benefit - Global - Vessel'!D40</f>
        <v>2442.41038193052</v>
      </c>
      <c r="H444" s="392" t="s">
        <v>2217</v>
      </c>
    </row>
    <row r="445" customFormat="false" ht="23.85" hidden="false" customHeight="false" outlineLevel="0" collapsed="false">
      <c r="A445" s="0" t="s">
        <v>1524</v>
      </c>
      <c r="B445" s="0" t="s">
        <v>2243</v>
      </c>
      <c r="C445" s="0" t="s">
        <v>1461</v>
      </c>
      <c r="D445" s="0" t="s">
        <v>1263</v>
      </c>
      <c r="F445" s="393" t="s">
        <v>2244</v>
      </c>
      <c r="G445" s="394" t="n">
        <f aca="false">'6b. Benefit - Global - Vessel'!E40</f>
        <v>7.83036768446926</v>
      </c>
      <c r="H445" s="392" t="s">
        <v>2220</v>
      </c>
    </row>
    <row r="446" customFormat="false" ht="35.05" hidden="false" customHeight="false" outlineLevel="0" collapsed="false">
      <c r="A446" s="0" t="s">
        <v>1524</v>
      </c>
      <c r="B446" s="0" t="s">
        <v>2245</v>
      </c>
      <c r="C446" s="0" t="s">
        <v>1461</v>
      </c>
      <c r="D446" s="0" t="s">
        <v>1263</v>
      </c>
      <c r="F446" s="393" t="s">
        <v>2246</v>
      </c>
      <c r="G446" s="103" t="n">
        <f aca="false">'6b. Benefit - Global - Vessel'!F40</f>
        <v>6534.95116892331</v>
      </c>
      <c r="H446" s="392" t="s">
        <v>2223</v>
      </c>
    </row>
    <row r="447" customFormat="false" ht="35.05" hidden="false" customHeight="false" outlineLevel="0" collapsed="false">
      <c r="A447" s="0" t="s">
        <v>1524</v>
      </c>
      <c r="B447" s="0" t="s">
        <v>2247</v>
      </c>
      <c r="C447" s="0" t="s">
        <v>1461</v>
      </c>
      <c r="D447" s="0" t="s">
        <v>1263</v>
      </c>
      <c r="F447" s="393" t="s">
        <v>2248</v>
      </c>
      <c r="G447" s="161" t="n">
        <f aca="false">'6b. Benefit - Global - Vessel'!G40</f>
        <v>39.6101967999948</v>
      </c>
      <c r="H447" s="392" t="s">
        <v>2226</v>
      </c>
    </row>
    <row r="448" customFormat="false" ht="57.45" hidden="false" customHeight="false" outlineLevel="0" collapsed="false">
      <c r="A448" s="0" t="s">
        <v>1524</v>
      </c>
      <c r="B448" s="0" t="s">
        <v>2249</v>
      </c>
      <c r="C448" s="0" t="s">
        <v>1452</v>
      </c>
      <c r="D448" s="0" t="s">
        <v>1263</v>
      </c>
      <c r="F448" s="393" t="s">
        <v>2250</v>
      </c>
      <c r="G448" s="402" t="n">
        <f aca="false">'6b. Benefit - Global - Vessel'!H40</f>
        <v>729.517073987566</v>
      </c>
      <c r="H448" s="392" t="s">
        <v>2229</v>
      </c>
      <c r="I448" s="392" t="s">
        <v>1457</v>
      </c>
    </row>
    <row r="449" customFormat="false" ht="13.8" hidden="false" customHeight="false" outlineLevel="0" collapsed="false">
      <c r="A449" s="0" t="s">
        <v>1524</v>
      </c>
      <c r="B449" s="0" t="s">
        <v>2251</v>
      </c>
      <c r="C449" s="0" t="s">
        <v>1461</v>
      </c>
      <c r="D449" s="0" t="s">
        <v>1263</v>
      </c>
      <c r="F449" s="0" t="s">
        <v>843</v>
      </c>
      <c r="H449" s="392" t="s">
        <v>2211</v>
      </c>
    </row>
    <row r="450" customFormat="false" ht="46.25" hidden="false" customHeight="false" outlineLevel="0" collapsed="false">
      <c r="A450" s="0" t="s">
        <v>1524</v>
      </c>
      <c r="B450" s="0" t="s">
        <v>2252</v>
      </c>
      <c r="C450" s="0" t="s">
        <v>1461</v>
      </c>
      <c r="D450" s="0" t="s">
        <v>1263</v>
      </c>
      <c r="F450" s="393" t="s">
        <v>2253</v>
      </c>
      <c r="G450" s="103" t="n">
        <f aca="false">'6b. Benefit - Global - Vessel'!B41</f>
        <v>2720594.14127485</v>
      </c>
      <c r="H450" s="392" t="s">
        <v>2213</v>
      </c>
    </row>
    <row r="451" customFormat="false" ht="57.45" hidden="false" customHeight="false" outlineLevel="0" collapsed="false">
      <c r="A451" s="0" t="s">
        <v>1524</v>
      </c>
      <c r="B451" s="0" t="s">
        <v>2254</v>
      </c>
      <c r="C451" s="0" t="s">
        <v>1461</v>
      </c>
      <c r="D451" s="0" t="s">
        <v>1263</v>
      </c>
      <c r="F451" s="393" t="s">
        <v>2255</v>
      </c>
      <c r="G451" s="398" t="n">
        <f aca="false">'6b. Benefit - Global - Vessel'!C41</f>
        <v>24.959579277751</v>
      </c>
      <c r="H451" s="392" t="s">
        <v>2215</v>
      </c>
      <c r="I451" s="392" t="s">
        <v>1465</v>
      </c>
    </row>
    <row r="452" customFormat="false" ht="46.25" hidden="false" customHeight="false" outlineLevel="0" collapsed="false">
      <c r="A452" s="0" t="s">
        <v>1524</v>
      </c>
      <c r="B452" s="0" t="s">
        <v>2256</v>
      </c>
      <c r="C452" s="0" t="s">
        <v>1461</v>
      </c>
      <c r="D452" s="0" t="s">
        <v>1263</v>
      </c>
      <c r="F452" s="393" t="s">
        <v>2257</v>
      </c>
      <c r="G452" s="103" t="n">
        <f aca="false">'6b. Benefit - Global - Vessel'!D41</f>
        <v>12206.6936694656</v>
      </c>
      <c r="H452" s="392" t="s">
        <v>2217</v>
      </c>
    </row>
    <row r="453" customFormat="false" ht="23.85" hidden="false" customHeight="false" outlineLevel="0" collapsed="false">
      <c r="A453" s="0" t="s">
        <v>1524</v>
      </c>
      <c r="B453" s="0" t="s">
        <v>2258</v>
      </c>
      <c r="C453" s="0" t="s">
        <v>1461</v>
      </c>
      <c r="D453" s="0" t="s">
        <v>1263</v>
      </c>
      <c r="F453" s="393" t="s">
        <v>2259</v>
      </c>
      <c r="G453" s="394" t="n">
        <f aca="false">'6b. Benefit - Global - Vessel'!E41</f>
        <v>39.1346599043067</v>
      </c>
      <c r="H453" s="392" t="s">
        <v>2220</v>
      </c>
    </row>
    <row r="454" customFormat="false" ht="35.05" hidden="false" customHeight="false" outlineLevel="0" collapsed="false">
      <c r="A454" s="0" t="s">
        <v>1524</v>
      </c>
      <c r="B454" s="0" t="s">
        <v>2260</v>
      </c>
      <c r="C454" s="0" t="s">
        <v>1461</v>
      </c>
      <c r="D454" s="0" t="s">
        <v>1263</v>
      </c>
      <c r="F454" s="393" t="s">
        <v>2261</v>
      </c>
      <c r="G454" s="103" t="n">
        <f aca="false">'6b. Benefit - Global - Vessel'!F41</f>
        <v>32660.4192539139</v>
      </c>
      <c r="H454" s="392" t="s">
        <v>2223</v>
      </c>
    </row>
    <row r="455" customFormat="false" ht="35.05" hidden="false" customHeight="false" outlineLevel="0" collapsed="false">
      <c r="A455" s="0" t="s">
        <v>1524</v>
      </c>
      <c r="B455" s="0" t="s">
        <v>2262</v>
      </c>
      <c r="C455" s="0" t="s">
        <v>1461</v>
      </c>
      <c r="D455" s="0" t="s">
        <v>1263</v>
      </c>
      <c r="F455" s="393" t="s">
        <v>2263</v>
      </c>
      <c r="G455" s="161" t="n">
        <f aca="false">'6b. Benefit - Global - Vessel'!G41</f>
        <v>197.964085848099</v>
      </c>
      <c r="H455" s="392" t="s">
        <v>2226</v>
      </c>
    </row>
    <row r="456" customFormat="false" ht="57.45" hidden="false" customHeight="false" outlineLevel="0" collapsed="false">
      <c r="A456" s="0" t="s">
        <v>1524</v>
      </c>
      <c r="B456" s="0" t="s">
        <v>2264</v>
      </c>
      <c r="C456" s="0" t="s">
        <v>1452</v>
      </c>
      <c r="D456" s="0" t="s">
        <v>1263</v>
      </c>
      <c r="F456" s="393" t="s">
        <v>2265</v>
      </c>
      <c r="G456" s="402" t="n">
        <f aca="false">'6b. Benefit - Global - Vessel'!H41</f>
        <v>3645.98493139897</v>
      </c>
      <c r="H456" s="392" t="s">
        <v>2229</v>
      </c>
      <c r="I456" s="392" t="s">
        <v>1457</v>
      </c>
    </row>
    <row r="457" customFormat="false" ht="13.8" hidden="false" customHeight="false" outlineLevel="0" collapsed="false">
      <c r="A457" s="0" t="s">
        <v>1524</v>
      </c>
      <c r="B457" s="0" t="s">
        <v>1615</v>
      </c>
      <c r="C457" s="0" t="s">
        <v>2202</v>
      </c>
      <c r="D457" s="0" t="s">
        <v>1263</v>
      </c>
      <c r="F457" s="0" t="s">
        <v>962</v>
      </c>
      <c r="H457" s="392" t="s">
        <v>2266</v>
      </c>
    </row>
    <row r="458" customFormat="false" ht="23.85" hidden="false" customHeight="false" outlineLevel="0" collapsed="false">
      <c r="A458" s="0" t="s">
        <v>1528</v>
      </c>
      <c r="B458" s="0" t="s">
        <v>1427</v>
      </c>
      <c r="C458" s="0" t="s">
        <v>1553</v>
      </c>
      <c r="D458" s="0" t="s">
        <v>1263</v>
      </c>
      <c r="F458" s="0" t="s">
        <v>926</v>
      </c>
      <c r="H458" s="392" t="s">
        <v>2161</v>
      </c>
    </row>
    <row r="459" customFormat="false" ht="57.45" hidden="false" customHeight="false" outlineLevel="0" collapsed="false">
      <c r="A459" s="0" t="s">
        <v>1528</v>
      </c>
      <c r="B459" s="0" t="s">
        <v>1402</v>
      </c>
      <c r="C459" s="0" t="s">
        <v>1553</v>
      </c>
      <c r="D459" s="0" t="s">
        <v>1263</v>
      </c>
      <c r="F459" s="393" t="s">
        <v>2267</v>
      </c>
      <c r="G459" s="403" t="n">
        <f aca="false">'6c. Benefit - Global Piggyback'!F18</f>
        <v>153655736330.482</v>
      </c>
      <c r="H459" s="392" t="s">
        <v>2268</v>
      </c>
    </row>
    <row r="460" customFormat="false" ht="57.45" hidden="false" customHeight="false" outlineLevel="0" collapsed="false">
      <c r="A460" s="0" t="s">
        <v>1528</v>
      </c>
      <c r="B460" s="0" t="s">
        <v>2269</v>
      </c>
      <c r="C460" s="0" t="s">
        <v>1553</v>
      </c>
      <c r="D460" s="0" t="s">
        <v>1263</v>
      </c>
      <c r="F460" s="393" t="s">
        <v>2270</v>
      </c>
      <c r="G460" s="403" t="n">
        <f aca="false">'6c. Benefit - Global Piggyback'!F19</f>
        <v>120532344067.624</v>
      </c>
      <c r="H460" s="392" t="s">
        <v>2268</v>
      </c>
    </row>
    <row r="461" customFormat="false" ht="57.45" hidden="false" customHeight="false" outlineLevel="0" collapsed="false">
      <c r="A461" s="0" t="s">
        <v>1528</v>
      </c>
      <c r="B461" s="0" t="s">
        <v>1221</v>
      </c>
      <c r="C461" s="0" t="s">
        <v>1553</v>
      </c>
      <c r="D461" s="0" t="s">
        <v>1263</v>
      </c>
      <c r="F461" s="393" t="s">
        <v>2271</v>
      </c>
      <c r="G461" s="403" t="n">
        <f aca="false">'6c. Benefit - Global Piggyback'!F20</f>
        <v>796140031007.589</v>
      </c>
      <c r="H461" s="392" t="s">
        <v>2268</v>
      </c>
    </row>
    <row r="462" customFormat="false" ht="57.45" hidden="false" customHeight="false" outlineLevel="0" collapsed="false">
      <c r="A462" s="0" t="s">
        <v>1528</v>
      </c>
      <c r="B462" s="0" t="s">
        <v>2272</v>
      </c>
      <c r="C462" s="0" t="s">
        <v>1553</v>
      </c>
      <c r="D462" s="0" t="s">
        <v>1263</v>
      </c>
      <c r="F462" s="393" t="s">
        <v>2273</v>
      </c>
      <c r="G462" s="403" t="n">
        <f aca="false">'6c. Benefit - Global Piggyback'!F21</f>
        <v>3978953556865.83</v>
      </c>
      <c r="H462" s="392" t="s">
        <v>2268</v>
      </c>
    </row>
    <row r="463" customFormat="false" ht="68.65" hidden="false" customHeight="false" outlineLevel="0" collapsed="false">
      <c r="A463" s="0" t="s">
        <v>1528</v>
      </c>
      <c r="B463" s="0" t="s">
        <v>1653</v>
      </c>
      <c r="C463" s="0" t="s">
        <v>1553</v>
      </c>
      <c r="D463" s="393" t="s">
        <v>2274</v>
      </c>
      <c r="E463" s="0" t="n">
        <v>313396011931.723</v>
      </c>
      <c r="F463" s="393" t="s">
        <v>2275</v>
      </c>
      <c r="G463" s="404" t="n">
        <f aca="false">'6c. Benefit - Global Piggyback'!B38</f>
        <v>1054820031983.61</v>
      </c>
      <c r="H463" s="392" t="s">
        <v>2276</v>
      </c>
    </row>
    <row r="464" customFormat="false" ht="57.45" hidden="false" customHeight="false" outlineLevel="0" collapsed="false">
      <c r="A464" s="0" t="s">
        <v>1528</v>
      </c>
      <c r="B464" s="0" t="s">
        <v>2218</v>
      </c>
      <c r="C464" s="0" t="s">
        <v>1553</v>
      </c>
      <c r="D464" s="0" t="s">
        <v>1263</v>
      </c>
      <c r="F464" s="393" t="s">
        <v>2277</v>
      </c>
      <c r="G464" s="401" t="n">
        <f aca="false">'6c. Benefit - Global Piggyback'!E38</f>
        <v>4.02812230523307</v>
      </c>
      <c r="H464" s="392" t="s">
        <v>2278</v>
      </c>
    </row>
    <row r="465" customFormat="false" ht="46.25" hidden="false" customHeight="false" outlineLevel="0" collapsed="false">
      <c r="A465" s="0" t="s">
        <v>1528</v>
      </c>
      <c r="B465" s="0" t="s">
        <v>2221</v>
      </c>
      <c r="C465" s="0" t="s">
        <v>1475</v>
      </c>
      <c r="D465" s="0" t="s">
        <v>1263</v>
      </c>
      <c r="F465" s="393" t="s">
        <v>2279</v>
      </c>
      <c r="G465" s="401" t="n">
        <f aca="false">'6c. Benefit - Global Piggyback'!F38</f>
        <v>3.0972108046302</v>
      </c>
      <c r="H465" s="392" t="s">
        <v>2177</v>
      </c>
    </row>
    <row r="466" customFormat="false" ht="68.65" hidden="false" customHeight="false" outlineLevel="0" collapsed="false">
      <c r="A466" s="0" t="s">
        <v>1528</v>
      </c>
      <c r="B466" s="0" t="s">
        <v>1348</v>
      </c>
      <c r="C466" s="0" t="s">
        <v>1553</v>
      </c>
      <c r="D466" s="393" t="s">
        <v>2280</v>
      </c>
      <c r="E466" s="0" t="n">
        <v>175280481203.438</v>
      </c>
      <c r="F466" s="393" t="s">
        <v>2281</v>
      </c>
      <c r="G466" s="404" t="n">
        <f aca="false">'6c. Benefit - Global Piggyback'!B39</f>
        <v>827433677783.547</v>
      </c>
      <c r="H466" s="392" t="s">
        <v>2276</v>
      </c>
    </row>
    <row r="467" customFormat="false" ht="57.45" hidden="false" customHeight="false" outlineLevel="0" collapsed="false">
      <c r="A467" s="0" t="s">
        <v>1528</v>
      </c>
      <c r="B467" s="0" t="s">
        <v>2233</v>
      </c>
      <c r="C467" s="0" t="s">
        <v>1553</v>
      </c>
      <c r="D467" s="0" t="s">
        <v>1263</v>
      </c>
      <c r="F467" s="393" t="s">
        <v>2282</v>
      </c>
      <c r="G467" s="401" t="n">
        <f aca="false">'6c. Benefit - Global Piggyback'!E39</f>
        <v>5.1350872135414</v>
      </c>
      <c r="H467" s="392" t="s">
        <v>2278</v>
      </c>
    </row>
    <row r="468" customFormat="false" ht="46.25" hidden="false" customHeight="false" outlineLevel="0" collapsed="false">
      <c r="A468" s="0" t="s">
        <v>1528</v>
      </c>
      <c r="B468" s="0" t="s">
        <v>2235</v>
      </c>
      <c r="C468" s="0" t="s">
        <v>1475</v>
      </c>
      <c r="D468" s="0" t="s">
        <v>1263</v>
      </c>
      <c r="F468" s="393" t="s">
        <v>2283</v>
      </c>
      <c r="G468" s="401" t="n">
        <f aca="false">'6c. Benefit - Global Piggyback'!F39</f>
        <v>3.94835270513927</v>
      </c>
      <c r="H468" s="392" t="s">
        <v>2177</v>
      </c>
    </row>
    <row r="469" customFormat="false" ht="68.65" hidden="false" customHeight="false" outlineLevel="0" collapsed="false">
      <c r="A469" s="0" t="s">
        <v>1528</v>
      </c>
      <c r="B469" s="0" t="s">
        <v>1358</v>
      </c>
      <c r="C469" s="0" t="s">
        <v>1553</v>
      </c>
      <c r="D469" s="393" t="s">
        <v>2284</v>
      </c>
      <c r="E469" s="0" t="n">
        <v>1658953343072.59</v>
      </c>
      <c r="F469" s="393" t="s">
        <v>2285</v>
      </c>
      <c r="G469" s="404" t="n">
        <f aca="false">'6c. Benefit - Global Piggyback'!B40</f>
        <v>5465363500420.5</v>
      </c>
      <c r="H469" s="392" t="s">
        <v>2276</v>
      </c>
    </row>
    <row r="470" customFormat="false" ht="57.45" hidden="false" customHeight="false" outlineLevel="0" collapsed="false">
      <c r="A470" s="0" t="s">
        <v>1528</v>
      </c>
      <c r="B470" s="0" t="s">
        <v>2243</v>
      </c>
      <c r="C470" s="0" t="s">
        <v>1553</v>
      </c>
      <c r="D470" s="0" t="s">
        <v>1263</v>
      </c>
      <c r="F470" s="393" t="s">
        <v>2286</v>
      </c>
      <c r="G470" s="401" t="n">
        <f aca="false">'6c. Benefit - Global Piggyback'!E40</f>
        <v>0.777431198951893</v>
      </c>
      <c r="H470" s="392" t="s">
        <v>2278</v>
      </c>
    </row>
    <row r="471" customFormat="false" ht="46.25" hidden="false" customHeight="false" outlineLevel="0" collapsed="false">
      <c r="A471" s="0" t="s">
        <v>1528</v>
      </c>
      <c r="B471" s="0" t="s">
        <v>2245</v>
      </c>
      <c r="C471" s="0" t="s">
        <v>1475</v>
      </c>
      <c r="D471" s="0" t="s">
        <v>1263</v>
      </c>
      <c r="F471" s="393" t="s">
        <v>2287</v>
      </c>
      <c r="G471" s="401" t="n">
        <f aca="false">'6c. Benefit - Global Piggyback'!F40</f>
        <v>0.498137040617798</v>
      </c>
      <c r="H471" s="392" t="s">
        <v>2177</v>
      </c>
    </row>
    <row r="472" customFormat="false" ht="68.65" hidden="false" customHeight="false" outlineLevel="0" collapsed="false">
      <c r="A472" s="0" t="s">
        <v>1528</v>
      </c>
      <c r="B472" s="0" t="s">
        <v>2252</v>
      </c>
      <c r="C472" s="0" t="s">
        <v>1553</v>
      </c>
      <c r="D472" s="393" t="s">
        <v>2288</v>
      </c>
      <c r="E472" s="0" t="n">
        <v>7205639629668.61</v>
      </c>
      <c r="F472" s="393" t="s">
        <v>2289</v>
      </c>
      <c r="G472" s="404" t="n">
        <f aca="false">'6c. Benefit - Global Piggyback'!B41</f>
        <v>27314827407988.4</v>
      </c>
      <c r="H472" s="392" t="s">
        <v>2276</v>
      </c>
    </row>
    <row r="473" customFormat="false" ht="57.45" hidden="false" customHeight="false" outlineLevel="0" collapsed="false">
      <c r="A473" s="0" t="s">
        <v>1528</v>
      </c>
      <c r="B473" s="0" t="s">
        <v>2258</v>
      </c>
      <c r="C473" s="0" t="s">
        <v>1553</v>
      </c>
      <c r="D473" s="0" t="s">
        <v>1263</v>
      </c>
      <c r="F473" s="393" t="s">
        <v>2290</v>
      </c>
      <c r="G473" s="401" t="n">
        <f aca="false">'6c. Benefit - Global Piggyback'!E41</f>
        <v>0.155554491901977</v>
      </c>
      <c r="H473" s="392" t="s">
        <v>2278</v>
      </c>
    </row>
    <row r="474" customFormat="false" ht="46.25" hidden="false" customHeight="false" outlineLevel="0" collapsed="false">
      <c r="A474" s="0" t="s">
        <v>1528</v>
      </c>
      <c r="B474" s="0" t="s">
        <v>2260</v>
      </c>
      <c r="C474" s="0" t="s">
        <v>1475</v>
      </c>
      <c r="D474" s="0" t="s">
        <v>1263</v>
      </c>
      <c r="F474" s="393" t="s">
        <v>2291</v>
      </c>
      <c r="G474" s="401" t="n">
        <f aca="false">'6c. Benefit - Global Piggyback'!F41</f>
        <v>0.0854324061329767</v>
      </c>
      <c r="H474" s="392" t="s">
        <v>2177</v>
      </c>
    </row>
    <row r="475" customFormat="false" ht="13.8" hidden="false" customHeight="false" outlineLevel="0" collapsed="false">
      <c r="A475" s="0" t="s">
        <v>1528</v>
      </c>
      <c r="B475" s="0" t="s">
        <v>2206</v>
      </c>
      <c r="C475" s="0" t="s">
        <v>1553</v>
      </c>
      <c r="D475" s="0" t="s">
        <v>1263</v>
      </c>
      <c r="F475" s="0" t="s">
        <v>947</v>
      </c>
      <c r="H475" s="392" t="s">
        <v>1486</v>
      </c>
    </row>
    <row r="476" customFormat="false" ht="13.8" hidden="false" customHeight="false" outlineLevel="0" collapsed="false">
      <c r="A476" s="0" t="s">
        <v>1528</v>
      </c>
      <c r="B476" s="0" t="s">
        <v>2207</v>
      </c>
      <c r="C476" s="0" t="s">
        <v>1475</v>
      </c>
      <c r="D476" s="0" t="s">
        <v>1263</v>
      </c>
      <c r="F476" s="0" t="s">
        <v>948</v>
      </c>
      <c r="H476" s="392" t="s">
        <v>1486</v>
      </c>
    </row>
    <row r="477" customFormat="false" ht="13.8" hidden="false" customHeight="false" outlineLevel="0" collapsed="false">
      <c r="A477" s="0" t="s">
        <v>1528</v>
      </c>
      <c r="B477" s="0" t="s">
        <v>1615</v>
      </c>
      <c r="C477" s="0" t="s">
        <v>2198</v>
      </c>
      <c r="D477" s="393" t="s">
        <v>2292</v>
      </c>
      <c r="E477" s="0" t="s">
        <v>2293</v>
      </c>
      <c r="F477" s="393" t="s">
        <v>2294</v>
      </c>
      <c r="G477" s="0" t="str">
        <f aca="false">'6c. Benefit - Global Piggyback'!A42</f>
        <v>Benefit-cost at the piggyback cost from tab 3b ($21,674/t) plus the ships' genset diesel CO2 at the tab 2 carbon price (column E leaves it out). Column F rescales cooling to the IPCC AR6 TCR. Dedicated-vessel case is 6b; fleet numbers in section D.</v>
      </c>
      <c r="H477" s="392" t="s">
        <v>2200</v>
      </c>
    </row>
    <row r="478" customFormat="false" ht="35.05" hidden="false" customHeight="false" outlineLevel="0" collapsed="false">
      <c r="A478" s="0" t="s">
        <v>1528</v>
      </c>
      <c r="B478" s="0" t="s">
        <v>2295</v>
      </c>
      <c r="C478" s="0" t="s">
        <v>2202</v>
      </c>
      <c r="D478" s="0" t="s">
        <v>1263</v>
      </c>
      <c r="F478" s="0" t="s">
        <v>987</v>
      </c>
      <c r="H478" s="392" t="s">
        <v>2296</v>
      </c>
    </row>
    <row r="479" customFormat="false" ht="35.05" hidden="false" customHeight="false" outlineLevel="0" collapsed="false">
      <c r="A479" s="0" t="s">
        <v>1528</v>
      </c>
      <c r="B479" s="0" t="s">
        <v>2297</v>
      </c>
      <c r="C479" s="0" t="s">
        <v>2202</v>
      </c>
      <c r="D479" s="0" t="s">
        <v>1263</v>
      </c>
      <c r="F479" s="0" t="s">
        <v>988</v>
      </c>
      <c r="H479" s="392" t="s">
        <v>2296</v>
      </c>
    </row>
    <row r="480" customFormat="false" ht="35.05" hidden="false" customHeight="false" outlineLevel="0" collapsed="false">
      <c r="A480" s="0" t="s">
        <v>1528</v>
      </c>
      <c r="B480" s="0" t="s">
        <v>2298</v>
      </c>
      <c r="C480" s="0" t="s">
        <v>2202</v>
      </c>
      <c r="D480" s="0" t="s">
        <v>1263</v>
      </c>
      <c r="F480" s="0" t="s">
        <v>959</v>
      </c>
      <c r="H480" s="392" t="s">
        <v>2296</v>
      </c>
    </row>
    <row r="481" customFormat="false" ht="35.05" hidden="false" customHeight="false" outlineLevel="0" collapsed="false">
      <c r="A481" s="0" t="s">
        <v>1528</v>
      </c>
      <c r="B481" s="0" t="s">
        <v>2299</v>
      </c>
      <c r="C481" s="0" t="s">
        <v>2202</v>
      </c>
      <c r="D481" s="0" t="s">
        <v>1263</v>
      </c>
      <c r="F481" s="0" t="s">
        <v>989</v>
      </c>
      <c r="H481" s="392" t="s">
        <v>2296</v>
      </c>
    </row>
    <row r="482" customFormat="false" ht="35.05" hidden="false" customHeight="false" outlineLevel="0" collapsed="false">
      <c r="A482" s="0" t="s">
        <v>1528</v>
      </c>
      <c r="B482" s="0" t="s">
        <v>2300</v>
      </c>
      <c r="C482" s="0" t="s">
        <v>2202</v>
      </c>
      <c r="D482" s="0" t="s">
        <v>1263</v>
      </c>
      <c r="F482" s="0" t="s">
        <v>961</v>
      </c>
      <c r="H482" s="392" t="s">
        <v>2296</v>
      </c>
    </row>
    <row r="483" customFormat="false" ht="35.05" hidden="false" customHeight="false" outlineLevel="0" collapsed="false">
      <c r="A483" s="0" t="s">
        <v>1528</v>
      </c>
      <c r="B483" s="0" t="s">
        <v>2301</v>
      </c>
      <c r="C483" s="0" t="s">
        <v>1461</v>
      </c>
      <c r="D483" s="0" t="s">
        <v>1263</v>
      </c>
      <c r="F483" s="393" t="s">
        <v>2302</v>
      </c>
      <c r="G483" s="103" t="n">
        <f aca="false">'6c. Benefit - Global Piggyback'!F56</f>
        <v>252.250281266182</v>
      </c>
      <c r="H483" s="392" t="s">
        <v>2303</v>
      </c>
    </row>
    <row r="484" customFormat="false" ht="35.05" hidden="false" customHeight="false" outlineLevel="0" collapsed="false">
      <c r="A484" s="0" t="s">
        <v>1528</v>
      </c>
      <c r="B484" s="0" t="s">
        <v>2304</v>
      </c>
      <c r="C484" s="0" t="s">
        <v>1461</v>
      </c>
      <c r="D484" s="0" t="s">
        <v>1263</v>
      </c>
      <c r="F484" s="393" t="s">
        <v>2305</v>
      </c>
      <c r="G484" s="394" t="n">
        <f aca="false">'6c. Benefit - Global Piggyback'!G56</f>
        <v>0.80871440173938</v>
      </c>
      <c r="H484" s="392" t="s">
        <v>2306</v>
      </c>
    </row>
    <row r="485" customFormat="false" ht="23.85" hidden="false" customHeight="false" outlineLevel="0" collapsed="false">
      <c r="A485" s="0" t="s">
        <v>1528</v>
      </c>
      <c r="B485" s="0" t="s">
        <v>2307</v>
      </c>
      <c r="C485" s="0" t="s">
        <v>1461</v>
      </c>
      <c r="D485" s="0" t="s">
        <v>1263</v>
      </c>
      <c r="F485" s="393" t="s">
        <v>2308</v>
      </c>
      <c r="G485" s="103" t="n">
        <f aca="false">'6c. Benefit - Global Piggyback'!H56</f>
        <v>1261.25140633091</v>
      </c>
      <c r="H485" s="392" t="s">
        <v>2309</v>
      </c>
    </row>
    <row r="486" customFormat="false" ht="57.45" hidden="false" customHeight="false" outlineLevel="0" collapsed="false">
      <c r="A486" s="0" t="s">
        <v>1528</v>
      </c>
      <c r="B486" s="0" t="s">
        <v>2310</v>
      </c>
      <c r="C486" s="0" t="s">
        <v>1461</v>
      </c>
      <c r="D486" s="0" t="s">
        <v>1263</v>
      </c>
      <c r="F486" s="393" t="s">
        <v>2311</v>
      </c>
      <c r="G486" s="397" t="n">
        <f aca="false">'6c. Benefit - Global Piggyback'!I56</f>
        <v>0.0585704005000082</v>
      </c>
      <c r="H486" s="392" t="s">
        <v>2312</v>
      </c>
    </row>
    <row r="487" customFormat="false" ht="57.45" hidden="false" customHeight="false" outlineLevel="0" collapsed="false">
      <c r="A487" s="0" t="s">
        <v>1528</v>
      </c>
      <c r="B487" s="0" t="s">
        <v>2313</v>
      </c>
      <c r="C487" s="0" t="s">
        <v>1452</v>
      </c>
      <c r="D487" s="0" t="s">
        <v>1263</v>
      </c>
      <c r="F487" s="393" t="s">
        <v>2314</v>
      </c>
      <c r="G487" s="402" t="n">
        <f aca="false">'6c. Benefit - Global Piggyback'!J56</f>
        <v>58.6011128879781</v>
      </c>
      <c r="H487" s="392" t="s">
        <v>2229</v>
      </c>
      <c r="I487" s="392" t="s">
        <v>1457</v>
      </c>
    </row>
    <row r="488" customFormat="false" ht="35.05" hidden="false" customHeight="false" outlineLevel="0" collapsed="false">
      <c r="A488" s="0" t="s">
        <v>1528</v>
      </c>
      <c r="B488" s="0" t="s">
        <v>2315</v>
      </c>
      <c r="C488" s="0" t="s">
        <v>1461</v>
      </c>
      <c r="D488" s="0" t="s">
        <v>1263</v>
      </c>
      <c r="F488" s="393" t="s">
        <v>2316</v>
      </c>
      <c r="G488" s="103" t="n">
        <f aca="false">'6c. Benefit - Global Piggyback'!F57</f>
        <v>197.872975124969</v>
      </c>
      <c r="H488" s="392" t="s">
        <v>2303</v>
      </c>
    </row>
    <row r="489" customFormat="false" ht="35.05" hidden="false" customHeight="false" outlineLevel="0" collapsed="false">
      <c r="A489" s="0" t="s">
        <v>1528</v>
      </c>
      <c r="B489" s="0" t="s">
        <v>2317</v>
      </c>
      <c r="C489" s="0" t="s">
        <v>1461</v>
      </c>
      <c r="D489" s="0" t="s">
        <v>1263</v>
      </c>
      <c r="F489" s="393" t="s">
        <v>2318</v>
      </c>
      <c r="G489" s="394" t="n">
        <f aca="false">'6c. Benefit - Global Piggyback'!G57</f>
        <v>0.634380758250651</v>
      </c>
      <c r="H489" s="392" t="s">
        <v>2306</v>
      </c>
    </row>
    <row r="490" customFormat="false" ht="23.85" hidden="false" customHeight="false" outlineLevel="0" collapsed="false">
      <c r="A490" s="0" t="s">
        <v>1528</v>
      </c>
      <c r="B490" s="0" t="s">
        <v>2319</v>
      </c>
      <c r="C490" s="0" t="s">
        <v>1461</v>
      </c>
      <c r="D490" s="0" t="s">
        <v>1263</v>
      </c>
      <c r="F490" s="393" t="s">
        <v>2320</v>
      </c>
      <c r="G490" s="103" t="n">
        <f aca="false">'6c. Benefit - Global Piggyback'!H57</f>
        <v>989.364875624846</v>
      </c>
      <c r="H490" s="392" t="s">
        <v>2309</v>
      </c>
    </row>
    <row r="491" customFormat="false" ht="57.45" hidden="false" customHeight="false" outlineLevel="0" collapsed="false">
      <c r="A491" s="0" t="s">
        <v>1528</v>
      </c>
      <c r="B491" s="0" t="s">
        <v>2321</v>
      </c>
      <c r="C491" s="0" t="s">
        <v>1461</v>
      </c>
      <c r="D491" s="0" t="s">
        <v>1263</v>
      </c>
      <c r="F491" s="393" t="s">
        <v>2322</v>
      </c>
      <c r="G491" s="397" t="n">
        <f aca="false">'6c. Benefit - Global Piggyback'!I57</f>
        <v>0.0746660830801631</v>
      </c>
      <c r="H491" s="392" t="s">
        <v>2312</v>
      </c>
    </row>
    <row r="492" customFormat="false" ht="57.45" hidden="false" customHeight="false" outlineLevel="0" collapsed="false">
      <c r="A492" s="0" t="s">
        <v>1528</v>
      </c>
      <c r="B492" s="0" t="s">
        <v>2323</v>
      </c>
      <c r="C492" s="0" t="s">
        <v>1452</v>
      </c>
      <c r="D492" s="0" t="s">
        <v>1263</v>
      </c>
      <c r="F492" s="393" t="s">
        <v>2324</v>
      </c>
      <c r="G492" s="402" t="n">
        <f aca="false">'6c. Benefit - Global Piggyback'!J57</f>
        <v>45.9685376546415</v>
      </c>
      <c r="H492" s="392" t="s">
        <v>2229</v>
      </c>
      <c r="I492" s="392" t="s">
        <v>1457</v>
      </c>
    </row>
    <row r="493" customFormat="false" ht="35.05" hidden="false" customHeight="false" outlineLevel="0" collapsed="false">
      <c r="A493" s="0" t="s">
        <v>1528</v>
      </c>
      <c r="B493" s="0" t="s">
        <v>2325</v>
      </c>
      <c r="C493" s="0" t="s">
        <v>1461</v>
      </c>
      <c r="D493" s="0" t="s">
        <v>1263</v>
      </c>
      <c r="F493" s="393" t="s">
        <v>2326</v>
      </c>
      <c r="G493" s="103" t="n">
        <f aca="false">'6c. Benefit - Global Piggyback'!F58</f>
        <v>1306.99023378466</v>
      </c>
      <c r="H493" s="392" t="s">
        <v>2303</v>
      </c>
    </row>
    <row r="494" customFormat="false" ht="35.05" hidden="false" customHeight="false" outlineLevel="0" collapsed="false">
      <c r="A494" s="0" t="s">
        <v>1528</v>
      </c>
      <c r="B494" s="0" t="s">
        <v>2327</v>
      </c>
      <c r="C494" s="0" t="s">
        <v>1461</v>
      </c>
      <c r="D494" s="0" t="s">
        <v>1263</v>
      </c>
      <c r="F494" s="393" t="s">
        <v>2328</v>
      </c>
      <c r="G494" s="394" t="n">
        <f aca="false">'6c. Benefit - Global Piggyback'!G58</f>
        <v>4.19021068951363</v>
      </c>
      <c r="H494" s="392" t="s">
        <v>2306</v>
      </c>
    </row>
    <row r="495" customFormat="false" ht="23.85" hidden="false" customHeight="false" outlineLevel="0" collapsed="false">
      <c r="A495" s="0" t="s">
        <v>1528</v>
      </c>
      <c r="B495" s="0" t="s">
        <v>2329</v>
      </c>
      <c r="C495" s="0" t="s">
        <v>1461</v>
      </c>
      <c r="D495" s="0" t="s">
        <v>1263</v>
      </c>
      <c r="F495" s="393" t="s">
        <v>2330</v>
      </c>
      <c r="G495" s="103" t="n">
        <f aca="false">'6c. Benefit - Global Piggyback'!H58</f>
        <v>6534.95116892331</v>
      </c>
      <c r="H495" s="392" t="s">
        <v>2309</v>
      </c>
    </row>
    <row r="496" customFormat="false" ht="57.45" hidden="false" customHeight="false" outlineLevel="0" collapsed="false">
      <c r="A496" s="0" t="s">
        <v>1528</v>
      </c>
      <c r="B496" s="0" t="s">
        <v>2331</v>
      </c>
      <c r="C496" s="0" t="s">
        <v>1461</v>
      </c>
      <c r="D496" s="0" t="s">
        <v>1263</v>
      </c>
      <c r="F496" s="393" t="s">
        <v>2332</v>
      </c>
      <c r="G496" s="397" t="n">
        <f aca="false">'6c. Benefit - Global Piggyback'!I58</f>
        <v>0.0113041395552113</v>
      </c>
      <c r="H496" s="392" t="s">
        <v>2312</v>
      </c>
    </row>
    <row r="497" customFormat="false" ht="57.45" hidden="false" customHeight="false" outlineLevel="0" collapsed="false">
      <c r="A497" s="0" t="s">
        <v>1528</v>
      </c>
      <c r="B497" s="0" t="s">
        <v>2333</v>
      </c>
      <c r="C497" s="0" t="s">
        <v>1452</v>
      </c>
      <c r="D497" s="0" t="s">
        <v>1263</v>
      </c>
      <c r="F497" s="393" t="s">
        <v>2334</v>
      </c>
      <c r="G497" s="402" t="n">
        <f aca="false">'6c. Benefit - Global Piggyback'!J58</f>
        <v>303.631305578917</v>
      </c>
      <c r="H497" s="392" t="s">
        <v>2229</v>
      </c>
      <c r="I497" s="392" t="s">
        <v>1457</v>
      </c>
    </row>
    <row r="498" customFormat="false" ht="35.05" hidden="false" customHeight="false" outlineLevel="0" collapsed="false">
      <c r="A498" s="0" t="s">
        <v>1528</v>
      </c>
      <c r="B498" s="0" t="s">
        <v>2335</v>
      </c>
      <c r="C498" s="0" t="s">
        <v>1461</v>
      </c>
      <c r="D498" s="0" t="s">
        <v>1263</v>
      </c>
      <c r="F498" s="393" t="s">
        <v>2336</v>
      </c>
      <c r="G498" s="103" t="n">
        <f aca="false">'6c. Benefit - Global Piggyback'!F59</f>
        <v>6532.08385078279</v>
      </c>
      <c r="H498" s="392" t="s">
        <v>2303</v>
      </c>
    </row>
    <row r="499" customFormat="false" ht="35.05" hidden="false" customHeight="false" outlineLevel="0" collapsed="false">
      <c r="A499" s="0" t="s">
        <v>1528</v>
      </c>
      <c r="B499" s="0" t="s">
        <v>2337</v>
      </c>
      <c r="C499" s="0" t="s">
        <v>1461</v>
      </c>
      <c r="D499" s="0" t="s">
        <v>1263</v>
      </c>
      <c r="F499" s="393" t="s">
        <v>2338</v>
      </c>
      <c r="G499" s="394" t="n">
        <f aca="false">'6c. Benefit - Global Piggyback'!G59</f>
        <v>20.9418608256096</v>
      </c>
      <c r="H499" s="392" t="s">
        <v>2306</v>
      </c>
    </row>
    <row r="500" customFormat="false" ht="23.85" hidden="false" customHeight="false" outlineLevel="0" collapsed="false">
      <c r="A500" s="0" t="s">
        <v>1528</v>
      </c>
      <c r="B500" s="0" t="s">
        <v>2339</v>
      </c>
      <c r="C500" s="0" t="s">
        <v>1461</v>
      </c>
      <c r="D500" s="0" t="s">
        <v>1263</v>
      </c>
      <c r="F500" s="393" t="s">
        <v>2340</v>
      </c>
      <c r="G500" s="103" t="n">
        <f aca="false">'6c. Benefit - Global Piggyback'!H59</f>
        <v>32660.4192539139</v>
      </c>
      <c r="H500" s="392" t="s">
        <v>2309</v>
      </c>
    </row>
    <row r="501" customFormat="false" ht="57.45" hidden="false" customHeight="false" outlineLevel="0" collapsed="false">
      <c r="A501" s="0" t="s">
        <v>1528</v>
      </c>
      <c r="B501" s="0" t="s">
        <v>2341</v>
      </c>
      <c r="C501" s="0" t="s">
        <v>1461</v>
      </c>
      <c r="D501" s="0" t="s">
        <v>1263</v>
      </c>
      <c r="F501" s="393" t="s">
        <v>2342</v>
      </c>
      <c r="G501" s="397" t="n">
        <f aca="false">'6c. Benefit - Global Piggyback'!I59</f>
        <v>0.00226182032219771</v>
      </c>
      <c r="H501" s="392" t="s">
        <v>2312</v>
      </c>
    </row>
    <row r="502" customFormat="false" ht="57.45" hidden="false" customHeight="false" outlineLevel="0" collapsed="false">
      <c r="A502" s="0" t="s">
        <v>1528</v>
      </c>
      <c r="B502" s="0" t="s">
        <v>2343</v>
      </c>
      <c r="C502" s="0" t="s">
        <v>1452</v>
      </c>
      <c r="D502" s="0" t="s">
        <v>1263</v>
      </c>
      <c r="F502" s="393" t="s">
        <v>2344</v>
      </c>
      <c r="G502" s="402" t="n">
        <f aca="false">'6c. Benefit - Global Piggyback'!J59</f>
        <v>1517.49041155491</v>
      </c>
      <c r="H502" s="392" t="s">
        <v>2229</v>
      </c>
      <c r="I502" s="392" t="s">
        <v>1457</v>
      </c>
    </row>
    <row r="503" customFormat="false" ht="13.8" hidden="false" customHeight="false" outlineLevel="0" collapsed="false">
      <c r="A503" s="0" t="s">
        <v>1528</v>
      </c>
      <c r="B503" s="0" t="s">
        <v>1552</v>
      </c>
      <c r="C503" s="0" t="s">
        <v>2202</v>
      </c>
      <c r="D503" s="0" t="s">
        <v>1263</v>
      </c>
      <c r="F503" s="0" t="s">
        <v>991</v>
      </c>
      <c r="H503" s="392" t="s">
        <v>1244</v>
      </c>
    </row>
    <row r="504" customFormat="false" ht="57.45" hidden="false" customHeight="false" outlineLevel="0" collapsed="false">
      <c r="A504" s="0" t="s">
        <v>2345</v>
      </c>
      <c r="B504" s="0" t="s">
        <v>2346</v>
      </c>
      <c r="C504" s="0" t="s">
        <v>2183</v>
      </c>
      <c r="D504" s="0" t="s">
        <v>2347</v>
      </c>
      <c r="F504" s="0" t="s">
        <v>1032</v>
      </c>
      <c r="H504" s="392" t="s">
        <v>2348</v>
      </c>
    </row>
    <row r="505" customFormat="false" ht="91" hidden="false" customHeight="false" outlineLevel="0" collapsed="false">
      <c r="A505" s="0" t="s">
        <v>2345</v>
      </c>
      <c r="B505" s="0" t="s">
        <v>2349</v>
      </c>
      <c r="C505" s="0" t="s">
        <v>2183</v>
      </c>
      <c r="D505" s="0" t="s">
        <v>2350</v>
      </c>
      <c r="F505" s="0" t="s">
        <v>1033</v>
      </c>
      <c r="H505" s="392" t="s">
        <v>2351</v>
      </c>
    </row>
    <row r="506" customFormat="false" ht="13.8" hidden="false" customHeight="false" outlineLevel="0" collapsed="false">
      <c r="A506" s="0" t="s">
        <v>2345</v>
      </c>
      <c r="B506" s="0" t="s">
        <v>1596</v>
      </c>
      <c r="C506" s="0" t="s">
        <v>2183</v>
      </c>
      <c r="D506" s="0" t="s">
        <v>2352</v>
      </c>
      <c r="F506" s="0" t="s">
        <v>1045</v>
      </c>
      <c r="H506" s="392" t="s">
        <v>2353</v>
      </c>
    </row>
    <row r="507" customFormat="false" ht="35.05" hidden="false" customHeight="false" outlineLevel="0" collapsed="false">
      <c r="A507" s="0" t="s">
        <v>2345</v>
      </c>
      <c r="B507" s="0" t="s">
        <v>1188</v>
      </c>
      <c r="C507" s="0" t="s">
        <v>2183</v>
      </c>
      <c r="D507" s="0" t="s">
        <v>2354</v>
      </c>
      <c r="F507" s="0" t="s">
        <v>1048</v>
      </c>
      <c r="H507" s="392" t="s">
        <v>2355</v>
      </c>
    </row>
    <row r="508" customFormat="false" ht="46.25" hidden="false" customHeight="false" outlineLevel="0" collapsed="false">
      <c r="A508" s="0" t="s">
        <v>2345</v>
      </c>
      <c r="B508" s="0" t="s">
        <v>1192</v>
      </c>
      <c r="C508" s="0" t="s">
        <v>2183</v>
      </c>
      <c r="D508" s="0" t="s">
        <v>2356</v>
      </c>
      <c r="F508" s="0" t="s">
        <v>1049</v>
      </c>
      <c r="H508" s="392" t="s">
        <v>2357</v>
      </c>
    </row>
    <row r="509" customFormat="false" ht="23.85" hidden="false" customHeight="false" outlineLevel="0" collapsed="false">
      <c r="A509" s="0" t="s">
        <v>2345</v>
      </c>
      <c r="B509" s="0" t="s">
        <v>2358</v>
      </c>
      <c r="C509" s="0" t="s">
        <v>2183</v>
      </c>
      <c r="D509" s="0" t="s">
        <v>2359</v>
      </c>
      <c r="F509" s="0" t="s">
        <v>1066</v>
      </c>
      <c r="H509" s="392" t="s">
        <v>2360</v>
      </c>
    </row>
    <row r="510" customFormat="false" ht="23.85" hidden="false" customHeight="false" outlineLevel="0" collapsed="false">
      <c r="A510" s="0" t="s">
        <v>2345</v>
      </c>
      <c r="B510" s="0" t="s">
        <v>2361</v>
      </c>
      <c r="C510" s="0" t="s">
        <v>2183</v>
      </c>
      <c r="D510" s="0" t="s">
        <v>2362</v>
      </c>
      <c r="F510" s="0" t="s">
        <v>1017</v>
      </c>
      <c r="H510" s="392" t="s">
        <v>2363</v>
      </c>
    </row>
    <row r="511" customFormat="false" ht="68.65" hidden="false" customHeight="false" outlineLevel="0" collapsed="false">
      <c r="A511" s="0" t="s">
        <v>1551</v>
      </c>
      <c r="B511" s="0" t="s">
        <v>2364</v>
      </c>
      <c r="C511" s="0" t="s">
        <v>2183</v>
      </c>
      <c r="D511" s="0" t="s">
        <v>2365</v>
      </c>
      <c r="F511" s="0" t="s">
        <v>145</v>
      </c>
      <c r="H511" s="392" t="s">
        <v>2366</v>
      </c>
    </row>
    <row r="512" customFormat="false" ht="23.85" hidden="false" customHeight="false" outlineLevel="0" collapsed="false">
      <c r="A512" s="0" t="s">
        <v>1551</v>
      </c>
      <c r="B512" s="0" t="s">
        <v>1276</v>
      </c>
      <c r="C512" s="0" t="s">
        <v>2183</v>
      </c>
      <c r="D512" s="0" t="s">
        <v>2367</v>
      </c>
      <c r="F512" s="0" t="s">
        <v>146</v>
      </c>
      <c r="H512" s="392" t="s">
        <v>2368</v>
      </c>
    </row>
    <row r="513" customFormat="false" ht="23.85" hidden="false" customHeight="false" outlineLevel="0" collapsed="false">
      <c r="A513" s="0" t="s">
        <v>2345</v>
      </c>
      <c r="B513" s="0" t="s">
        <v>1530</v>
      </c>
      <c r="C513" s="0" t="s">
        <v>2183</v>
      </c>
      <c r="D513" s="0" t="s">
        <v>1263</v>
      </c>
      <c r="F513" s="0" t="s">
        <v>1068</v>
      </c>
      <c r="H513" s="392" t="s">
        <v>2369</v>
      </c>
    </row>
    <row r="514" customFormat="false" ht="35.05" hidden="false" customHeight="false" outlineLevel="0" collapsed="false">
      <c r="A514" s="0" t="s">
        <v>2345</v>
      </c>
      <c r="B514" s="0" t="s">
        <v>2370</v>
      </c>
      <c r="C514" s="0" t="s">
        <v>2183</v>
      </c>
      <c r="D514" s="0" t="s">
        <v>1263</v>
      </c>
      <c r="F514" s="0" t="s">
        <v>1069</v>
      </c>
      <c r="H514" s="392" t="s">
        <v>2371</v>
      </c>
    </row>
    <row r="515" customFormat="false" ht="13.8" hidden="false" customHeight="false" outlineLevel="0" collapsed="false">
      <c r="A515" s="0" t="s">
        <v>2345</v>
      </c>
      <c r="B515" s="0" t="s">
        <v>1632</v>
      </c>
      <c r="C515" s="0" t="s">
        <v>2183</v>
      </c>
      <c r="D515" s="0" t="s">
        <v>1263</v>
      </c>
      <c r="F515" s="0" t="s">
        <v>1070</v>
      </c>
      <c r="H515" s="392" t="s">
        <v>2372</v>
      </c>
    </row>
    <row r="516" customFormat="false" ht="13.8" hidden="false" customHeight="false" outlineLevel="0" collapsed="false">
      <c r="A516" s="0" t="s">
        <v>2345</v>
      </c>
      <c r="B516" s="0" t="s">
        <v>2373</v>
      </c>
      <c r="C516" s="0" t="s">
        <v>2183</v>
      </c>
      <c r="D516" s="0" t="s">
        <v>1263</v>
      </c>
      <c r="F516" s="0" t="s">
        <v>1071</v>
      </c>
      <c r="H516" s="392" t="s">
        <v>2353</v>
      </c>
    </row>
    <row r="517" customFormat="false" ht="13.8" hidden="false" customHeight="false" outlineLevel="0" collapsed="false">
      <c r="A517" s="0" t="s">
        <v>2345</v>
      </c>
      <c r="B517" s="0" t="s">
        <v>2374</v>
      </c>
      <c r="C517" s="0" t="s">
        <v>2183</v>
      </c>
      <c r="D517" s="0" t="s">
        <v>1263</v>
      </c>
      <c r="F517" s="0" t="s">
        <v>1072</v>
      </c>
      <c r="H517" s="392" t="s">
        <v>2375</v>
      </c>
    </row>
    <row r="518" customFormat="false" ht="35.05" hidden="false" customHeight="false" outlineLevel="0" collapsed="false">
      <c r="A518" s="0" t="s">
        <v>2345</v>
      </c>
      <c r="B518" s="0" t="s">
        <v>1306</v>
      </c>
      <c r="C518" s="0" t="s">
        <v>2183</v>
      </c>
      <c r="D518" s="0" t="s">
        <v>1263</v>
      </c>
      <c r="F518" s="0" t="s">
        <v>1073</v>
      </c>
      <c r="H518" s="392" t="s">
        <v>2371</v>
      </c>
    </row>
    <row r="519" customFormat="false" ht="13.8" hidden="false" customHeight="false" outlineLevel="0" collapsed="false">
      <c r="A519" s="0" t="s">
        <v>2345</v>
      </c>
      <c r="B519" s="0" t="s">
        <v>1308</v>
      </c>
      <c r="C519" s="0" t="s">
        <v>2183</v>
      </c>
      <c r="D519" s="0" t="s">
        <v>1263</v>
      </c>
      <c r="F519" s="0" t="s">
        <v>1074</v>
      </c>
      <c r="H519" s="392" t="s">
        <v>2372</v>
      </c>
    </row>
    <row r="520" customFormat="false" ht="13.8" hidden="false" customHeight="false" outlineLevel="0" collapsed="false">
      <c r="A520" s="0" t="s">
        <v>2345</v>
      </c>
      <c r="B520" s="0" t="s">
        <v>2376</v>
      </c>
      <c r="C520" s="0" t="s">
        <v>2183</v>
      </c>
      <c r="D520" s="0" t="s">
        <v>1263</v>
      </c>
      <c r="F520" s="0" t="s">
        <v>1075</v>
      </c>
      <c r="H520" s="392" t="s">
        <v>2353</v>
      </c>
    </row>
    <row r="521" customFormat="false" ht="13.8" hidden="false" customHeight="false" outlineLevel="0" collapsed="false">
      <c r="A521" s="0" t="s">
        <v>2345</v>
      </c>
      <c r="B521" s="0" t="s">
        <v>1312</v>
      </c>
      <c r="C521" s="0" t="s">
        <v>2183</v>
      </c>
      <c r="D521" s="0" t="s">
        <v>1263</v>
      </c>
      <c r="F521" s="0" t="s">
        <v>1076</v>
      </c>
      <c r="H521" s="392" t="s">
        <v>2375</v>
      </c>
    </row>
    <row r="522" customFormat="false" ht="35.05" hidden="false" customHeight="false" outlineLevel="0" collapsed="false">
      <c r="A522" s="0" t="s">
        <v>2345</v>
      </c>
      <c r="B522" s="0" t="s">
        <v>1314</v>
      </c>
      <c r="C522" s="0" t="s">
        <v>2183</v>
      </c>
      <c r="D522" s="0" t="s">
        <v>1263</v>
      </c>
      <c r="F522" s="0" t="s">
        <v>1077</v>
      </c>
      <c r="H522" s="392" t="s">
        <v>2371</v>
      </c>
    </row>
    <row r="523" customFormat="false" ht="13.8" hidden="false" customHeight="false" outlineLevel="0" collapsed="false">
      <c r="A523" s="0" t="s">
        <v>2345</v>
      </c>
      <c r="B523" s="0" t="s">
        <v>1316</v>
      </c>
      <c r="C523" s="0" t="s">
        <v>2183</v>
      </c>
      <c r="D523" s="0" t="s">
        <v>1263</v>
      </c>
      <c r="F523" s="0" t="s">
        <v>1078</v>
      </c>
      <c r="H523" s="392" t="s">
        <v>2372</v>
      </c>
    </row>
    <row r="524" customFormat="false" ht="13.8" hidden="false" customHeight="false" outlineLevel="0" collapsed="false">
      <c r="A524" s="0" t="s">
        <v>2345</v>
      </c>
      <c r="B524" s="0" t="s">
        <v>2377</v>
      </c>
      <c r="C524" s="0" t="s">
        <v>2183</v>
      </c>
      <c r="D524" s="0" t="s">
        <v>1263</v>
      </c>
      <c r="F524" s="0" t="s">
        <v>1079</v>
      </c>
      <c r="H524" s="392" t="s">
        <v>2353</v>
      </c>
    </row>
    <row r="525" customFormat="false" ht="13.8" hidden="false" customHeight="false" outlineLevel="0" collapsed="false">
      <c r="A525" s="0" t="s">
        <v>2345</v>
      </c>
      <c r="B525" s="0" t="s">
        <v>1270</v>
      </c>
      <c r="C525" s="0" t="s">
        <v>2183</v>
      </c>
      <c r="D525" s="0" t="s">
        <v>1263</v>
      </c>
      <c r="F525" s="0" t="s">
        <v>1080</v>
      </c>
      <c r="H525" s="392" t="s">
        <v>2375</v>
      </c>
    </row>
    <row r="526" customFormat="false" ht="35.05" hidden="false" customHeight="false" outlineLevel="0" collapsed="false">
      <c r="A526" s="0" t="s">
        <v>2345</v>
      </c>
      <c r="B526" s="0" t="s">
        <v>2378</v>
      </c>
      <c r="C526" s="0" t="s">
        <v>2183</v>
      </c>
      <c r="D526" s="0" t="s">
        <v>1263</v>
      </c>
      <c r="F526" s="0" t="s">
        <v>1081</v>
      </c>
      <c r="H526" s="392" t="s">
        <v>2371</v>
      </c>
    </row>
    <row r="527" customFormat="false" ht="13.8" hidden="false" customHeight="false" outlineLevel="0" collapsed="false">
      <c r="A527" s="0" t="s">
        <v>2345</v>
      </c>
      <c r="B527" s="0" t="s">
        <v>1394</v>
      </c>
      <c r="C527" s="0" t="s">
        <v>2183</v>
      </c>
      <c r="D527" s="0" t="s">
        <v>1263</v>
      </c>
      <c r="F527" s="0" t="s">
        <v>1082</v>
      </c>
      <c r="H527" s="392" t="s">
        <v>2372</v>
      </c>
    </row>
    <row r="528" customFormat="false" ht="13.8" hidden="false" customHeight="false" outlineLevel="0" collapsed="false">
      <c r="A528" s="0" t="s">
        <v>2345</v>
      </c>
      <c r="B528" s="0" t="s">
        <v>2379</v>
      </c>
      <c r="C528" s="0" t="s">
        <v>2183</v>
      </c>
      <c r="D528" s="0" t="s">
        <v>1263</v>
      </c>
      <c r="F528" s="0" t="s">
        <v>1083</v>
      </c>
      <c r="H528" s="392" t="s">
        <v>2353</v>
      </c>
    </row>
    <row r="529" customFormat="false" ht="13.8" hidden="false" customHeight="false" outlineLevel="0" collapsed="false">
      <c r="A529" s="0" t="s">
        <v>2345</v>
      </c>
      <c r="B529" s="0" t="s">
        <v>1400</v>
      </c>
      <c r="C529" s="0" t="s">
        <v>2183</v>
      </c>
      <c r="D529" s="0" t="s">
        <v>1263</v>
      </c>
      <c r="F529" s="0" t="s">
        <v>1084</v>
      </c>
      <c r="H529" s="392" t="s">
        <v>2375</v>
      </c>
    </row>
    <row r="530" customFormat="false" ht="35.05" hidden="false" customHeight="false" outlineLevel="0" collapsed="false">
      <c r="A530" s="0" t="s">
        <v>2345</v>
      </c>
      <c r="B530" s="0" t="s">
        <v>2380</v>
      </c>
      <c r="C530" s="0" t="s">
        <v>2183</v>
      </c>
      <c r="D530" s="0" t="s">
        <v>1263</v>
      </c>
      <c r="F530" s="0" t="s">
        <v>1085</v>
      </c>
      <c r="H530" s="392" t="s">
        <v>2371</v>
      </c>
    </row>
    <row r="531" customFormat="false" ht="13.8" hidden="false" customHeight="false" outlineLevel="0" collapsed="false">
      <c r="A531" s="0" t="s">
        <v>2345</v>
      </c>
      <c r="B531" s="0" t="s">
        <v>2381</v>
      </c>
      <c r="C531" s="0" t="s">
        <v>2183</v>
      </c>
      <c r="D531" s="0" t="s">
        <v>1263</v>
      </c>
      <c r="F531" s="0" t="s">
        <v>1086</v>
      </c>
      <c r="H531" s="392" t="s">
        <v>2372</v>
      </c>
    </row>
    <row r="532" customFormat="false" ht="13.8" hidden="false" customHeight="false" outlineLevel="0" collapsed="false">
      <c r="A532" s="0" t="s">
        <v>2345</v>
      </c>
      <c r="B532" s="0" t="s">
        <v>2382</v>
      </c>
      <c r="C532" s="0" t="s">
        <v>2183</v>
      </c>
      <c r="D532" s="0" t="s">
        <v>1263</v>
      </c>
      <c r="F532" s="0" t="s">
        <v>1087</v>
      </c>
      <c r="H532" s="392" t="s">
        <v>2353</v>
      </c>
    </row>
    <row r="533" customFormat="false" ht="13.8" hidden="false" customHeight="false" outlineLevel="0" collapsed="false">
      <c r="A533" s="0" t="s">
        <v>2345</v>
      </c>
      <c r="B533" s="0" t="s">
        <v>2383</v>
      </c>
      <c r="C533" s="0" t="s">
        <v>2183</v>
      </c>
      <c r="D533" s="0" t="s">
        <v>1263</v>
      </c>
      <c r="F533" s="0" t="s">
        <v>1088</v>
      </c>
      <c r="H533" s="392" t="s">
        <v>2375</v>
      </c>
    </row>
    <row r="534" customFormat="false" ht="35.05" hidden="false" customHeight="false" outlineLevel="0" collapsed="false">
      <c r="A534" s="0" t="s">
        <v>2345</v>
      </c>
      <c r="B534" s="0" t="s">
        <v>2384</v>
      </c>
      <c r="C534" s="0" t="s">
        <v>2183</v>
      </c>
      <c r="D534" s="0" t="s">
        <v>1263</v>
      </c>
      <c r="F534" s="0" t="s">
        <v>1089</v>
      </c>
      <c r="H534" s="392" t="s">
        <v>2371</v>
      </c>
    </row>
    <row r="535" customFormat="false" ht="13.8" hidden="false" customHeight="false" outlineLevel="0" collapsed="false">
      <c r="A535" s="0" t="s">
        <v>2345</v>
      </c>
      <c r="B535" s="0" t="s">
        <v>2168</v>
      </c>
      <c r="C535" s="0" t="s">
        <v>2183</v>
      </c>
      <c r="D535" s="0" t="s">
        <v>1263</v>
      </c>
      <c r="F535" s="0" t="s">
        <v>1090</v>
      </c>
      <c r="H535" s="392" t="s">
        <v>2372</v>
      </c>
    </row>
    <row r="536" customFormat="false" ht="13.8" hidden="false" customHeight="false" outlineLevel="0" collapsed="false">
      <c r="A536" s="0" t="s">
        <v>2345</v>
      </c>
      <c r="B536" s="0" t="s">
        <v>2385</v>
      </c>
      <c r="C536" s="0" t="s">
        <v>2183</v>
      </c>
      <c r="D536" s="0" t="s">
        <v>1263</v>
      </c>
      <c r="F536" s="0" t="s">
        <v>1091</v>
      </c>
      <c r="H536" s="392" t="s">
        <v>2353</v>
      </c>
    </row>
    <row r="537" customFormat="false" ht="13.8" hidden="false" customHeight="false" outlineLevel="0" collapsed="false">
      <c r="A537" s="0" t="s">
        <v>2345</v>
      </c>
      <c r="B537" s="0" t="s">
        <v>1543</v>
      </c>
      <c r="C537" s="0" t="s">
        <v>2183</v>
      </c>
      <c r="D537" s="0" t="s">
        <v>1263</v>
      </c>
      <c r="F537" s="0" t="s">
        <v>1092</v>
      </c>
      <c r="H537" s="392" t="s">
        <v>2375</v>
      </c>
    </row>
    <row r="538" customFormat="false" ht="35.05" hidden="false" customHeight="false" outlineLevel="0" collapsed="false">
      <c r="A538" s="0" t="s">
        <v>2345</v>
      </c>
      <c r="B538" s="0" t="s">
        <v>2386</v>
      </c>
      <c r="C538" s="0" t="s">
        <v>2183</v>
      </c>
      <c r="D538" s="0" t="s">
        <v>1263</v>
      </c>
      <c r="F538" s="0" t="s">
        <v>1093</v>
      </c>
      <c r="H538" s="392" t="s">
        <v>2371</v>
      </c>
    </row>
    <row r="539" customFormat="false" ht="13.8" hidden="false" customHeight="false" outlineLevel="0" collapsed="false">
      <c r="A539" s="0" t="s">
        <v>2345</v>
      </c>
      <c r="B539" s="0" t="s">
        <v>2178</v>
      </c>
      <c r="C539" s="0" t="s">
        <v>2183</v>
      </c>
      <c r="D539" s="0" t="s">
        <v>1263</v>
      </c>
      <c r="F539" s="0" t="s">
        <v>1094</v>
      </c>
      <c r="H539" s="392" t="s">
        <v>2372</v>
      </c>
    </row>
    <row r="540" customFormat="false" ht="13.8" hidden="false" customHeight="false" outlineLevel="0" collapsed="false">
      <c r="A540" s="0" t="s">
        <v>2345</v>
      </c>
      <c r="B540" s="0" t="s">
        <v>2387</v>
      </c>
      <c r="C540" s="0" t="s">
        <v>2183</v>
      </c>
      <c r="D540" s="0" t="s">
        <v>1263</v>
      </c>
      <c r="F540" s="0" t="s">
        <v>1095</v>
      </c>
      <c r="H540" s="392" t="s">
        <v>2353</v>
      </c>
    </row>
    <row r="541" customFormat="false" ht="13.8" hidden="false" customHeight="false" outlineLevel="0" collapsed="false">
      <c r="A541" s="0" t="s">
        <v>2345</v>
      </c>
      <c r="B541" s="0" t="s">
        <v>1334</v>
      </c>
      <c r="C541" s="0" t="s">
        <v>2183</v>
      </c>
      <c r="D541" s="0" t="s">
        <v>1263</v>
      </c>
      <c r="F541" s="0" t="s">
        <v>1096</v>
      </c>
      <c r="H541" s="392" t="s">
        <v>2375</v>
      </c>
    </row>
    <row r="542" customFormat="false" ht="35.05" hidden="false" customHeight="false" outlineLevel="0" collapsed="false">
      <c r="A542" s="0" t="s">
        <v>2345</v>
      </c>
      <c r="B542" s="0" t="s">
        <v>1529</v>
      </c>
      <c r="C542" s="0" t="s">
        <v>2183</v>
      </c>
      <c r="D542" s="0" t="s">
        <v>1263</v>
      </c>
      <c r="F542" s="0" t="s">
        <v>1097</v>
      </c>
      <c r="H542" s="392" t="s">
        <v>2371</v>
      </c>
    </row>
    <row r="543" customFormat="false" ht="13.8" hidden="false" customHeight="false" outlineLevel="0" collapsed="false">
      <c r="A543" s="0" t="s">
        <v>2345</v>
      </c>
      <c r="B543" s="0" t="s">
        <v>1641</v>
      </c>
      <c r="C543" s="0" t="s">
        <v>2183</v>
      </c>
      <c r="D543" s="0" t="s">
        <v>1263</v>
      </c>
      <c r="F543" s="0" t="s">
        <v>1098</v>
      </c>
      <c r="H543" s="392" t="s">
        <v>2372</v>
      </c>
    </row>
    <row r="544" customFormat="false" ht="13.8" hidden="false" customHeight="false" outlineLevel="0" collapsed="false">
      <c r="A544" s="0" t="s">
        <v>2345</v>
      </c>
      <c r="B544" s="0" t="s">
        <v>1660</v>
      </c>
      <c r="C544" s="0" t="s">
        <v>2183</v>
      </c>
      <c r="D544" s="0" t="s">
        <v>1263</v>
      </c>
      <c r="F544" s="0" t="s">
        <v>1099</v>
      </c>
      <c r="H544" s="392" t="s">
        <v>2353</v>
      </c>
    </row>
    <row r="545" customFormat="false" ht="13.8" hidden="false" customHeight="false" outlineLevel="0" collapsed="false">
      <c r="A545" s="0" t="s">
        <v>2345</v>
      </c>
      <c r="B545" s="0" t="s">
        <v>1548</v>
      </c>
      <c r="C545" s="0" t="s">
        <v>2183</v>
      </c>
      <c r="D545" s="0" t="s">
        <v>1263</v>
      </c>
      <c r="F545" s="0" t="s">
        <v>1100</v>
      </c>
      <c r="H545" s="392" t="s">
        <v>2375</v>
      </c>
    </row>
    <row r="546" customFormat="false" ht="35.05" hidden="false" customHeight="false" outlineLevel="0" collapsed="false">
      <c r="A546" s="0" t="s">
        <v>2345</v>
      </c>
      <c r="B546" s="0" t="s">
        <v>1534</v>
      </c>
      <c r="C546" s="0" t="s">
        <v>2183</v>
      </c>
      <c r="D546" s="0" t="s">
        <v>1263</v>
      </c>
      <c r="F546" s="0" t="s">
        <v>1101</v>
      </c>
      <c r="H546" s="392" t="s">
        <v>2371</v>
      </c>
    </row>
    <row r="547" customFormat="false" ht="13.8" hidden="false" customHeight="false" outlineLevel="0" collapsed="false">
      <c r="A547" s="0" t="s">
        <v>2345</v>
      </c>
      <c r="B547" s="0" t="s">
        <v>1645</v>
      </c>
      <c r="C547" s="0" t="s">
        <v>2183</v>
      </c>
      <c r="D547" s="0" t="s">
        <v>1263</v>
      </c>
      <c r="F547" s="0" t="s">
        <v>1102</v>
      </c>
      <c r="H547" s="392" t="s">
        <v>2372</v>
      </c>
    </row>
    <row r="548" customFormat="false" ht="13.8" hidden="false" customHeight="false" outlineLevel="0" collapsed="false">
      <c r="A548" s="0" t="s">
        <v>2345</v>
      </c>
      <c r="B548" s="0" t="s">
        <v>1663</v>
      </c>
      <c r="C548" s="0" t="s">
        <v>2183</v>
      </c>
      <c r="D548" s="0" t="s">
        <v>1263</v>
      </c>
      <c r="F548" s="0" t="s">
        <v>1103</v>
      </c>
      <c r="H548" s="392" t="s">
        <v>2353</v>
      </c>
    </row>
    <row r="549" customFormat="false" ht="13.8" hidden="false" customHeight="false" outlineLevel="0" collapsed="false">
      <c r="A549" s="0" t="s">
        <v>2345</v>
      </c>
      <c r="B549" s="0" t="s">
        <v>1275</v>
      </c>
      <c r="C549" s="0" t="s">
        <v>2183</v>
      </c>
      <c r="D549" s="0" t="s">
        <v>1263</v>
      </c>
      <c r="F549" s="0" t="s">
        <v>1104</v>
      </c>
      <c r="H549" s="392" t="s">
        <v>2375</v>
      </c>
    </row>
    <row r="550" customFormat="false" ht="35.05" hidden="false" customHeight="false" outlineLevel="0" collapsed="false">
      <c r="A550" s="0" t="s">
        <v>2345</v>
      </c>
      <c r="B550" s="0" t="s">
        <v>2197</v>
      </c>
      <c r="C550" s="0" t="s">
        <v>2183</v>
      </c>
      <c r="D550" s="0" t="s">
        <v>1263</v>
      </c>
      <c r="F550" s="0" t="s">
        <v>1105</v>
      </c>
      <c r="H550" s="392" t="s">
        <v>2371</v>
      </c>
    </row>
    <row r="551" customFormat="false" ht="13.8" hidden="false" customHeight="false" outlineLevel="0" collapsed="false">
      <c r="A551" s="0" t="s">
        <v>2345</v>
      </c>
      <c r="B551" s="0" t="s">
        <v>1649</v>
      </c>
      <c r="C551" s="0" t="s">
        <v>2183</v>
      </c>
      <c r="D551" s="0" t="s">
        <v>1263</v>
      </c>
      <c r="F551" s="0" t="s">
        <v>1106</v>
      </c>
      <c r="H551" s="392" t="s">
        <v>2372</v>
      </c>
    </row>
    <row r="552" customFormat="false" ht="13.8" hidden="false" customHeight="false" outlineLevel="0" collapsed="false">
      <c r="A552" s="0" t="s">
        <v>2345</v>
      </c>
      <c r="B552" s="0" t="s">
        <v>1666</v>
      </c>
      <c r="C552" s="0" t="s">
        <v>2183</v>
      </c>
      <c r="D552" s="0" t="s">
        <v>1263</v>
      </c>
      <c r="F552" s="0" t="s">
        <v>1107</v>
      </c>
      <c r="H552" s="392" t="s">
        <v>2353</v>
      </c>
    </row>
    <row r="553" customFormat="false" ht="13.8" hidden="false" customHeight="false" outlineLevel="0" collapsed="false">
      <c r="A553" s="0" t="s">
        <v>2345</v>
      </c>
      <c r="B553" s="0" t="s">
        <v>1678</v>
      </c>
      <c r="C553" s="0" t="s">
        <v>2183</v>
      </c>
      <c r="D553" s="0" t="s">
        <v>1263</v>
      </c>
      <c r="F553" s="0" t="s">
        <v>1108</v>
      </c>
      <c r="H553" s="392" t="s">
        <v>2375</v>
      </c>
    </row>
    <row r="554" customFormat="false" ht="35.05" hidden="false" customHeight="false" outlineLevel="0" collapsed="false">
      <c r="A554" s="0" t="s">
        <v>2345</v>
      </c>
      <c r="B554" s="0" t="s">
        <v>2388</v>
      </c>
      <c r="C554" s="0" t="s">
        <v>2183</v>
      </c>
      <c r="D554" s="0" t="s">
        <v>1263</v>
      </c>
      <c r="F554" s="0" t="s">
        <v>1109</v>
      </c>
      <c r="H554" s="392" t="s">
        <v>2371</v>
      </c>
    </row>
    <row r="555" customFormat="false" ht="13.8" hidden="false" customHeight="false" outlineLevel="0" collapsed="false">
      <c r="A555" s="0" t="s">
        <v>2345</v>
      </c>
      <c r="B555" s="0" t="s">
        <v>1409</v>
      </c>
      <c r="C555" s="0" t="s">
        <v>2183</v>
      </c>
      <c r="D555" s="0" t="s">
        <v>1263</v>
      </c>
      <c r="F555" s="0" t="s">
        <v>1110</v>
      </c>
      <c r="H555" s="392" t="s">
        <v>2372</v>
      </c>
    </row>
    <row r="556" customFormat="false" ht="13.8" hidden="false" customHeight="false" outlineLevel="0" collapsed="false">
      <c r="A556" s="0" t="s">
        <v>2345</v>
      </c>
      <c r="B556" s="0" t="s">
        <v>2389</v>
      </c>
      <c r="C556" s="0" t="s">
        <v>2183</v>
      </c>
      <c r="D556" s="0" t="s">
        <v>1263</v>
      </c>
      <c r="F556" s="0" t="s">
        <v>1111</v>
      </c>
      <c r="H556" s="392" t="s">
        <v>2353</v>
      </c>
    </row>
    <row r="557" customFormat="false" ht="13.8" hidden="false" customHeight="false" outlineLevel="0" collapsed="false">
      <c r="A557" s="0" t="s">
        <v>2345</v>
      </c>
      <c r="B557" s="0" t="s">
        <v>2390</v>
      </c>
      <c r="C557" s="0" t="s">
        <v>2183</v>
      </c>
      <c r="D557" s="0" t="s">
        <v>1263</v>
      </c>
      <c r="F557" s="0" t="s">
        <v>1112</v>
      </c>
      <c r="H557" s="392" t="s">
        <v>2375</v>
      </c>
    </row>
    <row r="558" customFormat="false" ht="35.05" hidden="false" customHeight="false" outlineLevel="0" collapsed="false">
      <c r="A558" s="0" t="s">
        <v>2345</v>
      </c>
      <c r="B558" s="0" t="s">
        <v>2201</v>
      </c>
      <c r="C558" s="0" t="s">
        <v>2183</v>
      </c>
      <c r="D558" s="0" t="s">
        <v>1263</v>
      </c>
      <c r="F558" s="0" t="s">
        <v>1113</v>
      </c>
      <c r="H558" s="392" t="s">
        <v>2371</v>
      </c>
    </row>
    <row r="559" customFormat="false" ht="13.8" hidden="false" customHeight="false" outlineLevel="0" collapsed="false">
      <c r="A559" s="0" t="s">
        <v>2345</v>
      </c>
      <c r="B559" s="0" t="s">
        <v>2391</v>
      </c>
      <c r="C559" s="0" t="s">
        <v>2183</v>
      </c>
      <c r="D559" s="0" t="s">
        <v>1263</v>
      </c>
      <c r="F559" s="0" t="s">
        <v>1114</v>
      </c>
      <c r="H559" s="392" t="s">
        <v>2372</v>
      </c>
    </row>
    <row r="560" customFormat="false" ht="13.8" hidden="false" customHeight="false" outlineLevel="0" collapsed="false">
      <c r="A560" s="0" t="s">
        <v>2345</v>
      </c>
      <c r="B560" s="0" t="s">
        <v>2392</v>
      </c>
      <c r="C560" s="0" t="s">
        <v>2183</v>
      </c>
      <c r="D560" s="0" t="s">
        <v>1263</v>
      </c>
      <c r="F560" s="0" t="s">
        <v>1115</v>
      </c>
      <c r="H560" s="392" t="s">
        <v>2353</v>
      </c>
    </row>
    <row r="561" customFormat="false" ht="13.8" hidden="false" customHeight="false" outlineLevel="0" collapsed="false">
      <c r="A561" s="0" t="s">
        <v>2345</v>
      </c>
      <c r="B561" s="0" t="s">
        <v>2393</v>
      </c>
      <c r="C561" s="0" t="s">
        <v>2183</v>
      </c>
      <c r="D561" s="0" t="s">
        <v>1263</v>
      </c>
      <c r="F561" s="0" t="s">
        <v>1116</v>
      </c>
      <c r="H561" s="392" t="s">
        <v>2375</v>
      </c>
    </row>
    <row r="562" customFormat="false" ht="35.05" hidden="false" customHeight="false" outlineLevel="0" collapsed="false">
      <c r="A562" s="0" t="s">
        <v>2345</v>
      </c>
      <c r="B562" s="0" t="s">
        <v>2203</v>
      </c>
      <c r="C562" s="0" t="s">
        <v>2183</v>
      </c>
      <c r="D562" s="0" t="s">
        <v>1263</v>
      </c>
      <c r="F562" s="0" t="s">
        <v>1117</v>
      </c>
      <c r="H562" s="392" t="s">
        <v>2371</v>
      </c>
    </row>
    <row r="563" customFormat="false" ht="13.8" hidden="false" customHeight="false" outlineLevel="0" collapsed="false">
      <c r="A563" s="0" t="s">
        <v>2345</v>
      </c>
      <c r="B563" s="0" t="s">
        <v>1413</v>
      </c>
      <c r="C563" s="0" t="s">
        <v>2183</v>
      </c>
      <c r="D563" s="0" t="s">
        <v>1263</v>
      </c>
      <c r="F563" s="0" t="s">
        <v>1118</v>
      </c>
      <c r="H563" s="392" t="s">
        <v>2372</v>
      </c>
    </row>
    <row r="564" customFormat="false" ht="13.8" hidden="false" customHeight="false" outlineLevel="0" collapsed="false">
      <c r="A564" s="0" t="s">
        <v>2345</v>
      </c>
      <c r="B564" s="0" t="s">
        <v>2394</v>
      </c>
      <c r="C564" s="0" t="s">
        <v>2183</v>
      </c>
      <c r="D564" s="0" t="s">
        <v>1263</v>
      </c>
      <c r="F564" s="0" t="s">
        <v>1119</v>
      </c>
      <c r="H564" s="392" t="s">
        <v>2353</v>
      </c>
    </row>
    <row r="565" customFormat="false" ht="13.8" hidden="false" customHeight="false" outlineLevel="0" collapsed="false">
      <c r="A565" s="0" t="s">
        <v>2345</v>
      </c>
      <c r="B565" s="0" t="s">
        <v>2395</v>
      </c>
      <c r="C565" s="0" t="s">
        <v>2183</v>
      </c>
      <c r="D565" s="0" t="s">
        <v>1263</v>
      </c>
      <c r="F565" s="0" t="s">
        <v>1120</v>
      </c>
      <c r="H565" s="392" t="s">
        <v>2375</v>
      </c>
    </row>
    <row r="566" customFormat="false" ht="35.05" hidden="false" customHeight="false" outlineLevel="0" collapsed="false">
      <c r="A566" s="0" t="s">
        <v>2345</v>
      </c>
      <c r="B566" s="0" t="s">
        <v>1341</v>
      </c>
      <c r="C566" s="0" t="s">
        <v>2183</v>
      </c>
      <c r="D566" s="0" t="s">
        <v>1263</v>
      </c>
      <c r="F566" s="0" t="s">
        <v>1121</v>
      </c>
      <c r="H566" s="392" t="s">
        <v>2371</v>
      </c>
    </row>
    <row r="567" customFormat="false" ht="13.8" hidden="false" customHeight="false" outlineLevel="0" collapsed="false">
      <c r="A567" s="0" t="s">
        <v>2345</v>
      </c>
      <c r="B567" s="0" t="s">
        <v>1417</v>
      </c>
      <c r="C567" s="0" t="s">
        <v>2183</v>
      </c>
      <c r="D567" s="0" t="s">
        <v>1263</v>
      </c>
      <c r="F567" s="0" t="s">
        <v>1122</v>
      </c>
      <c r="H567" s="392" t="s">
        <v>2372</v>
      </c>
    </row>
    <row r="568" customFormat="false" ht="13.8" hidden="false" customHeight="false" outlineLevel="0" collapsed="false">
      <c r="A568" s="0" t="s">
        <v>2345</v>
      </c>
      <c r="B568" s="0" t="s">
        <v>2204</v>
      </c>
      <c r="C568" s="0" t="s">
        <v>2183</v>
      </c>
      <c r="D568" s="0" t="s">
        <v>1263</v>
      </c>
      <c r="F568" s="0" t="s">
        <v>1123</v>
      </c>
      <c r="H568" s="392" t="s">
        <v>2353</v>
      </c>
    </row>
    <row r="569" customFormat="false" ht="13.8" hidden="false" customHeight="false" outlineLevel="0" collapsed="false">
      <c r="A569" s="0" t="s">
        <v>2345</v>
      </c>
      <c r="B569" s="0" t="s">
        <v>2205</v>
      </c>
      <c r="C569" s="0" t="s">
        <v>2183</v>
      </c>
      <c r="D569" s="0" t="s">
        <v>1263</v>
      </c>
      <c r="F569" s="0" t="s">
        <v>1124</v>
      </c>
      <c r="H569" s="392" t="s">
        <v>2375</v>
      </c>
    </row>
    <row r="570" customFormat="false" ht="35.05" hidden="false" customHeight="false" outlineLevel="0" collapsed="false">
      <c r="A570" s="0" t="s">
        <v>2345</v>
      </c>
      <c r="B570" s="0" t="s">
        <v>2210</v>
      </c>
      <c r="C570" s="0" t="s">
        <v>2183</v>
      </c>
      <c r="D570" s="0" t="s">
        <v>1263</v>
      </c>
      <c r="F570" s="0" t="s">
        <v>1125</v>
      </c>
      <c r="H570" s="392" t="s">
        <v>2371</v>
      </c>
    </row>
    <row r="571" customFormat="false" ht="13.8" hidden="false" customHeight="false" outlineLevel="0" collapsed="false">
      <c r="A571" s="0" t="s">
        <v>2345</v>
      </c>
      <c r="B571" s="0" t="s">
        <v>1653</v>
      </c>
      <c r="C571" s="0" t="s">
        <v>2183</v>
      </c>
      <c r="D571" s="0" t="s">
        <v>1263</v>
      </c>
      <c r="F571" s="0" t="s">
        <v>1126</v>
      </c>
      <c r="H571" s="392" t="s">
        <v>2372</v>
      </c>
    </row>
    <row r="572" customFormat="false" ht="13.8" hidden="false" customHeight="false" outlineLevel="0" collapsed="false">
      <c r="A572" s="0" t="s">
        <v>2345</v>
      </c>
      <c r="B572" s="0" t="s">
        <v>1669</v>
      </c>
      <c r="C572" s="0" t="s">
        <v>2183</v>
      </c>
      <c r="D572" s="0" t="s">
        <v>1263</v>
      </c>
      <c r="F572" s="0" t="s">
        <v>1127</v>
      </c>
      <c r="H572" s="392" t="s">
        <v>2353</v>
      </c>
    </row>
    <row r="573" customFormat="false" ht="13.8" hidden="false" customHeight="false" outlineLevel="0" collapsed="false">
      <c r="A573" s="0" t="s">
        <v>2345</v>
      </c>
      <c r="B573" s="0" t="s">
        <v>1681</v>
      </c>
      <c r="C573" s="0" t="s">
        <v>2183</v>
      </c>
      <c r="D573" s="0" t="s">
        <v>1263</v>
      </c>
      <c r="F573" s="0" t="s">
        <v>1128</v>
      </c>
      <c r="H573" s="392" t="s">
        <v>2375</v>
      </c>
    </row>
    <row r="574" customFormat="false" ht="35.05" hidden="false" customHeight="false" outlineLevel="0" collapsed="false">
      <c r="A574" s="0" t="s">
        <v>2345</v>
      </c>
      <c r="B574" s="0" t="s">
        <v>1346</v>
      </c>
      <c r="C574" s="0" t="s">
        <v>2183</v>
      </c>
      <c r="D574" s="0" t="s">
        <v>1263</v>
      </c>
      <c r="F574" s="0" t="s">
        <v>1129</v>
      </c>
      <c r="H574" s="392" t="s">
        <v>2371</v>
      </c>
    </row>
    <row r="575" customFormat="false" ht="13.8" hidden="false" customHeight="false" outlineLevel="0" collapsed="false">
      <c r="A575" s="0" t="s">
        <v>2345</v>
      </c>
      <c r="B575" s="0" t="s">
        <v>1348</v>
      </c>
      <c r="C575" s="0" t="s">
        <v>2183</v>
      </c>
      <c r="D575" s="0" t="s">
        <v>1263</v>
      </c>
      <c r="F575" s="0" t="s">
        <v>1130</v>
      </c>
      <c r="H575" s="392" t="s">
        <v>2372</v>
      </c>
    </row>
    <row r="576" customFormat="false" ht="13.8" hidden="false" customHeight="false" outlineLevel="0" collapsed="false">
      <c r="A576" s="0" t="s">
        <v>2345</v>
      </c>
      <c r="B576" s="0" t="s">
        <v>1352</v>
      </c>
      <c r="C576" s="0" t="s">
        <v>2183</v>
      </c>
      <c r="D576" s="0" t="s">
        <v>1263</v>
      </c>
      <c r="F576" s="0" t="s">
        <v>1131</v>
      </c>
      <c r="H576" s="392" t="s">
        <v>2353</v>
      </c>
    </row>
    <row r="577" customFormat="false" ht="13.8" hidden="false" customHeight="false" outlineLevel="0" collapsed="false">
      <c r="A577" s="0" t="s">
        <v>2345</v>
      </c>
      <c r="B577" s="0" t="s">
        <v>1354</v>
      </c>
      <c r="C577" s="0" t="s">
        <v>2183</v>
      </c>
      <c r="D577" s="0" t="s">
        <v>1263</v>
      </c>
      <c r="F577" s="0" t="s">
        <v>1132</v>
      </c>
      <c r="H577" s="392" t="s">
        <v>2375</v>
      </c>
    </row>
    <row r="578" customFormat="false" ht="35.05" hidden="false" customHeight="false" outlineLevel="0" collapsed="false">
      <c r="A578" s="0" t="s">
        <v>2345</v>
      </c>
      <c r="B578" s="0" t="s">
        <v>1356</v>
      </c>
      <c r="C578" s="0" t="s">
        <v>2183</v>
      </c>
      <c r="D578" s="0" t="s">
        <v>1263</v>
      </c>
      <c r="F578" s="0" t="s">
        <v>1133</v>
      </c>
      <c r="H578" s="392" t="s">
        <v>2371</v>
      </c>
    </row>
    <row r="579" customFormat="false" ht="13.8" hidden="false" customHeight="false" outlineLevel="0" collapsed="false">
      <c r="A579" s="0" t="s">
        <v>2345</v>
      </c>
      <c r="B579" s="0" t="s">
        <v>1358</v>
      </c>
      <c r="C579" s="0" t="s">
        <v>2183</v>
      </c>
      <c r="D579" s="0" t="s">
        <v>1263</v>
      </c>
      <c r="F579" s="0" t="s">
        <v>1134</v>
      </c>
      <c r="H579" s="392" t="s">
        <v>2372</v>
      </c>
    </row>
    <row r="580" customFormat="false" ht="13.8" hidden="false" customHeight="false" outlineLevel="0" collapsed="false">
      <c r="A580" s="0" t="s">
        <v>2345</v>
      </c>
      <c r="B580" s="0" t="s">
        <v>1361</v>
      </c>
      <c r="C580" s="0" t="s">
        <v>2183</v>
      </c>
      <c r="D580" s="0" t="s">
        <v>1263</v>
      </c>
      <c r="F580" s="0" t="s">
        <v>1135</v>
      </c>
      <c r="H580" s="392" t="s">
        <v>2353</v>
      </c>
    </row>
    <row r="581" customFormat="false" ht="13.8" hidden="false" customHeight="false" outlineLevel="0" collapsed="false">
      <c r="A581" s="0" t="s">
        <v>2345</v>
      </c>
      <c r="B581" s="0" t="s">
        <v>1362</v>
      </c>
      <c r="C581" s="0" t="s">
        <v>2183</v>
      </c>
      <c r="D581" s="0" t="s">
        <v>1263</v>
      </c>
      <c r="F581" s="0" t="s">
        <v>1136</v>
      </c>
      <c r="H581" s="392" t="s">
        <v>2375</v>
      </c>
    </row>
    <row r="582" customFormat="false" ht="35.05" hidden="false" customHeight="false" outlineLevel="0" collapsed="false">
      <c r="A582" s="0" t="s">
        <v>2345</v>
      </c>
      <c r="B582" s="0" t="s">
        <v>2251</v>
      </c>
      <c r="C582" s="0" t="s">
        <v>2183</v>
      </c>
      <c r="D582" s="0" t="s">
        <v>1263</v>
      </c>
      <c r="F582" s="0" t="s">
        <v>1137</v>
      </c>
      <c r="H582" s="392" t="s">
        <v>2371</v>
      </c>
    </row>
    <row r="583" customFormat="false" ht="13.8" hidden="false" customHeight="false" outlineLevel="0" collapsed="false">
      <c r="A583" s="0" t="s">
        <v>2345</v>
      </c>
      <c r="B583" s="0" t="s">
        <v>2252</v>
      </c>
      <c r="C583" s="0" t="s">
        <v>2183</v>
      </c>
      <c r="D583" s="0" t="s">
        <v>1263</v>
      </c>
      <c r="F583" s="0" t="s">
        <v>1138</v>
      </c>
      <c r="H583" s="392" t="s">
        <v>2372</v>
      </c>
    </row>
    <row r="584" customFormat="false" ht="13.8" hidden="false" customHeight="false" outlineLevel="0" collapsed="false">
      <c r="A584" s="0" t="s">
        <v>2345</v>
      </c>
      <c r="B584" s="0" t="s">
        <v>2254</v>
      </c>
      <c r="C584" s="0" t="s">
        <v>2183</v>
      </c>
      <c r="D584" s="0" t="s">
        <v>1263</v>
      </c>
      <c r="F584" s="0" t="s">
        <v>1139</v>
      </c>
      <c r="H584" s="392" t="s">
        <v>2353</v>
      </c>
    </row>
    <row r="585" customFormat="false" ht="13.8" hidden="false" customHeight="false" outlineLevel="0" collapsed="false">
      <c r="A585" s="0" t="s">
        <v>2345</v>
      </c>
      <c r="B585" s="0" t="s">
        <v>2256</v>
      </c>
      <c r="C585" s="0" t="s">
        <v>2183</v>
      </c>
      <c r="D585" s="0" t="s">
        <v>1263</v>
      </c>
      <c r="F585" s="0" t="s">
        <v>1140</v>
      </c>
      <c r="H585" s="392" t="s">
        <v>2375</v>
      </c>
    </row>
    <row r="586" customFormat="false" ht="35.05" hidden="false" customHeight="false" outlineLevel="0" collapsed="false">
      <c r="A586" s="0" t="s">
        <v>2345</v>
      </c>
      <c r="B586" s="0" t="s">
        <v>1615</v>
      </c>
      <c r="C586" s="0" t="s">
        <v>2183</v>
      </c>
      <c r="D586" s="0" t="s">
        <v>1263</v>
      </c>
      <c r="F586" s="0" t="s">
        <v>1141</v>
      </c>
      <c r="H586" s="392" t="s">
        <v>2371</v>
      </c>
    </row>
    <row r="587" customFormat="false" ht="13.8" hidden="false" customHeight="false" outlineLevel="0" collapsed="false">
      <c r="A587" s="0" t="s">
        <v>2345</v>
      </c>
      <c r="B587" s="0" t="s">
        <v>2396</v>
      </c>
      <c r="C587" s="0" t="s">
        <v>2183</v>
      </c>
      <c r="D587" s="0" t="s">
        <v>1263</v>
      </c>
      <c r="F587" s="0" t="s">
        <v>1142</v>
      </c>
      <c r="H587" s="392" t="s">
        <v>2372</v>
      </c>
    </row>
    <row r="588" customFormat="false" ht="13.8" hidden="false" customHeight="false" outlineLevel="0" collapsed="false">
      <c r="A588" s="0" t="s">
        <v>2345</v>
      </c>
      <c r="B588" s="0" t="s">
        <v>2397</v>
      </c>
      <c r="C588" s="0" t="s">
        <v>2183</v>
      </c>
      <c r="D588" s="0" t="s">
        <v>1263</v>
      </c>
      <c r="F588" s="0" t="s">
        <v>1143</v>
      </c>
      <c r="H588" s="392" t="s">
        <v>2353</v>
      </c>
    </row>
    <row r="589" customFormat="false" ht="13.8" hidden="false" customHeight="false" outlineLevel="0" collapsed="false">
      <c r="A589" s="0" t="s">
        <v>2345</v>
      </c>
      <c r="B589" s="0" t="s">
        <v>2398</v>
      </c>
      <c r="C589" s="0" t="s">
        <v>2183</v>
      </c>
      <c r="D589" s="0" t="s">
        <v>1263</v>
      </c>
      <c r="F589" s="0" t="s">
        <v>1144</v>
      </c>
      <c r="H589" s="392" t="s">
        <v>2375</v>
      </c>
    </row>
    <row r="590" customFormat="false" ht="35.05" hidden="false" customHeight="false" outlineLevel="0" collapsed="false">
      <c r="A590" s="0" t="s">
        <v>2345</v>
      </c>
      <c r="B590" s="0" t="s">
        <v>1616</v>
      </c>
      <c r="C590" s="0" t="s">
        <v>2183</v>
      </c>
      <c r="D590" s="0" t="s">
        <v>1263</v>
      </c>
      <c r="F590" s="0" t="s">
        <v>1145</v>
      </c>
      <c r="H590" s="392" t="s">
        <v>2371</v>
      </c>
    </row>
    <row r="591" customFormat="false" ht="13.8" hidden="false" customHeight="false" outlineLevel="0" collapsed="false">
      <c r="A591" s="0" t="s">
        <v>2345</v>
      </c>
      <c r="B591" s="0" t="s">
        <v>1617</v>
      </c>
      <c r="C591" s="0" t="s">
        <v>2183</v>
      </c>
      <c r="D591" s="0" t="s">
        <v>1263</v>
      </c>
      <c r="F591" s="0" t="s">
        <v>1146</v>
      </c>
      <c r="H591" s="392" t="s">
        <v>2372</v>
      </c>
    </row>
    <row r="592" customFormat="false" ht="13.8" hidden="false" customHeight="false" outlineLevel="0" collapsed="false">
      <c r="A592" s="0" t="s">
        <v>2345</v>
      </c>
      <c r="B592" s="0" t="s">
        <v>1620</v>
      </c>
      <c r="C592" s="0" t="s">
        <v>2183</v>
      </c>
      <c r="D592" s="0" t="s">
        <v>1263</v>
      </c>
      <c r="F592" s="0" t="s">
        <v>1147</v>
      </c>
      <c r="H592" s="392" t="s">
        <v>2353</v>
      </c>
    </row>
    <row r="593" customFormat="false" ht="13.8" hidden="false" customHeight="false" outlineLevel="0" collapsed="false">
      <c r="A593" s="0" t="s">
        <v>2345</v>
      </c>
      <c r="B593" s="0" t="s">
        <v>1621</v>
      </c>
      <c r="C593" s="0" t="s">
        <v>2183</v>
      </c>
      <c r="D593" s="0" t="s">
        <v>1263</v>
      </c>
      <c r="F593" s="0" t="s">
        <v>1148</v>
      </c>
      <c r="H593" s="392" t="s">
        <v>2375</v>
      </c>
    </row>
    <row r="594" customFormat="false" ht="35.05" hidden="false" customHeight="false" outlineLevel="0" collapsed="false">
      <c r="A594" s="0" t="s">
        <v>2345</v>
      </c>
      <c r="B594" s="0" t="s">
        <v>1600</v>
      </c>
      <c r="C594" s="0" t="s">
        <v>2183</v>
      </c>
      <c r="D594" s="0" t="s">
        <v>1263</v>
      </c>
      <c r="F594" s="0" t="s">
        <v>1149</v>
      </c>
      <c r="H594" s="392" t="s">
        <v>2371</v>
      </c>
    </row>
    <row r="595" customFormat="false" ht="13.8" hidden="false" customHeight="false" outlineLevel="0" collapsed="false">
      <c r="A595" s="0" t="s">
        <v>2345</v>
      </c>
      <c r="B595" s="0" t="s">
        <v>1601</v>
      </c>
      <c r="C595" s="0" t="s">
        <v>2183</v>
      </c>
      <c r="D595" s="0" t="s">
        <v>1263</v>
      </c>
      <c r="F595" s="0" t="s">
        <v>1150</v>
      </c>
      <c r="H595" s="392" t="s">
        <v>2372</v>
      </c>
    </row>
    <row r="596" customFormat="false" ht="13.8" hidden="false" customHeight="false" outlineLevel="0" collapsed="false">
      <c r="A596" s="0" t="s">
        <v>2345</v>
      </c>
      <c r="B596" s="0" t="s">
        <v>1604</v>
      </c>
      <c r="C596" s="0" t="s">
        <v>2183</v>
      </c>
      <c r="D596" s="0" t="s">
        <v>1263</v>
      </c>
      <c r="F596" s="0" t="s">
        <v>1151</v>
      </c>
      <c r="H596" s="392" t="s">
        <v>2353</v>
      </c>
    </row>
    <row r="597" customFormat="false" ht="13.8" hidden="false" customHeight="false" outlineLevel="0" collapsed="false">
      <c r="A597" s="0" t="s">
        <v>2345</v>
      </c>
      <c r="B597" s="0" t="s">
        <v>1605</v>
      </c>
      <c r="C597" s="0" t="s">
        <v>2183</v>
      </c>
      <c r="D597" s="0" t="s">
        <v>1263</v>
      </c>
      <c r="F597" s="0" t="s">
        <v>1152</v>
      </c>
      <c r="H597" s="392" t="s">
        <v>2375</v>
      </c>
    </row>
    <row r="598" customFormat="false" ht="35.05" hidden="false" customHeight="false" outlineLevel="0" collapsed="false">
      <c r="A598" s="0" t="s">
        <v>2345</v>
      </c>
      <c r="B598" s="0" t="s">
        <v>1434</v>
      </c>
      <c r="C598" s="0" t="s">
        <v>2183</v>
      </c>
      <c r="D598" s="0" t="s">
        <v>1263</v>
      </c>
      <c r="F598" s="0" t="s">
        <v>1153</v>
      </c>
      <c r="H598" s="392" t="s">
        <v>2371</v>
      </c>
    </row>
    <row r="599" customFormat="false" ht="13.8" hidden="false" customHeight="false" outlineLevel="0" collapsed="false">
      <c r="A599" s="0" t="s">
        <v>2345</v>
      </c>
      <c r="B599" s="0" t="s">
        <v>1436</v>
      </c>
      <c r="C599" s="0" t="s">
        <v>2183</v>
      </c>
      <c r="D599" s="0" t="s">
        <v>1263</v>
      </c>
      <c r="F599" s="0" t="s">
        <v>1154</v>
      </c>
      <c r="H599" s="392" t="s">
        <v>2372</v>
      </c>
    </row>
    <row r="600" customFormat="false" ht="13.8" hidden="false" customHeight="false" outlineLevel="0" collapsed="false">
      <c r="A600" s="0" t="s">
        <v>2345</v>
      </c>
      <c r="B600" s="0" t="s">
        <v>1608</v>
      </c>
      <c r="C600" s="0" t="s">
        <v>2183</v>
      </c>
      <c r="D600" s="0" t="s">
        <v>1263</v>
      </c>
      <c r="F600" s="0" t="s">
        <v>1155</v>
      </c>
      <c r="H600" s="392" t="s">
        <v>2353</v>
      </c>
    </row>
    <row r="601" customFormat="false" ht="13.8" hidden="false" customHeight="false" outlineLevel="0" collapsed="false">
      <c r="A601" s="0" t="s">
        <v>2345</v>
      </c>
      <c r="B601" s="0" t="s">
        <v>1609</v>
      </c>
      <c r="C601" s="0" t="s">
        <v>2183</v>
      </c>
      <c r="D601" s="0" t="s">
        <v>1263</v>
      </c>
      <c r="F601" s="0" t="s">
        <v>1156</v>
      </c>
      <c r="H601" s="392" t="s">
        <v>2375</v>
      </c>
    </row>
    <row r="602" customFormat="false" ht="35.05" hidden="false" customHeight="false" outlineLevel="0" collapsed="false">
      <c r="A602" s="0" t="s">
        <v>2345</v>
      </c>
      <c r="B602" s="0" t="s">
        <v>1443</v>
      </c>
      <c r="C602" s="0" t="s">
        <v>2183</v>
      </c>
      <c r="D602" s="0" t="s">
        <v>1263</v>
      </c>
      <c r="F602" s="0" t="s">
        <v>1157</v>
      </c>
      <c r="H602" s="392" t="s">
        <v>2371</v>
      </c>
    </row>
    <row r="603" customFormat="false" ht="13.8" hidden="false" customHeight="false" outlineLevel="0" collapsed="false">
      <c r="A603" s="0" t="s">
        <v>2345</v>
      </c>
      <c r="B603" s="0" t="s">
        <v>1446</v>
      </c>
      <c r="C603" s="0" t="s">
        <v>2183</v>
      </c>
      <c r="D603" s="0" t="s">
        <v>1263</v>
      </c>
      <c r="F603" s="0" t="s">
        <v>1158</v>
      </c>
      <c r="H603" s="392" t="s">
        <v>2372</v>
      </c>
    </row>
    <row r="604" customFormat="false" ht="13.8" hidden="false" customHeight="false" outlineLevel="0" collapsed="false">
      <c r="A604" s="0" t="s">
        <v>2345</v>
      </c>
      <c r="B604" s="0" t="s">
        <v>1449</v>
      </c>
      <c r="C604" s="0" t="s">
        <v>2183</v>
      </c>
      <c r="D604" s="0" t="s">
        <v>1263</v>
      </c>
      <c r="F604" s="0" t="s">
        <v>1159</v>
      </c>
      <c r="H604" s="392" t="s">
        <v>2353</v>
      </c>
    </row>
    <row r="605" customFormat="false" ht="13.8" hidden="false" customHeight="false" outlineLevel="0" collapsed="false">
      <c r="A605" s="0" t="s">
        <v>2345</v>
      </c>
      <c r="B605" s="0" t="s">
        <v>1631</v>
      </c>
      <c r="C605" s="0" t="s">
        <v>2183</v>
      </c>
      <c r="D605" s="0" t="s">
        <v>1263</v>
      </c>
      <c r="F605" s="0" t="s">
        <v>1160</v>
      </c>
      <c r="H605" s="392" t="s">
        <v>2375</v>
      </c>
    </row>
    <row r="606" customFormat="false" ht="35.05" hidden="false" customHeight="false" outlineLevel="0" collapsed="false">
      <c r="A606" s="0" t="s">
        <v>2345</v>
      </c>
      <c r="B606" s="0" t="s">
        <v>1451</v>
      </c>
      <c r="C606" s="0" t="s">
        <v>2183</v>
      </c>
      <c r="D606" s="0" t="s">
        <v>1263</v>
      </c>
      <c r="F606" s="0" t="s">
        <v>1161</v>
      </c>
      <c r="H606" s="392" t="s">
        <v>2371</v>
      </c>
    </row>
    <row r="607" customFormat="false" ht="13.8" hidden="false" customHeight="false" outlineLevel="0" collapsed="false">
      <c r="A607" s="0" t="s">
        <v>2345</v>
      </c>
      <c r="B607" s="0" t="s">
        <v>1454</v>
      </c>
      <c r="C607" s="0" t="s">
        <v>2183</v>
      </c>
      <c r="D607" s="0" t="s">
        <v>1263</v>
      </c>
      <c r="F607" s="0" t="s">
        <v>1162</v>
      </c>
      <c r="H607" s="392" t="s">
        <v>2372</v>
      </c>
    </row>
    <row r="608" customFormat="false" ht="13.8" hidden="false" customHeight="false" outlineLevel="0" collapsed="false">
      <c r="A608" s="0" t="s">
        <v>2345</v>
      </c>
      <c r="B608" s="0" t="s">
        <v>1458</v>
      </c>
      <c r="C608" s="0" t="s">
        <v>2183</v>
      </c>
      <c r="D608" s="0" t="s">
        <v>1263</v>
      </c>
      <c r="F608" s="0" t="s">
        <v>1163</v>
      </c>
      <c r="H608" s="392" t="s">
        <v>2353</v>
      </c>
    </row>
    <row r="609" customFormat="false" ht="13.8" hidden="false" customHeight="false" outlineLevel="0" collapsed="false">
      <c r="A609" s="0" t="s">
        <v>2345</v>
      </c>
      <c r="B609" s="0" t="s">
        <v>2399</v>
      </c>
      <c r="C609" s="0" t="s">
        <v>2183</v>
      </c>
      <c r="D609" s="0" t="s">
        <v>1263</v>
      </c>
      <c r="F609" s="0" t="s">
        <v>1164</v>
      </c>
      <c r="H609" s="392" t="s">
        <v>2375</v>
      </c>
    </row>
    <row r="610" customFormat="false" ht="35.05" hidden="false" customHeight="false" outlineLevel="0" collapsed="false">
      <c r="A610" s="0" t="s">
        <v>2345</v>
      </c>
      <c r="B610" s="0" t="s">
        <v>1460</v>
      </c>
      <c r="C610" s="0" t="s">
        <v>2183</v>
      </c>
      <c r="D610" s="0" t="s">
        <v>1263</v>
      </c>
      <c r="F610" s="0" t="s">
        <v>1165</v>
      </c>
      <c r="H610" s="392" t="s">
        <v>2371</v>
      </c>
    </row>
    <row r="611" customFormat="false" ht="13.8" hidden="false" customHeight="false" outlineLevel="0" collapsed="false">
      <c r="A611" s="0" t="s">
        <v>2345</v>
      </c>
      <c r="B611" s="0" t="s">
        <v>1462</v>
      </c>
      <c r="C611" s="0" t="s">
        <v>2183</v>
      </c>
      <c r="D611" s="0" t="s">
        <v>1263</v>
      </c>
      <c r="F611" s="0" t="s">
        <v>1166</v>
      </c>
      <c r="H611" s="392" t="s">
        <v>2372</v>
      </c>
    </row>
    <row r="612" customFormat="false" ht="13.8" hidden="false" customHeight="false" outlineLevel="0" collapsed="false">
      <c r="A612" s="0" t="s">
        <v>2345</v>
      </c>
      <c r="B612" s="0" t="s">
        <v>1466</v>
      </c>
      <c r="C612" s="0" t="s">
        <v>2183</v>
      </c>
      <c r="D612" s="0" t="s">
        <v>1263</v>
      </c>
      <c r="F612" s="0" t="s">
        <v>1167</v>
      </c>
      <c r="H612" s="392" t="s">
        <v>2353</v>
      </c>
    </row>
    <row r="613" customFormat="false" ht="13.8" hidden="false" customHeight="false" outlineLevel="0" collapsed="false">
      <c r="A613" s="0" t="s">
        <v>2345</v>
      </c>
      <c r="B613" s="0" t="s">
        <v>2400</v>
      </c>
      <c r="C613" s="0" t="s">
        <v>2183</v>
      </c>
      <c r="D613" s="0" t="s">
        <v>1263</v>
      </c>
      <c r="F613" s="0" t="s">
        <v>1168</v>
      </c>
      <c r="H613" s="392" t="s">
        <v>2375</v>
      </c>
    </row>
    <row r="614" customFormat="false" ht="35.05" hidden="false" customHeight="false" outlineLevel="0" collapsed="false">
      <c r="A614" s="0" t="s">
        <v>2345</v>
      </c>
      <c r="B614" s="0" t="s">
        <v>1468</v>
      </c>
      <c r="C614" s="0" t="s">
        <v>2183</v>
      </c>
      <c r="D614" s="0" t="s">
        <v>1263</v>
      </c>
      <c r="F614" s="0" t="s">
        <v>1169</v>
      </c>
      <c r="H614" s="392" t="s">
        <v>2371</v>
      </c>
    </row>
    <row r="615" customFormat="false" ht="13.8" hidden="false" customHeight="false" outlineLevel="0" collapsed="false">
      <c r="A615" s="0" t="s">
        <v>2345</v>
      </c>
      <c r="B615" s="0" t="s">
        <v>1469</v>
      </c>
      <c r="C615" s="0" t="s">
        <v>2183</v>
      </c>
      <c r="D615" s="0" t="s">
        <v>1263</v>
      </c>
      <c r="F615" s="0" t="s">
        <v>1170</v>
      </c>
      <c r="H615" s="392" t="s">
        <v>2372</v>
      </c>
    </row>
    <row r="616" customFormat="false" ht="13.8" hidden="false" customHeight="false" outlineLevel="0" collapsed="false">
      <c r="A616" s="0" t="s">
        <v>2345</v>
      </c>
      <c r="B616" s="0" t="s">
        <v>1472</v>
      </c>
      <c r="C616" s="0" t="s">
        <v>2183</v>
      </c>
      <c r="D616" s="0" t="s">
        <v>1263</v>
      </c>
      <c r="F616" s="0" t="s">
        <v>1171</v>
      </c>
      <c r="H616" s="392" t="s">
        <v>2353</v>
      </c>
    </row>
    <row r="617" customFormat="false" ht="13.8" hidden="false" customHeight="false" outlineLevel="0" collapsed="false">
      <c r="A617" s="0" t="s">
        <v>2345</v>
      </c>
      <c r="B617" s="0" t="s">
        <v>2401</v>
      </c>
      <c r="C617" s="0" t="s">
        <v>2183</v>
      </c>
      <c r="D617" s="0" t="s">
        <v>1263</v>
      </c>
      <c r="F617" s="0" t="s">
        <v>1172</v>
      </c>
      <c r="H617" s="392" t="s">
        <v>2375</v>
      </c>
    </row>
    <row r="618" customFormat="false" ht="35.05" hidden="false" customHeight="false" outlineLevel="0" collapsed="false">
      <c r="A618" s="0" t="s">
        <v>2345</v>
      </c>
      <c r="B618" s="0" t="s">
        <v>1474</v>
      </c>
      <c r="C618" s="0" t="s">
        <v>2183</v>
      </c>
      <c r="D618" s="0" t="s">
        <v>1263</v>
      </c>
      <c r="F618" s="0" t="s">
        <v>1173</v>
      </c>
      <c r="H618" s="392" t="s">
        <v>2371</v>
      </c>
    </row>
    <row r="619" customFormat="false" ht="13.8" hidden="false" customHeight="false" outlineLevel="0" collapsed="false">
      <c r="A619" s="0" t="s">
        <v>2345</v>
      </c>
      <c r="B619" s="0" t="s">
        <v>1477</v>
      </c>
      <c r="C619" s="0" t="s">
        <v>2183</v>
      </c>
      <c r="D619" s="0" t="s">
        <v>1263</v>
      </c>
      <c r="F619" s="0" t="s">
        <v>1174</v>
      </c>
      <c r="H619" s="392" t="s">
        <v>2372</v>
      </c>
    </row>
    <row r="620" customFormat="false" ht="13.8" hidden="false" customHeight="false" outlineLevel="0" collapsed="false">
      <c r="A620" s="0" t="s">
        <v>2345</v>
      </c>
      <c r="B620" s="0" t="s">
        <v>1481</v>
      </c>
      <c r="C620" s="0" t="s">
        <v>2183</v>
      </c>
      <c r="D620" s="0" t="s">
        <v>1263</v>
      </c>
      <c r="F620" s="0" t="s">
        <v>1175</v>
      </c>
      <c r="H620" s="392" t="s">
        <v>2353</v>
      </c>
    </row>
    <row r="621" customFormat="false" ht="13.8" hidden="false" customHeight="false" outlineLevel="0" collapsed="false">
      <c r="A621" s="0" t="s">
        <v>2345</v>
      </c>
      <c r="B621" s="0" t="s">
        <v>2402</v>
      </c>
      <c r="C621" s="0" t="s">
        <v>2183</v>
      </c>
      <c r="D621" s="0" t="s">
        <v>1263</v>
      </c>
      <c r="F621" s="0" t="s">
        <v>1176</v>
      </c>
      <c r="H621" s="392" t="s">
        <v>2375</v>
      </c>
    </row>
    <row r="622" customFormat="false" ht="102.2" hidden="false" customHeight="false" outlineLevel="0" collapsed="false">
      <c r="A622" s="0" t="s">
        <v>1585</v>
      </c>
      <c r="B622" s="0" t="s">
        <v>2403</v>
      </c>
      <c r="C622" s="0" t="s">
        <v>1637</v>
      </c>
      <c r="D622" s="0" t="s">
        <v>2404</v>
      </c>
      <c r="F622" s="0" t="s">
        <v>2405</v>
      </c>
      <c r="H622" s="392" t="s">
        <v>2406</v>
      </c>
    </row>
    <row r="625" customFormat="false" ht="13.8" hidden="false" customHeight="false" outlineLevel="0" collapsed="false">
      <c r="A625" s="391" t="s">
        <v>2407</v>
      </c>
    </row>
    <row r="626" customFormat="false" ht="13.8" hidden="false" customHeight="false" outlineLevel="0" collapsed="false">
      <c r="A626" s="391" t="s">
        <v>1179</v>
      </c>
      <c r="B626" s="391" t="s">
        <v>1180</v>
      </c>
      <c r="C626" s="391" t="s">
        <v>236</v>
      </c>
      <c r="D626" s="391" t="s">
        <v>2408</v>
      </c>
      <c r="E626" s="391" t="s">
        <v>2409</v>
      </c>
      <c r="F626" s="391" t="s">
        <v>2410</v>
      </c>
    </row>
    <row r="627" customFormat="false" ht="13.8" hidden="false" customHeight="false" outlineLevel="0" collapsed="false">
      <c r="A627" s="0" t="s">
        <v>1585</v>
      </c>
      <c r="B627" s="0" t="s">
        <v>2411</v>
      </c>
      <c r="C627" s="0" t="s">
        <v>2412</v>
      </c>
      <c r="D627" s="0" t="n">
        <v>54047.9786281275</v>
      </c>
      <c r="E627" s="104" t="n">
        <f aca="false">'3a. Outputs - Dedicated Vessel'!G5</f>
        <v>54047.9786281274</v>
      </c>
      <c r="F627" s="394" t="n">
        <f aca="false">E627/D627</f>
        <v>1</v>
      </c>
    </row>
    <row r="628" customFormat="false" ht="12.8" hidden="false" customHeight="false" outlineLevel="0" collapsed="false">
      <c r="A628" s="0" t="s">
        <v>1585</v>
      </c>
      <c r="B628" s="0" t="s">
        <v>1596</v>
      </c>
      <c r="C628" s="0" t="s">
        <v>2413</v>
      </c>
      <c r="D628" s="0" t="s">
        <v>2414</v>
      </c>
      <c r="E628" s="104" t="n">
        <f aca="false">'3a. Outputs - Dedicated Vessel'!C14</f>
        <v>60954.0373576814</v>
      </c>
    </row>
    <row r="629" customFormat="false" ht="13.8" hidden="false" customHeight="false" outlineLevel="0" collapsed="false">
      <c r="A629" s="0" t="s">
        <v>1599</v>
      </c>
      <c r="B629" s="0" t="s">
        <v>1663</v>
      </c>
      <c r="C629" s="0" t="s">
        <v>2415</v>
      </c>
      <c r="D629" s="0" t="n">
        <v>21674.0050777153</v>
      </c>
      <c r="E629" s="104" t="n">
        <f aca="false">'3b. Outputs - Ship Piggyback'!C32</f>
        <v>21674.0050777153</v>
      </c>
      <c r="F629" s="394" t="n">
        <f aca="false">E629/D629</f>
        <v>0.999999999999999</v>
      </c>
    </row>
    <row r="630" customFormat="false" ht="12.8" hidden="false" customHeight="false" outlineLevel="0" collapsed="false">
      <c r="A630" s="0" t="s">
        <v>1599</v>
      </c>
      <c r="B630" s="0" t="s">
        <v>1436</v>
      </c>
      <c r="C630" s="0" t="s">
        <v>2416</v>
      </c>
      <c r="D630" s="0" t="s">
        <v>2414</v>
      </c>
      <c r="E630" s="104" t="n">
        <f aca="false">'3b. Outputs - Ship Piggyback'!B45</f>
        <v>25369.5966868273</v>
      </c>
    </row>
    <row r="631" customFormat="false" ht="13.8" hidden="false" customHeight="false" outlineLevel="0" collapsed="false">
      <c r="A631" s="0" t="s">
        <v>1610</v>
      </c>
      <c r="B631" s="0" t="s">
        <v>1666</v>
      </c>
      <c r="C631" s="0" t="s">
        <v>2417</v>
      </c>
      <c r="D631" s="0" t="n">
        <v>14633.4002228354</v>
      </c>
      <c r="E631" s="104" t="n">
        <f aca="false">'3c. Outputs - Fixed Platform'!C33</f>
        <v>17656.2690156792</v>
      </c>
      <c r="F631" s="394" t="n">
        <f aca="false">E631/D631</f>
        <v>1.2065732329337</v>
      </c>
    </row>
    <row r="632" customFormat="false" ht="13.8" hidden="false" customHeight="false" outlineLevel="0" collapsed="false">
      <c r="A632" s="0" t="s">
        <v>2418</v>
      </c>
      <c r="B632" s="0" t="s">
        <v>2377</v>
      </c>
      <c r="C632" s="0" t="s">
        <v>2419</v>
      </c>
      <c r="D632" s="0" t="n">
        <v>49341.3732580002</v>
      </c>
      <c r="E632" s="104" t="n">
        <f aca="false">'3d. Outputs - Stationary Vessel'!C26</f>
        <v>49341.3732580002</v>
      </c>
      <c r="F632" s="394" t="n">
        <f aca="false">E632/D632</f>
        <v>1</v>
      </c>
    </row>
    <row r="633" customFormat="false" ht="13.8" hidden="false" customHeight="false" outlineLevel="0" collapsed="false">
      <c r="A633" s="0" t="s">
        <v>1585</v>
      </c>
      <c r="B633" s="0" t="s">
        <v>2254</v>
      </c>
      <c r="C633" s="0" t="s">
        <v>2420</v>
      </c>
      <c r="D633" s="0" t="n">
        <v>57055.6671579896</v>
      </c>
      <c r="E633" s="104" t="n">
        <f aca="false">'3a. Outputs - Dedicated Vessel'!C41</f>
        <v>54047.9786281274</v>
      </c>
      <c r="F633" s="394" t="n">
        <f aca="false">E633/D633</f>
        <v>0.947285016902287</v>
      </c>
    </row>
    <row r="634" customFormat="false" ht="13.8" hidden="false" customHeight="false" outlineLevel="0" collapsed="false">
      <c r="A634" s="0" t="s">
        <v>1585</v>
      </c>
      <c r="B634" s="0" t="s">
        <v>1715</v>
      </c>
      <c r="C634" s="0" t="s">
        <v>2421</v>
      </c>
      <c r="D634" s="0" t="n">
        <v>53237.9974427687</v>
      </c>
      <c r="E634" s="104" t="n">
        <f aca="false">'3a. Outputs - Dedicated Vessel'!AJ50</f>
        <v>54047.9786281274</v>
      </c>
      <c r="F634" s="394" t="n">
        <f aca="false">E634/D634</f>
        <v>1.01521434359415</v>
      </c>
    </row>
    <row r="635" customFormat="false" ht="13.8" hidden="false" customHeight="false" outlineLevel="0" collapsed="false">
      <c r="A635" s="0" t="s">
        <v>1585</v>
      </c>
      <c r="B635" s="0" t="s">
        <v>1738</v>
      </c>
      <c r="C635" s="0" t="s">
        <v>2422</v>
      </c>
      <c r="D635" s="0" t="n">
        <v>60653.222689805</v>
      </c>
      <c r="E635" s="104" t="n">
        <f aca="false">'3a. Outputs - Dedicated Vessel'!AJ51</f>
        <v>80691.0747020779</v>
      </c>
      <c r="F635" s="394" t="n">
        <f aca="false">E635/D635</f>
        <v>1.33036747469712</v>
      </c>
    </row>
    <row r="636" customFormat="false" ht="13.8" hidden="false" customHeight="false" outlineLevel="0" collapsed="false">
      <c r="A636" s="0" t="s">
        <v>1585</v>
      </c>
      <c r="B636" s="0" t="s">
        <v>1759</v>
      </c>
      <c r="C636" s="0" t="s">
        <v>2423</v>
      </c>
      <c r="D636" s="0" t="n">
        <v>39890.5919981031</v>
      </c>
      <c r="E636" s="104" t="n">
        <f aca="false">'3a. Outputs - Dedicated Vessel'!AJ52</f>
        <v>6090.40569501662</v>
      </c>
      <c r="F636" s="394" t="n">
        <f aca="false">E636/D636</f>
        <v>0.152677746555033</v>
      </c>
    </row>
    <row r="637" customFormat="false" ht="13.8" hidden="false" customHeight="false" outlineLevel="0" collapsed="false">
      <c r="A637" s="0" t="s">
        <v>1187</v>
      </c>
      <c r="B637" s="0" t="s">
        <v>1409</v>
      </c>
      <c r="C637" s="0" t="s">
        <v>2424</v>
      </c>
      <c r="D637" s="0" t="n">
        <v>3.44878466276314</v>
      </c>
      <c r="E637" s="209" t="n">
        <f aca="false">'5a. Cooling Model - Local'!B34</f>
        <v>1.72439233138157</v>
      </c>
      <c r="F637" s="394" t="n">
        <f aca="false">E637/D637</f>
        <v>0.5</v>
      </c>
    </row>
    <row r="638" customFormat="false" ht="13.8" hidden="false" customHeight="false" outlineLevel="0" collapsed="false">
      <c r="A638" s="0" t="s">
        <v>1264</v>
      </c>
      <c r="B638" s="0" t="s">
        <v>1593</v>
      </c>
      <c r="C638" s="0" t="s">
        <v>2425</v>
      </c>
      <c r="D638" s="0" t="n">
        <v>6.33680555555555</v>
      </c>
      <c r="E638" s="103" t="n">
        <f aca="false">'5c. Benefit - Local - Reef'!B14</f>
        <v>2.43664717348928</v>
      </c>
      <c r="F638" s="394" t="n">
        <f aca="false">E638/D638</f>
        <v>0.384522951213651</v>
      </c>
    </row>
    <row r="639" customFormat="false" ht="13.8" hidden="false" customHeight="false" outlineLevel="0" collapsed="false">
      <c r="A639" s="0" t="s">
        <v>1264</v>
      </c>
      <c r="B639" s="0" t="s">
        <v>1206</v>
      </c>
      <c r="C639" s="0" t="s">
        <v>2426</v>
      </c>
      <c r="D639" s="0" t="n">
        <v>52188203.3106153</v>
      </c>
      <c r="E639" s="104" t="n">
        <f aca="false">'5c. Benefit - Local - Reef'!B20</f>
        <v>25878491.0765694</v>
      </c>
      <c r="F639" s="394" t="n">
        <f aca="false">E639/D639</f>
        <v>0.495868595485938</v>
      </c>
    </row>
    <row r="640" customFormat="false" ht="13.8" hidden="false" customHeight="false" outlineLevel="0" collapsed="false">
      <c r="A640" s="0" t="s">
        <v>1264</v>
      </c>
      <c r="B640" s="0" t="s">
        <v>2178</v>
      </c>
      <c r="C640" s="0" t="s">
        <v>2427</v>
      </c>
      <c r="D640" s="0" t="n">
        <v>5.26635019791513</v>
      </c>
      <c r="E640" s="401" t="n">
        <f aca="false">'5c. Benefit - Local - Reef'!B30</f>
        <v>21.2409103776949</v>
      </c>
      <c r="F640" s="394" t="n">
        <f aca="false">E640/D640</f>
        <v>4.03332660750587</v>
      </c>
    </row>
    <row r="641" customFormat="false" ht="13.8" hidden="false" customHeight="false" outlineLevel="0" collapsed="false">
      <c r="A641" s="0" t="s">
        <v>1264</v>
      </c>
      <c r="B641" s="0" t="s">
        <v>1348</v>
      </c>
      <c r="C641" s="0" t="s">
        <v>2428</v>
      </c>
      <c r="D641" s="0" t="n">
        <v>145.262713009666</v>
      </c>
      <c r="E641" s="401" t="n">
        <f aca="false">'5c. Benefit - Local - Reef'!B39</f>
        <v>292.945982730187</v>
      </c>
      <c r="F641" s="394" t="n">
        <f aca="false">E641/D641</f>
        <v>2.01666330375294</v>
      </c>
    </row>
    <row r="642" customFormat="false" ht="13.8" hidden="false" customHeight="false" outlineLevel="0" collapsed="false">
      <c r="A642" s="0" t="s">
        <v>2429</v>
      </c>
      <c r="B642" s="0" t="s">
        <v>2430</v>
      </c>
      <c r="C642" s="0" t="s">
        <v>2431</v>
      </c>
      <c r="D642" s="0" t="n">
        <v>1.11586550895206</v>
      </c>
      <c r="E642" s="405" t="n">
        <f aca="false">'5c-alt. Benefit - Reef (Zhao)'!B55</f>
        <v>1.11586550895206</v>
      </c>
      <c r="F642" s="394" t="n">
        <f aca="false">E642/D642</f>
        <v>1</v>
      </c>
    </row>
    <row r="643" customFormat="false" ht="13.8" hidden="false" customHeight="false" outlineLevel="0" collapsed="false">
      <c r="A643" s="0" t="s">
        <v>1280</v>
      </c>
      <c r="B643" s="0" t="s">
        <v>1245</v>
      </c>
      <c r="C643" s="0" t="s">
        <v>2432</v>
      </c>
      <c r="D643" s="0" t="n">
        <v>0.105613425925926</v>
      </c>
      <c r="E643" s="396" t="n">
        <f aca="false">'5d. Benefit - Local - City'!B13</f>
        <v>1</v>
      </c>
      <c r="F643" s="394" t="n">
        <f aca="false">E643/D643</f>
        <v>9.46849315068493</v>
      </c>
    </row>
    <row r="644" customFormat="false" ht="13.8" hidden="false" customHeight="false" outlineLevel="0" collapsed="false">
      <c r="A644" s="0" t="s">
        <v>1280</v>
      </c>
      <c r="B644" s="0" t="s">
        <v>1370</v>
      </c>
      <c r="C644" s="0" t="s">
        <v>2433</v>
      </c>
      <c r="D644" s="0" t="n">
        <v>74923.6778913728</v>
      </c>
      <c r="E644" s="104" t="n">
        <f aca="false">'5d. Benefit - Local - City'!B18</f>
        <v>585865.200221113</v>
      </c>
      <c r="F644" s="394" t="n">
        <f aca="false">E644/D644</f>
        <v>7.81949333921544</v>
      </c>
    </row>
    <row r="645" customFormat="false" ht="13.8" hidden="false" customHeight="false" outlineLevel="0" collapsed="false">
      <c r="A645" s="0" t="s">
        <v>1280</v>
      </c>
      <c r="B645" s="0" t="s">
        <v>1308</v>
      </c>
      <c r="C645" s="0" t="s">
        <v>2434</v>
      </c>
      <c r="D645" s="0" t="n">
        <v>0.352</v>
      </c>
      <c r="E645" s="397" t="n">
        <f aca="false">'5d. Benefit - Local - City'!B25</f>
        <v>0.0358914313791528</v>
      </c>
      <c r="F645" s="394" t="n">
        <f aca="false">E645/D645</f>
        <v>0.101964293690775</v>
      </c>
    </row>
    <row r="646" customFormat="false" ht="13.8" hidden="false" customHeight="false" outlineLevel="0" collapsed="false">
      <c r="A646" s="0" t="s">
        <v>1280</v>
      </c>
      <c r="B646" s="0" t="s">
        <v>1316</v>
      </c>
      <c r="C646" s="0" t="s">
        <v>2435</v>
      </c>
      <c r="D646" s="0" t="n">
        <v>3.86477403671968</v>
      </c>
      <c r="E646" s="161" t="n">
        <f aca="false">'5d. Benefit - Local - City'!B26</f>
        <v>1.54873563283706</v>
      </c>
      <c r="F646" s="394" t="n">
        <f aca="false">E646/D646</f>
        <v>0.400731224677651</v>
      </c>
    </row>
    <row r="647" customFormat="false" ht="13.8" hidden="false" customHeight="false" outlineLevel="0" collapsed="false">
      <c r="A647" s="0" t="s">
        <v>1280</v>
      </c>
      <c r="B647" s="0" t="s">
        <v>2168</v>
      </c>
      <c r="C647" s="0" t="s">
        <v>2436</v>
      </c>
      <c r="D647" s="0" t="n">
        <v>515.828126099599</v>
      </c>
      <c r="E647" s="401" t="n">
        <f aca="false">'5d. Benefit - Local - City'!B29</f>
        <v>26.4350166600193</v>
      </c>
      <c r="F647" s="394" t="n">
        <f aca="false">E647/D647</f>
        <v>0.0512477224921912</v>
      </c>
    </row>
    <row r="648" customFormat="false" ht="13.8" hidden="false" customHeight="false" outlineLevel="0" collapsed="false">
      <c r="A648" s="0" t="s">
        <v>1363</v>
      </c>
      <c r="B648" s="0" t="s">
        <v>2437</v>
      </c>
      <c r="C648" s="0" t="s">
        <v>2438</v>
      </c>
      <c r="D648" s="0" t="n">
        <v>14459533.9351447</v>
      </c>
      <c r="E648" s="103" t="n">
        <f aca="false">'6a. Cooling Model - Global'!I34</f>
        <v>41578115.9237468</v>
      </c>
      <c r="F648" s="394" t="n">
        <f aca="false">E648/D648</f>
        <v>2.87548105701311</v>
      </c>
    </row>
    <row r="649" customFormat="false" ht="13.8" hidden="false" customHeight="false" outlineLevel="0" collapsed="false">
      <c r="A649" s="0" t="s">
        <v>1363</v>
      </c>
      <c r="B649" s="0" t="s">
        <v>2439</v>
      </c>
      <c r="C649" s="0" t="s">
        <v>2440</v>
      </c>
      <c r="D649" s="0" t="n">
        <v>8087129.28574778</v>
      </c>
      <c r="E649" s="103" t="n">
        <f aca="false">'6a. Cooling Model - Global'!I35</f>
        <v>32615168.7785079</v>
      </c>
      <c r="F649" s="394" t="n">
        <f aca="false">E649/D649</f>
        <v>4.03297234730583</v>
      </c>
    </row>
    <row r="650" customFormat="false" ht="13.8" hidden="false" customHeight="false" outlineLevel="0" collapsed="false">
      <c r="A650" s="0" t="s">
        <v>1363</v>
      </c>
      <c r="B650" s="0" t="s">
        <v>2441</v>
      </c>
      <c r="C650" s="0" t="s">
        <v>2442</v>
      </c>
      <c r="D650" s="0" t="n">
        <v>76541153.1982283</v>
      </c>
      <c r="E650" s="103" t="n">
        <f aca="false">'6a. Cooling Model - Global'!I36</f>
        <v>215429656.524981</v>
      </c>
      <c r="F650" s="394" t="n">
        <f aca="false">E650/D650</f>
        <v>2.81455984817809</v>
      </c>
    </row>
    <row r="651" customFormat="false" ht="13.8" hidden="false" customHeight="false" outlineLevel="0" collapsed="false">
      <c r="A651" s="0" t="s">
        <v>1363</v>
      </c>
      <c r="B651" s="0" t="s">
        <v>2443</v>
      </c>
      <c r="C651" s="0" t="s">
        <v>2444</v>
      </c>
      <c r="D651" s="0" t="n">
        <v>332455381.6349</v>
      </c>
      <c r="E651" s="103" t="n">
        <f aca="false">'6a. Cooling Model - Global'!I37</f>
        <v>1076675665.96245</v>
      </c>
      <c r="F651" s="394" t="n">
        <f aca="false">E651/D651</f>
        <v>3.23855688744676</v>
      </c>
    </row>
    <row r="652" customFormat="false" ht="13.8" hidden="false" customHeight="false" outlineLevel="0" collapsed="false">
      <c r="A652" s="0" t="s">
        <v>1524</v>
      </c>
      <c r="B652" s="0" t="s">
        <v>1543</v>
      </c>
      <c r="C652" s="0" t="s">
        <v>2445</v>
      </c>
      <c r="D652" s="0" t="n">
        <v>4.64486262568419</v>
      </c>
      <c r="E652" s="401" t="n">
        <f aca="false">'6b. Benefit - Global - Vessel'!D29</f>
        <v>1.43231764591682</v>
      </c>
      <c r="F652" s="394" t="n">
        <f aca="false">E652/D652</f>
        <v>0.308365986541064</v>
      </c>
    </row>
    <row r="653" customFormat="false" ht="13.8" hidden="false" customHeight="false" outlineLevel="0" collapsed="false">
      <c r="A653" s="0" t="s">
        <v>1524</v>
      </c>
      <c r="B653" s="0" t="s">
        <v>1334</v>
      </c>
      <c r="C653" s="0" t="s">
        <v>2446</v>
      </c>
      <c r="D653" s="0" t="n">
        <v>8.30486893272851</v>
      </c>
      <c r="E653" s="401" t="n">
        <f aca="false">'6b. Benefit - Global - Vessel'!D30</f>
        <v>1.82593165548175</v>
      </c>
      <c r="F653" s="394" t="n">
        <f aca="false">E653/D653</f>
        <v>0.219862790162282</v>
      </c>
    </row>
    <row r="654" customFormat="false" ht="13.8" hidden="false" customHeight="false" outlineLevel="0" collapsed="false">
      <c r="A654" s="0" t="s">
        <v>1524</v>
      </c>
      <c r="B654" s="0" t="s">
        <v>1548</v>
      </c>
      <c r="C654" s="0" t="s">
        <v>2447</v>
      </c>
      <c r="D654" s="0" t="n">
        <v>0.877469778724477</v>
      </c>
      <c r="E654" s="401" t="n">
        <f aca="false">'6b. Benefit - Global - Vessel'!D31</f>
        <v>0.276438583629509</v>
      </c>
      <c r="F654" s="394" t="n">
        <f aca="false">E654/D654</f>
        <v>0.315040574994333</v>
      </c>
    </row>
    <row r="655" customFormat="false" ht="13.8" hidden="false" customHeight="false" outlineLevel="0" collapsed="false">
      <c r="A655" s="0" t="s">
        <v>1524</v>
      </c>
      <c r="B655" s="0" t="s">
        <v>1275</v>
      </c>
      <c r="C655" s="0" t="s">
        <v>2448</v>
      </c>
      <c r="D655" s="0" t="n">
        <v>0.20201973699413</v>
      </c>
      <c r="E655" s="401" t="n">
        <f aca="false">'6b. Benefit - Global - Vessel'!D32</f>
        <v>0.0553119857764434</v>
      </c>
      <c r="F655" s="394" t="n">
        <f aca="false">E655/D655</f>
        <v>0.273794959836279</v>
      </c>
    </row>
    <row r="656" customFormat="false" ht="13.8" hidden="false" customHeight="false" outlineLevel="0" collapsed="false">
      <c r="A656" s="0" t="s">
        <v>1524</v>
      </c>
      <c r="B656" s="0" t="s">
        <v>2172</v>
      </c>
      <c r="C656" s="0" t="s">
        <v>2449</v>
      </c>
      <c r="D656" s="0" t="n">
        <v>4.64486262568419</v>
      </c>
      <c r="E656" s="401" t="n">
        <f aca="false">'6b. Benefit - Global - Vessel'!E29</f>
        <v>1.6153341070899</v>
      </c>
      <c r="F656" s="394" t="n">
        <f aca="false">E656/D656</f>
        <v>0.34776789697886</v>
      </c>
    </row>
    <row r="657" customFormat="false" ht="13.8" hidden="false" customHeight="false" outlineLevel="0" collapsed="false">
      <c r="A657" s="0" t="s">
        <v>1524</v>
      </c>
      <c r="B657" s="0" t="s">
        <v>2181</v>
      </c>
      <c r="C657" s="0" t="s">
        <v>2450</v>
      </c>
      <c r="D657" s="0" t="n">
        <v>8.30486893272851</v>
      </c>
      <c r="E657" s="401" t="n">
        <f aca="false">'6b. Benefit - Global - Vessel'!E30</f>
        <v>2.05924271667185</v>
      </c>
      <c r="F657" s="394" t="n">
        <f aca="false">E657/D657</f>
        <v>0.247956076531999</v>
      </c>
    </row>
    <row r="658" customFormat="false" ht="13.8" hidden="false" customHeight="false" outlineLevel="0" collapsed="false">
      <c r="A658" s="0" t="s">
        <v>1524</v>
      </c>
      <c r="B658" s="0" t="s">
        <v>1686</v>
      </c>
      <c r="C658" s="0" t="s">
        <v>2451</v>
      </c>
      <c r="D658" s="0" t="n">
        <v>0.877469778724477</v>
      </c>
      <c r="E658" s="401" t="n">
        <f aca="false">'6b. Benefit - Global - Vessel'!E31</f>
        <v>0.311760923930069</v>
      </c>
      <c r="F658" s="394" t="n">
        <f aca="false">E658/D658</f>
        <v>0.355295340636411</v>
      </c>
    </row>
    <row r="659" customFormat="false" ht="13.8" hidden="false" customHeight="false" outlineLevel="0" collapsed="false">
      <c r="A659" s="0" t="s">
        <v>1524</v>
      </c>
      <c r="B659" s="0" t="s">
        <v>2192</v>
      </c>
      <c r="C659" s="0" t="s">
        <v>2452</v>
      </c>
      <c r="D659" s="0" t="n">
        <v>0.20201973699413</v>
      </c>
      <c r="E659" s="401" t="n">
        <f aca="false">'6b. Benefit - Global - Vessel'!E32</f>
        <v>0.0623795548496294</v>
      </c>
      <c r="F659" s="394" t="n">
        <f aca="false">E659/D659</f>
        <v>0.308779507278746</v>
      </c>
    </row>
    <row r="660" customFormat="false" ht="13.8" hidden="false" customHeight="false" outlineLevel="0" collapsed="false">
      <c r="A660" s="0" t="s">
        <v>1528</v>
      </c>
      <c r="B660" s="0" t="s">
        <v>1681</v>
      </c>
      <c r="C660" s="0" t="s">
        <v>2453</v>
      </c>
      <c r="D660" s="0" t="n">
        <v>11.5827893840297</v>
      </c>
      <c r="E660" s="401" t="n">
        <f aca="false">'6c. Benefit - Global Piggyback'!D38</f>
        <v>3.441345338478</v>
      </c>
      <c r="F660" s="394" t="n">
        <f aca="false">E660/D660</f>
        <v>0.297108513707667</v>
      </c>
    </row>
    <row r="661" customFormat="false" ht="13.8" hidden="false" customHeight="false" outlineLevel="0" collapsed="false">
      <c r="A661" s="0" t="s">
        <v>1528</v>
      </c>
      <c r="B661" s="0" t="s">
        <v>1354</v>
      </c>
      <c r="C661" s="0" t="s">
        <v>2454</v>
      </c>
      <c r="D661" s="0" t="n">
        <v>20.7096647332162</v>
      </c>
      <c r="E661" s="401" t="n">
        <f aca="false">'6c. Benefit - Global Piggyback'!D39</f>
        <v>4.38705856126585</v>
      </c>
      <c r="F661" s="394" t="n">
        <f aca="false">E661/D661</f>
        <v>0.211836290822683</v>
      </c>
    </row>
    <row r="662" customFormat="false" ht="13.8" hidden="false" customHeight="false" outlineLevel="0" collapsed="false">
      <c r="A662" s="0" t="s">
        <v>1528</v>
      </c>
      <c r="B662" s="0" t="s">
        <v>1362</v>
      </c>
      <c r="C662" s="0" t="s">
        <v>2455</v>
      </c>
      <c r="D662" s="0" t="n">
        <v>2.18812663729095</v>
      </c>
      <c r="E662" s="401" t="n">
        <f aca="false">'6c. Benefit - Global Piggyback'!D40</f>
        <v>0.664182720823731</v>
      </c>
      <c r="F662" s="394" t="n">
        <f aca="false">E662/D662</f>
        <v>0.30353943391779</v>
      </c>
    </row>
    <row r="663" customFormat="false" ht="13.8" hidden="false" customHeight="false" outlineLevel="0" collapsed="false">
      <c r="A663" s="0" t="s">
        <v>1528</v>
      </c>
      <c r="B663" s="0" t="s">
        <v>2256</v>
      </c>
      <c r="C663" s="0" t="s">
        <v>2456</v>
      </c>
      <c r="D663" s="0" t="n">
        <v>0.503772071122428</v>
      </c>
      <c r="E663" s="401" t="n">
        <f aca="false">'6c. Benefit - Global Piggyback'!D41</f>
        <v>0.13289485398463</v>
      </c>
      <c r="F663" s="394" t="n">
        <f aca="false">E663/D663</f>
        <v>0.263799566515338</v>
      </c>
    </row>
    <row r="664" customFormat="false" ht="13.8" hidden="false" customHeight="false" outlineLevel="0" collapsed="false">
      <c r="A664" s="0" t="s">
        <v>1528</v>
      </c>
      <c r="B664" s="0" t="s">
        <v>2218</v>
      </c>
      <c r="C664" s="0" t="s">
        <v>2457</v>
      </c>
      <c r="D664" s="0" t="n">
        <v>11.5827893840297</v>
      </c>
      <c r="E664" s="401" t="n">
        <f aca="false">'6c. Benefit - Global Piggyback'!E38</f>
        <v>4.02812230523307</v>
      </c>
      <c r="F664" s="394" t="n">
        <f aca="false">E664/D664</f>
        <v>0.34776789697886</v>
      </c>
    </row>
    <row r="665" customFormat="false" ht="13.8" hidden="false" customHeight="false" outlineLevel="0" collapsed="false">
      <c r="A665" s="0" t="s">
        <v>1528</v>
      </c>
      <c r="B665" s="0" t="s">
        <v>2233</v>
      </c>
      <c r="C665" s="0" t="s">
        <v>2458</v>
      </c>
      <c r="D665" s="0" t="n">
        <v>20.7096647332162</v>
      </c>
      <c r="E665" s="401" t="n">
        <f aca="false">'6c. Benefit - Global Piggyback'!E39</f>
        <v>5.1350872135414</v>
      </c>
      <c r="F665" s="394" t="n">
        <f aca="false">E665/D665</f>
        <v>0.247956076531999</v>
      </c>
    </row>
    <row r="666" customFormat="false" ht="13.8" hidden="false" customHeight="false" outlineLevel="0" collapsed="false">
      <c r="A666" s="0" t="s">
        <v>1528</v>
      </c>
      <c r="B666" s="0" t="s">
        <v>2243</v>
      </c>
      <c r="C666" s="0" t="s">
        <v>2459</v>
      </c>
      <c r="D666" s="0" t="n">
        <v>2.18812663729095</v>
      </c>
      <c r="E666" s="401" t="n">
        <f aca="false">'6c. Benefit - Global Piggyback'!E40</f>
        <v>0.777431198951893</v>
      </c>
      <c r="F666" s="394" t="n">
        <f aca="false">E666/D666</f>
        <v>0.355295340636411</v>
      </c>
    </row>
    <row r="667" customFormat="false" ht="13.8" hidden="false" customHeight="false" outlineLevel="0" collapsed="false">
      <c r="A667" s="0" t="s">
        <v>1528</v>
      </c>
      <c r="B667" s="0" t="s">
        <v>2258</v>
      </c>
      <c r="C667" s="0" t="s">
        <v>2460</v>
      </c>
      <c r="D667" s="0" t="n">
        <v>0.503772071122428</v>
      </c>
      <c r="E667" s="401" t="n">
        <f aca="false">'6c. Benefit - Global Piggyback'!E41</f>
        <v>0.155554491901977</v>
      </c>
      <c r="F667" s="394" t="n">
        <f aca="false">E667/D667</f>
        <v>0.308779507278746</v>
      </c>
    </row>
    <row r="668" customFormat="false" ht="13.8" hidden="false" customHeight="false" outlineLevel="0" collapsed="false">
      <c r="A668" s="0" t="s">
        <v>1528</v>
      </c>
      <c r="B668" s="0" t="s">
        <v>2461</v>
      </c>
      <c r="C668" s="0" t="s">
        <v>2462</v>
      </c>
      <c r="D668" s="0" t="n">
        <v>33844.3479275718</v>
      </c>
      <c r="E668" s="103" t="n">
        <f aca="false">'6c. Benefit - Global Piggyback'!C56</f>
        <v>97318.7813526937</v>
      </c>
      <c r="F668" s="394" t="n">
        <f aca="false">E668/D668</f>
        <v>2.87548105701311</v>
      </c>
    </row>
    <row r="669" customFormat="false" ht="13.8" hidden="false" customHeight="false" outlineLevel="0" collapsed="false">
      <c r="A669" s="0" t="s">
        <v>1528</v>
      </c>
      <c r="B669" s="0" t="s">
        <v>2463</v>
      </c>
      <c r="C669" s="0" t="s">
        <v>2464</v>
      </c>
      <c r="D669" s="0" t="n">
        <v>18928.9377174773</v>
      </c>
      <c r="E669" s="103" t="n">
        <f aca="false">'6c. Benefit - Global Piggyback'!C57</f>
        <v>76339.8823784604</v>
      </c>
      <c r="F669" s="394" t="n">
        <f aca="false">E669/D669</f>
        <v>4.03297234730583</v>
      </c>
    </row>
    <row r="670" customFormat="false" ht="13.8" hidden="false" customHeight="false" outlineLevel="0" collapsed="false">
      <c r="A670" s="0" t="s">
        <v>1528</v>
      </c>
      <c r="B670" s="0" t="s">
        <v>2465</v>
      </c>
      <c r="C670" s="0" t="s">
        <v>2466</v>
      </c>
      <c r="D670" s="0" t="n">
        <v>179154.143642355</v>
      </c>
      <c r="E670" s="103" t="n">
        <f aca="false">'6c. Benefit - Global Piggyback'!C58</f>
        <v>504240.059330502</v>
      </c>
      <c r="F670" s="394" t="n">
        <f aca="false">E670/D670</f>
        <v>2.81455984817809</v>
      </c>
    </row>
    <row r="671" customFormat="false" ht="13.8" hidden="false" customHeight="false" outlineLevel="0" collapsed="false">
      <c r="A671" s="0" t="s">
        <v>1528</v>
      </c>
      <c r="B671" s="0" t="s">
        <v>2467</v>
      </c>
      <c r="C671" s="0" t="s">
        <v>2468</v>
      </c>
      <c r="D671" s="0" t="n">
        <v>778153.407773212</v>
      </c>
      <c r="E671" s="103" t="n">
        <f aca="false">'6c. Benefit - Global Piggyback'!C59</f>
        <v>2520094.0782341</v>
      </c>
      <c r="F671" s="394" t="n">
        <f aca="false">E671/D671</f>
        <v>3.23855688744676</v>
      </c>
    </row>
    <row r="672" customFormat="false" ht="12.8" hidden="false" customHeight="false" outlineLevel="0" collapsed="false">
      <c r="A672" s="0" t="s">
        <v>1528</v>
      </c>
      <c r="B672" s="0" t="s">
        <v>2310</v>
      </c>
      <c r="C672" s="0" t="s">
        <v>2469</v>
      </c>
      <c r="D672" s="0" t="s">
        <v>2414</v>
      </c>
      <c r="E672" s="397" t="n">
        <f aca="false">'6c. Benefit - Global Piggyback'!I56</f>
        <v>0.0585704005000082</v>
      </c>
    </row>
    <row r="673" customFormat="false" ht="12.8" hidden="false" customHeight="false" outlineLevel="0" collapsed="false">
      <c r="A673" s="0" t="s">
        <v>1528</v>
      </c>
      <c r="B673" s="0" t="s">
        <v>2321</v>
      </c>
      <c r="C673" s="0" t="s">
        <v>2470</v>
      </c>
      <c r="D673" s="0" t="s">
        <v>2414</v>
      </c>
      <c r="E673" s="397" t="n">
        <f aca="false">'6c. Benefit - Global Piggyback'!I57</f>
        <v>0.0746660830801631</v>
      </c>
    </row>
    <row r="674" customFormat="false" ht="12.8" hidden="false" customHeight="false" outlineLevel="0" collapsed="false">
      <c r="A674" s="0" t="s">
        <v>1528</v>
      </c>
      <c r="B674" s="0" t="s">
        <v>2331</v>
      </c>
      <c r="C674" s="0" t="s">
        <v>2471</v>
      </c>
      <c r="D674" s="0" t="s">
        <v>2414</v>
      </c>
      <c r="E674" s="397" t="n">
        <f aca="false">'6c. Benefit - Global Piggyback'!I58</f>
        <v>0.0113041395552113</v>
      </c>
    </row>
    <row r="675" customFormat="false" ht="12.8" hidden="false" customHeight="false" outlineLevel="0" collapsed="false">
      <c r="A675" s="0" t="s">
        <v>1528</v>
      </c>
      <c r="B675" s="0" t="s">
        <v>2341</v>
      </c>
      <c r="C675" s="0" t="s">
        <v>2472</v>
      </c>
      <c r="D675" s="0" t="s">
        <v>2414</v>
      </c>
      <c r="E675" s="397" t="n">
        <f aca="false">'6c. Benefit - Global Piggyback'!I59</f>
        <v>0.00226182032219771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Roman"&amp;12&amp;Kffffff&amp;A</oddHeader>
    <oddFooter>&amp;C&amp;"Times New Roman"&amp;12&amp;KffffffPage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2026-10-26T09:50:38Z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